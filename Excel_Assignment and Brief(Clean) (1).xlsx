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8C3ED7-F604-4322-BC63-5CBD5288BC3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KU " sheetId="7" r:id="rId1"/>
    <sheet name="DATA" sheetId="5" r:id="rId2"/>
    <sheet name="Cohort Analysis" sheetId="6" r:id="rId3"/>
    <sheet name="Data 2" sheetId="4" r:id="rId4"/>
    <sheet name="README" sheetId="3" r:id="rId5"/>
    <sheet name="Brief" sheetId="2" r:id="rId6"/>
  </sheets>
  <definedNames>
    <definedName name="ExternalData_1" localSheetId="3" hidden="1">'Data 2'!$A$1:$U$633</definedName>
    <definedName name="ExternalData_2" localSheetId="1" hidden="1">DATA!$A$1:$X$633</definedName>
  </definedNames>
  <calcPr calcId="191029"/>
  <pivotCaches>
    <pivotCache cacheId="2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5" l="1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Z105" i="5"/>
  <c r="Z129" i="5"/>
  <c r="Z145" i="5"/>
  <c r="Z169" i="5"/>
  <c r="Z193" i="5"/>
  <c r="Z209" i="5"/>
  <c r="Z233" i="5"/>
  <c r="Z257" i="5"/>
  <c r="Z273" i="5"/>
  <c r="Z297" i="5"/>
  <c r="Z321" i="5"/>
  <c r="Z337" i="5"/>
  <c r="Z361" i="5"/>
  <c r="Z385" i="5"/>
  <c r="Z401" i="5"/>
  <c r="Z425" i="5"/>
  <c r="Z449" i="5"/>
  <c r="Z465" i="5"/>
  <c r="Z489" i="5"/>
  <c r="Z513" i="5"/>
  <c r="Z529" i="5"/>
  <c r="Z553" i="5"/>
  <c r="Z577" i="5"/>
  <c r="Z593" i="5"/>
  <c r="Z617" i="5"/>
  <c r="Y2" i="5"/>
  <c r="Z2" i="5" s="1"/>
  <c r="Y3" i="5"/>
  <c r="Y4" i="5"/>
  <c r="Z4" i="5" s="1"/>
  <c r="Y5" i="5"/>
  <c r="Y6" i="5"/>
  <c r="Y7" i="5"/>
  <c r="Z7" i="5" s="1"/>
  <c r="Y8" i="5"/>
  <c r="Y9" i="5"/>
  <c r="Y10" i="5"/>
  <c r="Z10" i="5" s="1"/>
  <c r="Y11" i="5"/>
  <c r="Y12" i="5"/>
  <c r="Z12" i="5" s="1"/>
  <c r="Y13" i="5"/>
  <c r="Y14" i="5"/>
  <c r="Y15" i="5"/>
  <c r="Z15" i="5" s="1"/>
  <c r="Y16" i="5"/>
  <c r="Y17" i="5"/>
  <c r="Y18" i="5"/>
  <c r="Z18" i="5" s="1"/>
  <c r="Y19" i="5"/>
  <c r="Y20" i="5"/>
  <c r="Z20" i="5" s="1"/>
  <c r="Y21" i="5"/>
  <c r="Y22" i="5"/>
  <c r="Y23" i="5"/>
  <c r="Z23" i="5" s="1"/>
  <c r="Y24" i="5"/>
  <c r="Y25" i="5"/>
  <c r="Y26" i="5"/>
  <c r="Z26" i="5" s="1"/>
  <c r="Y27" i="5"/>
  <c r="Y28" i="5"/>
  <c r="Z28" i="5" s="1"/>
  <c r="Y29" i="5"/>
  <c r="Y30" i="5"/>
  <c r="Y31" i="5"/>
  <c r="Z31" i="5" s="1"/>
  <c r="Y32" i="5"/>
  <c r="Y33" i="5"/>
  <c r="Y34" i="5"/>
  <c r="Z34" i="5" s="1"/>
  <c r="Y35" i="5"/>
  <c r="Y36" i="5"/>
  <c r="Z36" i="5" s="1"/>
  <c r="Y37" i="5"/>
  <c r="Y38" i="5"/>
  <c r="Y39" i="5"/>
  <c r="Z39" i="5" s="1"/>
  <c r="Y40" i="5"/>
  <c r="Y41" i="5"/>
  <c r="Y42" i="5"/>
  <c r="Z42" i="5" s="1"/>
  <c r="Y43" i="5"/>
  <c r="Y44" i="5"/>
  <c r="Z44" i="5" s="1"/>
  <c r="Y45" i="5"/>
  <c r="Y46" i="5"/>
  <c r="Y47" i="5"/>
  <c r="Z47" i="5" s="1"/>
  <c r="Y48" i="5"/>
  <c r="Y49" i="5"/>
  <c r="Y50" i="5"/>
  <c r="Z50" i="5" s="1"/>
  <c r="Y51" i="5"/>
  <c r="Y52" i="5"/>
  <c r="Z52" i="5" s="1"/>
  <c r="Y53" i="5"/>
  <c r="Y54" i="5"/>
  <c r="Y55" i="5"/>
  <c r="Z55" i="5" s="1"/>
  <c r="Y56" i="5"/>
  <c r="Y57" i="5"/>
  <c r="Y58" i="5"/>
  <c r="Z58" i="5" s="1"/>
  <c r="Y59" i="5"/>
  <c r="Y60" i="5"/>
  <c r="Z60" i="5" s="1"/>
  <c r="Y61" i="5"/>
  <c r="Y62" i="5"/>
  <c r="Y63" i="5"/>
  <c r="Z63" i="5" s="1"/>
  <c r="Y64" i="5"/>
  <c r="Y65" i="5"/>
  <c r="Y66" i="5"/>
  <c r="Z66" i="5" s="1"/>
  <c r="Y67" i="5"/>
  <c r="Y68" i="5"/>
  <c r="Z68" i="5" s="1"/>
  <c r="Y69" i="5"/>
  <c r="Y70" i="5"/>
  <c r="Y71" i="5"/>
  <c r="Z71" i="5" s="1"/>
  <c r="Y72" i="5"/>
  <c r="Y73" i="5"/>
  <c r="Y74" i="5"/>
  <c r="Z74" i="5" s="1"/>
  <c r="Y75" i="5"/>
  <c r="Y76" i="5"/>
  <c r="Z76" i="5" s="1"/>
  <c r="Y77" i="5"/>
  <c r="Y78" i="5"/>
  <c r="Y79" i="5"/>
  <c r="Z79" i="5" s="1"/>
  <c r="Y80" i="5"/>
  <c r="Y81" i="5"/>
  <c r="Y82" i="5"/>
  <c r="Z82" i="5" s="1"/>
  <c r="Y83" i="5"/>
  <c r="Y84" i="5"/>
  <c r="Z84" i="5" s="1"/>
  <c r="Y85" i="5"/>
  <c r="Y86" i="5"/>
  <c r="Y87" i="5"/>
  <c r="Z87" i="5" s="1"/>
  <c r="Y88" i="5"/>
  <c r="Y89" i="5"/>
  <c r="Z89" i="5" s="1"/>
  <c r="Y90" i="5"/>
  <c r="Z90" i="5" s="1"/>
  <c r="Y91" i="5"/>
  <c r="Y92" i="5"/>
  <c r="Z92" i="5" s="1"/>
  <c r="Y93" i="5"/>
  <c r="Y94" i="5"/>
  <c r="Z94" i="5" s="1"/>
  <c r="Y95" i="5"/>
  <c r="Z95" i="5" s="1"/>
  <c r="Y96" i="5"/>
  <c r="Y97" i="5"/>
  <c r="Z97" i="5" s="1"/>
  <c r="Y98" i="5"/>
  <c r="Z98" i="5" s="1"/>
  <c r="Y99" i="5"/>
  <c r="Y100" i="5"/>
  <c r="Z100" i="5" s="1"/>
  <c r="Y101" i="5"/>
  <c r="Y102" i="5"/>
  <c r="Z102" i="5" s="1"/>
  <c r="Y103" i="5"/>
  <c r="Z103" i="5" s="1"/>
  <c r="Y104" i="5"/>
  <c r="Y105" i="5"/>
  <c r="Y106" i="5"/>
  <c r="Z106" i="5" s="1"/>
  <c r="Y107" i="5"/>
  <c r="Y108" i="5"/>
  <c r="Z108" i="5" s="1"/>
  <c r="Y109" i="5"/>
  <c r="Y110" i="5"/>
  <c r="Z110" i="5" s="1"/>
  <c r="Y111" i="5"/>
  <c r="Z111" i="5" s="1"/>
  <c r="Y112" i="5"/>
  <c r="Y113" i="5"/>
  <c r="Z113" i="5" s="1"/>
  <c r="Y114" i="5"/>
  <c r="Z114" i="5" s="1"/>
  <c r="Y115" i="5"/>
  <c r="Z115" i="5" s="1"/>
  <c r="Y116" i="5"/>
  <c r="Z116" i="5" s="1"/>
  <c r="Y117" i="5"/>
  <c r="Y118" i="5"/>
  <c r="Z118" i="5" s="1"/>
  <c r="Y119" i="5"/>
  <c r="Z119" i="5" s="1"/>
  <c r="Y120" i="5"/>
  <c r="Y121" i="5"/>
  <c r="Z121" i="5" s="1"/>
  <c r="Y122" i="5"/>
  <c r="Z122" i="5" s="1"/>
  <c r="Y123" i="5"/>
  <c r="Z123" i="5" s="1"/>
  <c r="Y124" i="5"/>
  <c r="Z124" i="5" s="1"/>
  <c r="Y125" i="5"/>
  <c r="Y126" i="5"/>
  <c r="Z126" i="5" s="1"/>
  <c r="Y127" i="5"/>
  <c r="Z127" i="5" s="1"/>
  <c r="Y128" i="5"/>
  <c r="Y129" i="5"/>
  <c r="Y130" i="5"/>
  <c r="Z130" i="5" s="1"/>
  <c r="Y131" i="5"/>
  <c r="Z131" i="5" s="1"/>
  <c r="Y132" i="5"/>
  <c r="Z132" i="5" s="1"/>
  <c r="Y133" i="5"/>
  <c r="Y134" i="5"/>
  <c r="Z134" i="5" s="1"/>
  <c r="Y135" i="5"/>
  <c r="Z135" i="5" s="1"/>
  <c r="Y136" i="5"/>
  <c r="Y137" i="5"/>
  <c r="Z137" i="5" s="1"/>
  <c r="Y138" i="5"/>
  <c r="Z138" i="5" s="1"/>
  <c r="Y139" i="5"/>
  <c r="Z139" i="5" s="1"/>
  <c r="Y140" i="5"/>
  <c r="Z140" i="5" s="1"/>
  <c r="Y141" i="5"/>
  <c r="Y142" i="5"/>
  <c r="Z142" i="5" s="1"/>
  <c r="Y143" i="5"/>
  <c r="Z143" i="5" s="1"/>
  <c r="Y144" i="5"/>
  <c r="Y145" i="5"/>
  <c r="Y146" i="5"/>
  <c r="Z146" i="5" s="1"/>
  <c r="Y147" i="5"/>
  <c r="Z147" i="5" s="1"/>
  <c r="Y148" i="5"/>
  <c r="Z148" i="5" s="1"/>
  <c r="Y149" i="5"/>
  <c r="Z149" i="5" s="1"/>
  <c r="Y150" i="5"/>
  <c r="Z150" i="5" s="1"/>
  <c r="Y151" i="5"/>
  <c r="Z151" i="5" s="1"/>
  <c r="Y152" i="5"/>
  <c r="Y153" i="5"/>
  <c r="Z153" i="5" s="1"/>
  <c r="Y154" i="5"/>
  <c r="Z154" i="5" s="1"/>
  <c r="Y155" i="5"/>
  <c r="Z155" i="5" s="1"/>
  <c r="Y156" i="5"/>
  <c r="Z156" i="5" s="1"/>
  <c r="Y157" i="5"/>
  <c r="Z157" i="5" s="1"/>
  <c r="Y158" i="5"/>
  <c r="Z158" i="5" s="1"/>
  <c r="Y159" i="5"/>
  <c r="Z159" i="5" s="1"/>
  <c r="Y160" i="5"/>
  <c r="Y161" i="5"/>
  <c r="Z161" i="5" s="1"/>
  <c r="Y162" i="5"/>
  <c r="Z162" i="5" s="1"/>
  <c r="Y163" i="5"/>
  <c r="Z163" i="5" s="1"/>
  <c r="Y164" i="5"/>
  <c r="Z164" i="5" s="1"/>
  <c r="Y165" i="5"/>
  <c r="Z165" i="5" s="1"/>
  <c r="Y166" i="5"/>
  <c r="Z166" i="5" s="1"/>
  <c r="Y167" i="5"/>
  <c r="Z167" i="5" s="1"/>
  <c r="Y168" i="5"/>
  <c r="Y169" i="5"/>
  <c r="Y170" i="5"/>
  <c r="Z170" i="5" s="1"/>
  <c r="Y171" i="5"/>
  <c r="Z171" i="5" s="1"/>
  <c r="Y172" i="5"/>
  <c r="Z172" i="5" s="1"/>
  <c r="Y173" i="5"/>
  <c r="Z173" i="5" s="1"/>
  <c r="Y174" i="5"/>
  <c r="Z174" i="5" s="1"/>
  <c r="Y175" i="5"/>
  <c r="Z175" i="5" s="1"/>
  <c r="Y176" i="5"/>
  <c r="Y177" i="5"/>
  <c r="Z177" i="5" s="1"/>
  <c r="Y178" i="5"/>
  <c r="Z178" i="5" s="1"/>
  <c r="Y179" i="5"/>
  <c r="Z179" i="5" s="1"/>
  <c r="Y180" i="5"/>
  <c r="Z180" i="5" s="1"/>
  <c r="Y181" i="5"/>
  <c r="Z181" i="5" s="1"/>
  <c r="Y182" i="5"/>
  <c r="Z182" i="5" s="1"/>
  <c r="Y183" i="5"/>
  <c r="Z183" i="5" s="1"/>
  <c r="Y184" i="5"/>
  <c r="Y185" i="5"/>
  <c r="Z185" i="5" s="1"/>
  <c r="Y186" i="5"/>
  <c r="Z186" i="5" s="1"/>
  <c r="Y187" i="5"/>
  <c r="Z187" i="5" s="1"/>
  <c r="Y188" i="5"/>
  <c r="Z188" i="5" s="1"/>
  <c r="Y189" i="5"/>
  <c r="Z189" i="5" s="1"/>
  <c r="Y190" i="5"/>
  <c r="Z190" i="5" s="1"/>
  <c r="Y191" i="5"/>
  <c r="Z191" i="5" s="1"/>
  <c r="Y192" i="5"/>
  <c r="Z192" i="5" s="1"/>
  <c r="Y193" i="5"/>
  <c r="Y194" i="5"/>
  <c r="Z194" i="5" s="1"/>
  <c r="Y195" i="5"/>
  <c r="Z195" i="5" s="1"/>
  <c r="Y196" i="5"/>
  <c r="Z196" i="5" s="1"/>
  <c r="Y197" i="5"/>
  <c r="Z197" i="5" s="1"/>
  <c r="Y198" i="5"/>
  <c r="Z198" i="5" s="1"/>
  <c r="Y199" i="5"/>
  <c r="Z199" i="5" s="1"/>
  <c r="Y200" i="5"/>
  <c r="Z200" i="5" s="1"/>
  <c r="Y201" i="5"/>
  <c r="Z201" i="5" s="1"/>
  <c r="Y202" i="5"/>
  <c r="Z202" i="5" s="1"/>
  <c r="Y203" i="5"/>
  <c r="Z203" i="5" s="1"/>
  <c r="Y204" i="5"/>
  <c r="Z204" i="5" s="1"/>
  <c r="Y205" i="5"/>
  <c r="Z205" i="5" s="1"/>
  <c r="Y206" i="5"/>
  <c r="Z206" i="5" s="1"/>
  <c r="Y207" i="5"/>
  <c r="Z207" i="5" s="1"/>
  <c r="Y208" i="5"/>
  <c r="Z208" i="5" s="1"/>
  <c r="Y209" i="5"/>
  <c r="Y210" i="5"/>
  <c r="Z210" i="5" s="1"/>
  <c r="Y211" i="5"/>
  <c r="Z211" i="5" s="1"/>
  <c r="Y212" i="5"/>
  <c r="Z212" i="5" s="1"/>
  <c r="Y213" i="5"/>
  <c r="Z213" i="5" s="1"/>
  <c r="Y214" i="5"/>
  <c r="Z214" i="5" s="1"/>
  <c r="Y215" i="5"/>
  <c r="Z215" i="5" s="1"/>
  <c r="Y216" i="5"/>
  <c r="Z216" i="5" s="1"/>
  <c r="Y217" i="5"/>
  <c r="Z217" i="5" s="1"/>
  <c r="Y218" i="5"/>
  <c r="Z218" i="5" s="1"/>
  <c r="Y219" i="5"/>
  <c r="Z219" i="5" s="1"/>
  <c r="Y220" i="5"/>
  <c r="Z220" i="5" s="1"/>
  <c r="Y221" i="5"/>
  <c r="Z221" i="5" s="1"/>
  <c r="Y222" i="5"/>
  <c r="Z222" i="5" s="1"/>
  <c r="Y223" i="5"/>
  <c r="Z223" i="5" s="1"/>
  <c r="Y224" i="5"/>
  <c r="Z224" i="5" s="1"/>
  <c r="Y225" i="5"/>
  <c r="Z225" i="5" s="1"/>
  <c r="Y226" i="5"/>
  <c r="Z226" i="5" s="1"/>
  <c r="Y227" i="5"/>
  <c r="Z227" i="5" s="1"/>
  <c r="Y228" i="5"/>
  <c r="Z228" i="5" s="1"/>
  <c r="Y229" i="5"/>
  <c r="Z229" i="5" s="1"/>
  <c r="Y230" i="5"/>
  <c r="Z230" i="5" s="1"/>
  <c r="Y231" i="5"/>
  <c r="Z231" i="5" s="1"/>
  <c r="Y232" i="5"/>
  <c r="Z232" i="5" s="1"/>
  <c r="Y233" i="5"/>
  <c r="Y234" i="5"/>
  <c r="Z234" i="5" s="1"/>
  <c r="Y235" i="5"/>
  <c r="Z235" i="5" s="1"/>
  <c r="Y236" i="5"/>
  <c r="Z236" i="5" s="1"/>
  <c r="Y237" i="5"/>
  <c r="Z237" i="5" s="1"/>
  <c r="Y238" i="5"/>
  <c r="Z238" i="5" s="1"/>
  <c r="Y239" i="5"/>
  <c r="Z239" i="5" s="1"/>
  <c r="Y240" i="5"/>
  <c r="Z240" i="5" s="1"/>
  <c r="Y241" i="5"/>
  <c r="Z241" i="5" s="1"/>
  <c r="Y242" i="5"/>
  <c r="Z242" i="5" s="1"/>
  <c r="Y243" i="5"/>
  <c r="Z243" i="5" s="1"/>
  <c r="Y244" i="5"/>
  <c r="Z244" i="5" s="1"/>
  <c r="Y245" i="5"/>
  <c r="Z245" i="5" s="1"/>
  <c r="Y246" i="5"/>
  <c r="Z246" i="5" s="1"/>
  <c r="Y247" i="5"/>
  <c r="Z247" i="5" s="1"/>
  <c r="Y248" i="5"/>
  <c r="Z248" i="5" s="1"/>
  <c r="Y249" i="5"/>
  <c r="Z249" i="5" s="1"/>
  <c r="Y250" i="5"/>
  <c r="Z250" i="5" s="1"/>
  <c r="Y251" i="5"/>
  <c r="Z251" i="5" s="1"/>
  <c r="Y252" i="5"/>
  <c r="Z252" i="5" s="1"/>
  <c r="Y253" i="5"/>
  <c r="Z253" i="5" s="1"/>
  <c r="Y254" i="5"/>
  <c r="Z254" i="5" s="1"/>
  <c r="Y255" i="5"/>
  <c r="Z255" i="5" s="1"/>
  <c r="Y256" i="5"/>
  <c r="Z256" i="5" s="1"/>
  <c r="Y257" i="5"/>
  <c r="Y258" i="5"/>
  <c r="Z258" i="5" s="1"/>
  <c r="Y259" i="5"/>
  <c r="Z259" i="5" s="1"/>
  <c r="Y260" i="5"/>
  <c r="Z260" i="5" s="1"/>
  <c r="Y261" i="5"/>
  <c r="Z261" i="5" s="1"/>
  <c r="Y262" i="5"/>
  <c r="Z262" i="5" s="1"/>
  <c r="Y263" i="5"/>
  <c r="Z263" i="5" s="1"/>
  <c r="Y264" i="5"/>
  <c r="Z264" i="5" s="1"/>
  <c r="Y265" i="5"/>
  <c r="Z265" i="5" s="1"/>
  <c r="Y266" i="5"/>
  <c r="Z266" i="5" s="1"/>
  <c r="Y267" i="5"/>
  <c r="Z267" i="5" s="1"/>
  <c r="Y268" i="5"/>
  <c r="Z268" i="5" s="1"/>
  <c r="Y269" i="5"/>
  <c r="Z269" i="5" s="1"/>
  <c r="Y270" i="5"/>
  <c r="Z270" i="5" s="1"/>
  <c r="Y271" i="5"/>
  <c r="Z271" i="5" s="1"/>
  <c r="Y272" i="5"/>
  <c r="Z272" i="5" s="1"/>
  <c r="Y273" i="5"/>
  <c r="Y274" i="5"/>
  <c r="Z274" i="5" s="1"/>
  <c r="Y275" i="5"/>
  <c r="Z275" i="5" s="1"/>
  <c r="Y276" i="5"/>
  <c r="Z276" i="5" s="1"/>
  <c r="Y277" i="5"/>
  <c r="Z277" i="5" s="1"/>
  <c r="Y278" i="5"/>
  <c r="Z278" i="5" s="1"/>
  <c r="Y279" i="5"/>
  <c r="Z279" i="5" s="1"/>
  <c r="Y280" i="5"/>
  <c r="Z280" i="5" s="1"/>
  <c r="Y281" i="5"/>
  <c r="Z281" i="5" s="1"/>
  <c r="Y282" i="5"/>
  <c r="Z282" i="5" s="1"/>
  <c r="Y283" i="5"/>
  <c r="Z283" i="5" s="1"/>
  <c r="Y284" i="5"/>
  <c r="Z284" i="5" s="1"/>
  <c r="Y285" i="5"/>
  <c r="Z285" i="5" s="1"/>
  <c r="Y286" i="5"/>
  <c r="Z286" i="5" s="1"/>
  <c r="Y287" i="5"/>
  <c r="Z287" i="5" s="1"/>
  <c r="Y288" i="5"/>
  <c r="Z288" i="5" s="1"/>
  <c r="Y289" i="5"/>
  <c r="Z289" i="5" s="1"/>
  <c r="Y290" i="5"/>
  <c r="Z290" i="5" s="1"/>
  <c r="Y291" i="5"/>
  <c r="Z291" i="5" s="1"/>
  <c r="Y292" i="5"/>
  <c r="Z292" i="5" s="1"/>
  <c r="Y293" i="5"/>
  <c r="Z293" i="5" s="1"/>
  <c r="Y294" i="5"/>
  <c r="Z294" i="5" s="1"/>
  <c r="Y295" i="5"/>
  <c r="Z295" i="5" s="1"/>
  <c r="Y296" i="5"/>
  <c r="Z296" i="5" s="1"/>
  <c r="Y297" i="5"/>
  <c r="Y298" i="5"/>
  <c r="Z298" i="5" s="1"/>
  <c r="Y299" i="5"/>
  <c r="Z299" i="5" s="1"/>
  <c r="Y300" i="5"/>
  <c r="Z300" i="5" s="1"/>
  <c r="Y301" i="5"/>
  <c r="Z301" i="5" s="1"/>
  <c r="Y302" i="5"/>
  <c r="Z302" i="5" s="1"/>
  <c r="Y303" i="5"/>
  <c r="Z303" i="5" s="1"/>
  <c r="Y304" i="5"/>
  <c r="Z304" i="5" s="1"/>
  <c r="Y305" i="5"/>
  <c r="Z305" i="5" s="1"/>
  <c r="Y306" i="5"/>
  <c r="Z306" i="5" s="1"/>
  <c r="Y307" i="5"/>
  <c r="Z307" i="5" s="1"/>
  <c r="Y308" i="5"/>
  <c r="Z308" i="5" s="1"/>
  <c r="Y309" i="5"/>
  <c r="Z309" i="5" s="1"/>
  <c r="Y310" i="5"/>
  <c r="Z310" i="5" s="1"/>
  <c r="Y311" i="5"/>
  <c r="Z311" i="5" s="1"/>
  <c r="Y312" i="5"/>
  <c r="Z312" i="5" s="1"/>
  <c r="Y313" i="5"/>
  <c r="Z313" i="5" s="1"/>
  <c r="Y314" i="5"/>
  <c r="Z314" i="5" s="1"/>
  <c r="Y315" i="5"/>
  <c r="Z315" i="5" s="1"/>
  <c r="Y316" i="5"/>
  <c r="Z316" i="5" s="1"/>
  <c r="Y317" i="5"/>
  <c r="Z317" i="5" s="1"/>
  <c r="Y318" i="5"/>
  <c r="Z318" i="5" s="1"/>
  <c r="Y319" i="5"/>
  <c r="Z319" i="5" s="1"/>
  <c r="Y320" i="5"/>
  <c r="Z320" i="5" s="1"/>
  <c r="Y321" i="5"/>
  <c r="Y322" i="5"/>
  <c r="Z322" i="5" s="1"/>
  <c r="Y323" i="5"/>
  <c r="Z323" i="5" s="1"/>
  <c r="Y324" i="5"/>
  <c r="Z324" i="5" s="1"/>
  <c r="Y325" i="5"/>
  <c r="Z325" i="5" s="1"/>
  <c r="Y326" i="5"/>
  <c r="Z326" i="5" s="1"/>
  <c r="Y327" i="5"/>
  <c r="Z327" i="5" s="1"/>
  <c r="Y328" i="5"/>
  <c r="Z328" i="5" s="1"/>
  <c r="Y329" i="5"/>
  <c r="Z329" i="5" s="1"/>
  <c r="Y330" i="5"/>
  <c r="Z330" i="5" s="1"/>
  <c r="Y331" i="5"/>
  <c r="Z331" i="5" s="1"/>
  <c r="Y332" i="5"/>
  <c r="Z332" i="5" s="1"/>
  <c r="Y333" i="5"/>
  <c r="Z333" i="5" s="1"/>
  <c r="Y334" i="5"/>
  <c r="Z334" i="5" s="1"/>
  <c r="Y335" i="5"/>
  <c r="Z335" i="5" s="1"/>
  <c r="Y336" i="5"/>
  <c r="Z336" i="5" s="1"/>
  <c r="Y337" i="5"/>
  <c r="Y338" i="5"/>
  <c r="Z338" i="5" s="1"/>
  <c r="Y339" i="5"/>
  <c r="Z339" i="5" s="1"/>
  <c r="Y340" i="5"/>
  <c r="Z340" i="5" s="1"/>
  <c r="Y341" i="5"/>
  <c r="Z341" i="5" s="1"/>
  <c r="Y342" i="5"/>
  <c r="Z342" i="5" s="1"/>
  <c r="Y343" i="5"/>
  <c r="Z343" i="5" s="1"/>
  <c r="Y344" i="5"/>
  <c r="Z344" i="5" s="1"/>
  <c r="Y345" i="5"/>
  <c r="Z345" i="5" s="1"/>
  <c r="Y346" i="5"/>
  <c r="Z346" i="5" s="1"/>
  <c r="Y347" i="5"/>
  <c r="Z347" i="5" s="1"/>
  <c r="Y348" i="5"/>
  <c r="Z348" i="5" s="1"/>
  <c r="Y349" i="5"/>
  <c r="Z349" i="5" s="1"/>
  <c r="Y350" i="5"/>
  <c r="Z350" i="5" s="1"/>
  <c r="Y351" i="5"/>
  <c r="Z351" i="5" s="1"/>
  <c r="Y352" i="5"/>
  <c r="Z352" i="5" s="1"/>
  <c r="Y353" i="5"/>
  <c r="Z353" i="5" s="1"/>
  <c r="Y354" i="5"/>
  <c r="Z354" i="5" s="1"/>
  <c r="Y355" i="5"/>
  <c r="Z355" i="5" s="1"/>
  <c r="Y356" i="5"/>
  <c r="Z356" i="5" s="1"/>
  <c r="Y357" i="5"/>
  <c r="Z357" i="5" s="1"/>
  <c r="Y358" i="5"/>
  <c r="Z358" i="5" s="1"/>
  <c r="Y359" i="5"/>
  <c r="Z359" i="5" s="1"/>
  <c r="Y360" i="5"/>
  <c r="Z360" i="5" s="1"/>
  <c r="Y361" i="5"/>
  <c r="Y362" i="5"/>
  <c r="Z362" i="5" s="1"/>
  <c r="Y363" i="5"/>
  <c r="Z363" i="5" s="1"/>
  <c r="Y364" i="5"/>
  <c r="Z364" i="5" s="1"/>
  <c r="Y365" i="5"/>
  <c r="Z365" i="5" s="1"/>
  <c r="Y366" i="5"/>
  <c r="Z366" i="5" s="1"/>
  <c r="Y367" i="5"/>
  <c r="Z367" i="5" s="1"/>
  <c r="Y368" i="5"/>
  <c r="Z368" i="5" s="1"/>
  <c r="Y369" i="5"/>
  <c r="Z369" i="5" s="1"/>
  <c r="Y370" i="5"/>
  <c r="Z370" i="5" s="1"/>
  <c r="Y371" i="5"/>
  <c r="Z371" i="5" s="1"/>
  <c r="Y372" i="5"/>
  <c r="Z372" i="5" s="1"/>
  <c r="Y373" i="5"/>
  <c r="Z373" i="5" s="1"/>
  <c r="Y374" i="5"/>
  <c r="Z374" i="5" s="1"/>
  <c r="Y375" i="5"/>
  <c r="Z375" i="5" s="1"/>
  <c r="Y376" i="5"/>
  <c r="Z376" i="5" s="1"/>
  <c r="Y377" i="5"/>
  <c r="Z377" i="5" s="1"/>
  <c r="Y378" i="5"/>
  <c r="Z378" i="5" s="1"/>
  <c r="Y379" i="5"/>
  <c r="Z379" i="5" s="1"/>
  <c r="Y380" i="5"/>
  <c r="Z380" i="5" s="1"/>
  <c r="Y381" i="5"/>
  <c r="Z381" i="5" s="1"/>
  <c r="Y382" i="5"/>
  <c r="Z382" i="5" s="1"/>
  <c r="Y383" i="5"/>
  <c r="Z383" i="5" s="1"/>
  <c r="Y384" i="5"/>
  <c r="Z384" i="5" s="1"/>
  <c r="Y385" i="5"/>
  <c r="Y386" i="5"/>
  <c r="Z386" i="5" s="1"/>
  <c r="Y387" i="5"/>
  <c r="Z387" i="5" s="1"/>
  <c r="Y388" i="5"/>
  <c r="Z388" i="5" s="1"/>
  <c r="Y389" i="5"/>
  <c r="Z389" i="5" s="1"/>
  <c r="Y390" i="5"/>
  <c r="Z390" i="5" s="1"/>
  <c r="Y391" i="5"/>
  <c r="Z391" i="5" s="1"/>
  <c r="Y392" i="5"/>
  <c r="Z392" i="5" s="1"/>
  <c r="Y393" i="5"/>
  <c r="Z393" i="5" s="1"/>
  <c r="Y394" i="5"/>
  <c r="Z394" i="5" s="1"/>
  <c r="Y395" i="5"/>
  <c r="Z395" i="5" s="1"/>
  <c r="Y396" i="5"/>
  <c r="Z396" i="5" s="1"/>
  <c r="Y397" i="5"/>
  <c r="Z397" i="5" s="1"/>
  <c r="Y398" i="5"/>
  <c r="Z398" i="5" s="1"/>
  <c r="Y399" i="5"/>
  <c r="Z399" i="5" s="1"/>
  <c r="Y400" i="5"/>
  <c r="Z400" i="5" s="1"/>
  <c r="Y401" i="5"/>
  <c r="Y402" i="5"/>
  <c r="Z402" i="5" s="1"/>
  <c r="Y403" i="5"/>
  <c r="Z403" i="5" s="1"/>
  <c r="Y404" i="5"/>
  <c r="Z404" i="5" s="1"/>
  <c r="Y405" i="5"/>
  <c r="Z405" i="5" s="1"/>
  <c r="Y406" i="5"/>
  <c r="Z406" i="5" s="1"/>
  <c r="Y407" i="5"/>
  <c r="Z407" i="5" s="1"/>
  <c r="Y408" i="5"/>
  <c r="Z408" i="5" s="1"/>
  <c r="Y409" i="5"/>
  <c r="Z409" i="5" s="1"/>
  <c r="Y410" i="5"/>
  <c r="Z410" i="5" s="1"/>
  <c r="Y411" i="5"/>
  <c r="Z411" i="5" s="1"/>
  <c r="Y412" i="5"/>
  <c r="Z412" i="5" s="1"/>
  <c r="Y413" i="5"/>
  <c r="Z413" i="5" s="1"/>
  <c r="Y414" i="5"/>
  <c r="Z414" i="5" s="1"/>
  <c r="Y415" i="5"/>
  <c r="Z415" i="5" s="1"/>
  <c r="Y416" i="5"/>
  <c r="Z416" i="5" s="1"/>
  <c r="Y417" i="5"/>
  <c r="Z417" i="5" s="1"/>
  <c r="Y418" i="5"/>
  <c r="Z418" i="5" s="1"/>
  <c r="Y419" i="5"/>
  <c r="Z419" i="5" s="1"/>
  <c r="Y420" i="5"/>
  <c r="Z420" i="5" s="1"/>
  <c r="Y421" i="5"/>
  <c r="Z421" i="5" s="1"/>
  <c r="Y422" i="5"/>
  <c r="Z422" i="5" s="1"/>
  <c r="Y423" i="5"/>
  <c r="Z423" i="5" s="1"/>
  <c r="Y424" i="5"/>
  <c r="Z424" i="5" s="1"/>
  <c r="Y425" i="5"/>
  <c r="Y426" i="5"/>
  <c r="Z426" i="5" s="1"/>
  <c r="Y427" i="5"/>
  <c r="Z427" i="5" s="1"/>
  <c r="Y428" i="5"/>
  <c r="Z428" i="5" s="1"/>
  <c r="Y429" i="5"/>
  <c r="Z429" i="5" s="1"/>
  <c r="Y430" i="5"/>
  <c r="Z430" i="5" s="1"/>
  <c r="Y431" i="5"/>
  <c r="Z431" i="5" s="1"/>
  <c r="Y432" i="5"/>
  <c r="Z432" i="5" s="1"/>
  <c r="Y433" i="5"/>
  <c r="Z433" i="5" s="1"/>
  <c r="Y434" i="5"/>
  <c r="Z434" i="5" s="1"/>
  <c r="Y435" i="5"/>
  <c r="Z435" i="5" s="1"/>
  <c r="Y436" i="5"/>
  <c r="Z436" i="5" s="1"/>
  <c r="Y437" i="5"/>
  <c r="Z437" i="5" s="1"/>
  <c r="Y438" i="5"/>
  <c r="Z438" i="5" s="1"/>
  <c r="Y439" i="5"/>
  <c r="Z439" i="5" s="1"/>
  <c r="Y440" i="5"/>
  <c r="Z440" i="5" s="1"/>
  <c r="Y441" i="5"/>
  <c r="Z441" i="5" s="1"/>
  <c r="Y442" i="5"/>
  <c r="Z442" i="5" s="1"/>
  <c r="Y443" i="5"/>
  <c r="Z443" i="5" s="1"/>
  <c r="Y444" i="5"/>
  <c r="Z444" i="5" s="1"/>
  <c r="Y445" i="5"/>
  <c r="Z445" i="5" s="1"/>
  <c r="Y446" i="5"/>
  <c r="Z446" i="5" s="1"/>
  <c r="Y447" i="5"/>
  <c r="Z447" i="5" s="1"/>
  <c r="Y448" i="5"/>
  <c r="Z448" i="5" s="1"/>
  <c r="Y449" i="5"/>
  <c r="Y450" i="5"/>
  <c r="Z450" i="5" s="1"/>
  <c r="Y451" i="5"/>
  <c r="Z451" i="5" s="1"/>
  <c r="Y452" i="5"/>
  <c r="Z452" i="5" s="1"/>
  <c r="Y453" i="5"/>
  <c r="Z453" i="5" s="1"/>
  <c r="Y454" i="5"/>
  <c r="Z454" i="5" s="1"/>
  <c r="Y455" i="5"/>
  <c r="Z455" i="5" s="1"/>
  <c r="Y456" i="5"/>
  <c r="Z456" i="5" s="1"/>
  <c r="Y457" i="5"/>
  <c r="Z457" i="5" s="1"/>
  <c r="Y458" i="5"/>
  <c r="Z458" i="5" s="1"/>
  <c r="Y459" i="5"/>
  <c r="Z459" i="5" s="1"/>
  <c r="Y460" i="5"/>
  <c r="Z460" i="5" s="1"/>
  <c r="Y461" i="5"/>
  <c r="Z461" i="5" s="1"/>
  <c r="Y462" i="5"/>
  <c r="Z462" i="5" s="1"/>
  <c r="Y463" i="5"/>
  <c r="Z463" i="5" s="1"/>
  <c r="Y464" i="5"/>
  <c r="Z464" i="5" s="1"/>
  <c r="Y465" i="5"/>
  <c r="Y466" i="5"/>
  <c r="Z466" i="5" s="1"/>
  <c r="Y467" i="5"/>
  <c r="Z467" i="5" s="1"/>
  <c r="Y468" i="5"/>
  <c r="Z468" i="5" s="1"/>
  <c r="Y469" i="5"/>
  <c r="Z469" i="5" s="1"/>
  <c r="Y470" i="5"/>
  <c r="Z470" i="5" s="1"/>
  <c r="Y471" i="5"/>
  <c r="Z471" i="5" s="1"/>
  <c r="Y472" i="5"/>
  <c r="Z472" i="5" s="1"/>
  <c r="Y473" i="5"/>
  <c r="Z473" i="5" s="1"/>
  <c r="Y474" i="5"/>
  <c r="Z474" i="5" s="1"/>
  <c r="Y475" i="5"/>
  <c r="Z475" i="5" s="1"/>
  <c r="Y476" i="5"/>
  <c r="Z476" i="5" s="1"/>
  <c r="Y477" i="5"/>
  <c r="Z477" i="5" s="1"/>
  <c r="Y478" i="5"/>
  <c r="Z478" i="5" s="1"/>
  <c r="Y479" i="5"/>
  <c r="Z479" i="5" s="1"/>
  <c r="Y480" i="5"/>
  <c r="Z480" i="5" s="1"/>
  <c r="Y481" i="5"/>
  <c r="Z481" i="5" s="1"/>
  <c r="Y482" i="5"/>
  <c r="Z482" i="5" s="1"/>
  <c r="Y483" i="5"/>
  <c r="Z483" i="5" s="1"/>
  <c r="Y484" i="5"/>
  <c r="Z484" i="5" s="1"/>
  <c r="Y485" i="5"/>
  <c r="Z485" i="5" s="1"/>
  <c r="Y486" i="5"/>
  <c r="Z486" i="5" s="1"/>
  <c r="Y487" i="5"/>
  <c r="Z487" i="5" s="1"/>
  <c r="Y488" i="5"/>
  <c r="Z488" i="5" s="1"/>
  <c r="Y489" i="5"/>
  <c r="Y490" i="5"/>
  <c r="Z490" i="5" s="1"/>
  <c r="Y491" i="5"/>
  <c r="Z491" i="5" s="1"/>
  <c r="Y492" i="5"/>
  <c r="Z492" i="5" s="1"/>
  <c r="Y493" i="5"/>
  <c r="Z493" i="5" s="1"/>
  <c r="Y494" i="5"/>
  <c r="Z494" i="5" s="1"/>
  <c r="Y495" i="5"/>
  <c r="Z495" i="5" s="1"/>
  <c r="Y496" i="5"/>
  <c r="Z496" i="5" s="1"/>
  <c r="Y497" i="5"/>
  <c r="Z497" i="5" s="1"/>
  <c r="Y498" i="5"/>
  <c r="Z498" i="5" s="1"/>
  <c r="Y499" i="5"/>
  <c r="Z499" i="5" s="1"/>
  <c r="Y500" i="5"/>
  <c r="Z500" i="5" s="1"/>
  <c r="Y501" i="5"/>
  <c r="Z501" i="5" s="1"/>
  <c r="Y502" i="5"/>
  <c r="Z502" i="5" s="1"/>
  <c r="Y503" i="5"/>
  <c r="Z503" i="5" s="1"/>
  <c r="Y504" i="5"/>
  <c r="Z504" i="5" s="1"/>
  <c r="Y505" i="5"/>
  <c r="Z505" i="5" s="1"/>
  <c r="Y506" i="5"/>
  <c r="Z506" i="5" s="1"/>
  <c r="Y507" i="5"/>
  <c r="Z507" i="5" s="1"/>
  <c r="Y508" i="5"/>
  <c r="Z508" i="5" s="1"/>
  <c r="Y509" i="5"/>
  <c r="Z509" i="5" s="1"/>
  <c r="Y510" i="5"/>
  <c r="Z510" i="5" s="1"/>
  <c r="Y511" i="5"/>
  <c r="Z511" i="5" s="1"/>
  <c r="Y512" i="5"/>
  <c r="Z512" i="5" s="1"/>
  <c r="Y513" i="5"/>
  <c r="Y514" i="5"/>
  <c r="Z514" i="5" s="1"/>
  <c r="Y515" i="5"/>
  <c r="Z515" i="5" s="1"/>
  <c r="Y516" i="5"/>
  <c r="Z516" i="5" s="1"/>
  <c r="Y517" i="5"/>
  <c r="Z517" i="5" s="1"/>
  <c r="Y518" i="5"/>
  <c r="Z518" i="5" s="1"/>
  <c r="Y519" i="5"/>
  <c r="Z519" i="5" s="1"/>
  <c r="Y520" i="5"/>
  <c r="Z520" i="5" s="1"/>
  <c r="Y521" i="5"/>
  <c r="Z521" i="5" s="1"/>
  <c r="Y522" i="5"/>
  <c r="Z522" i="5" s="1"/>
  <c r="Y523" i="5"/>
  <c r="Z523" i="5" s="1"/>
  <c r="Y524" i="5"/>
  <c r="Z524" i="5" s="1"/>
  <c r="Y525" i="5"/>
  <c r="Z525" i="5" s="1"/>
  <c r="Y526" i="5"/>
  <c r="Z526" i="5" s="1"/>
  <c r="Y527" i="5"/>
  <c r="Z527" i="5" s="1"/>
  <c r="Y528" i="5"/>
  <c r="Z528" i="5" s="1"/>
  <c r="Y529" i="5"/>
  <c r="Y530" i="5"/>
  <c r="Z530" i="5" s="1"/>
  <c r="Y531" i="5"/>
  <c r="Z531" i="5" s="1"/>
  <c r="Y532" i="5"/>
  <c r="Z532" i="5" s="1"/>
  <c r="Y533" i="5"/>
  <c r="Z533" i="5" s="1"/>
  <c r="Y534" i="5"/>
  <c r="Z534" i="5" s="1"/>
  <c r="Y535" i="5"/>
  <c r="Z535" i="5" s="1"/>
  <c r="Y536" i="5"/>
  <c r="Z536" i="5" s="1"/>
  <c r="Y537" i="5"/>
  <c r="Z537" i="5" s="1"/>
  <c r="Y538" i="5"/>
  <c r="Z538" i="5" s="1"/>
  <c r="Y539" i="5"/>
  <c r="Z539" i="5" s="1"/>
  <c r="Y540" i="5"/>
  <c r="Z540" i="5" s="1"/>
  <c r="Y541" i="5"/>
  <c r="Z541" i="5" s="1"/>
  <c r="Y542" i="5"/>
  <c r="Z542" i="5" s="1"/>
  <c r="Y543" i="5"/>
  <c r="Z543" i="5" s="1"/>
  <c r="Y544" i="5"/>
  <c r="Z544" i="5" s="1"/>
  <c r="Y545" i="5"/>
  <c r="Z545" i="5" s="1"/>
  <c r="Y546" i="5"/>
  <c r="Z546" i="5" s="1"/>
  <c r="Y547" i="5"/>
  <c r="Z547" i="5" s="1"/>
  <c r="Y548" i="5"/>
  <c r="Z548" i="5" s="1"/>
  <c r="Y549" i="5"/>
  <c r="Z549" i="5" s="1"/>
  <c r="Y550" i="5"/>
  <c r="Z550" i="5" s="1"/>
  <c r="Y551" i="5"/>
  <c r="Z551" i="5" s="1"/>
  <c r="Y552" i="5"/>
  <c r="Z552" i="5" s="1"/>
  <c r="Y553" i="5"/>
  <c r="Y554" i="5"/>
  <c r="Z554" i="5" s="1"/>
  <c r="Y555" i="5"/>
  <c r="Z555" i="5" s="1"/>
  <c r="Y556" i="5"/>
  <c r="Z556" i="5" s="1"/>
  <c r="Y557" i="5"/>
  <c r="Z557" i="5" s="1"/>
  <c r="Y558" i="5"/>
  <c r="Z558" i="5" s="1"/>
  <c r="Y559" i="5"/>
  <c r="Z559" i="5" s="1"/>
  <c r="Y560" i="5"/>
  <c r="Z560" i="5" s="1"/>
  <c r="Y561" i="5"/>
  <c r="Z561" i="5" s="1"/>
  <c r="Y562" i="5"/>
  <c r="Z562" i="5" s="1"/>
  <c r="Y563" i="5"/>
  <c r="Z563" i="5" s="1"/>
  <c r="Y564" i="5"/>
  <c r="Z564" i="5" s="1"/>
  <c r="Y565" i="5"/>
  <c r="Z565" i="5" s="1"/>
  <c r="Y566" i="5"/>
  <c r="Z566" i="5" s="1"/>
  <c r="Y567" i="5"/>
  <c r="Z567" i="5" s="1"/>
  <c r="Y568" i="5"/>
  <c r="Z568" i="5" s="1"/>
  <c r="Y569" i="5"/>
  <c r="Z569" i="5" s="1"/>
  <c r="Y570" i="5"/>
  <c r="Z570" i="5" s="1"/>
  <c r="Y571" i="5"/>
  <c r="Z571" i="5" s="1"/>
  <c r="Y572" i="5"/>
  <c r="Z572" i="5" s="1"/>
  <c r="Y573" i="5"/>
  <c r="Z573" i="5" s="1"/>
  <c r="Y574" i="5"/>
  <c r="Z574" i="5" s="1"/>
  <c r="Y575" i="5"/>
  <c r="Z575" i="5" s="1"/>
  <c r="Y576" i="5"/>
  <c r="Z576" i="5" s="1"/>
  <c r="Y577" i="5"/>
  <c r="Y578" i="5"/>
  <c r="Z578" i="5" s="1"/>
  <c r="Y579" i="5"/>
  <c r="Z579" i="5" s="1"/>
  <c r="Y580" i="5"/>
  <c r="Z580" i="5" s="1"/>
  <c r="Y581" i="5"/>
  <c r="Z581" i="5" s="1"/>
  <c r="Y582" i="5"/>
  <c r="Z582" i="5" s="1"/>
  <c r="Y583" i="5"/>
  <c r="Z583" i="5" s="1"/>
  <c r="Y584" i="5"/>
  <c r="Z584" i="5" s="1"/>
  <c r="Y585" i="5"/>
  <c r="Z585" i="5" s="1"/>
  <c r="Y586" i="5"/>
  <c r="Z586" i="5" s="1"/>
  <c r="Y587" i="5"/>
  <c r="Z587" i="5" s="1"/>
  <c r="Y588" i="5"/>
  <c r="Z588" i="5" s="1"/>
  <c r="Y589" i="5"/>
  <c r="Z589" i="5" s="1"/>
  <c r="Y590" i="5"/>
  <c r="Z590" i="5" s="1"/>
  <c r="Y591" i="5"/>
  <c r="Z591" i="5" s="1"/>
  <c r="Y592" i="5"/>
  <c r="Z592" i="5" s="1"/>
  <c r="Y593" i="5"/>
  <c r="Y594" i="5"/>
  <c r="Z594" i="5" s="1"/>
  <c r="Y595" i="5"/>
  <c r="Z595" i="5" s="1"/>
  <c r="Y596" i="5"/>
  <c r="Z596" i="5" s="1"/>
  <c r="Y597" i="5"/>
  <c r="Z597" i="5" s="1"/>
  <c r="Y598" i="5"/>
  <c r="Z598" i="5" s="1"/>
  <c r="Y599" i="5"/>
  <c r="Z599" i="5" s="1"/>
  <c r="Y600" i="5"/>
  <c r="Z600" i="5" s="1"/>
  <c r="Y601" i="5"/>
  <c r="Z601" i="5" s="1"/>
  <c r="Y602" i="5"/>
  <c r="Z602" i="5" s="1"/>
  <c r="Y603" i="5"/>
  <c r="Z603" i="5" s="1"/>
  <c r="Y604" i="5"/>
  <c r="Z604" i="5" s="1"/>
  <c r="Y605" i="5"/>
  <c r="Z605" i="5" s="1"/>
  <c r="Y606" i="5"/>
  <c r="Z606" i="5" s="1"/>
  <c r="Y607" i="5"/>
  <c r="Z607" i="5" s="1"/>
  <c r="Y608" i="5"/>
  <c r="Z608" i="5" s="1"/>
  <c r="Y609" i="5"/>
  <c r="Z609" i="5" s="1"/>
  <c r="Y610" i="5"/>
  <c r="Z610" i="5" s="1"/>
  <c r="Y611" i="5"/>
  <c r="Z611" i="5" s="1"/>
  <c r="Y612" i="5"/>
  <c r="Z612" i="5" s="1"/>
  <c r="Y613" i="5"/>
  <c r="Z613" i="5" s="1"/>
  <c r="Y614" i="5"/>
  <c r="Z614" i="5" s="1"/>
  <c r="Y615" i="5"/>
  <c r="Z615" i="5" s="1"/>
  <c r="Y616" i="5"/>
  <c r="Z616" i="5" s="1"/>
  <c r="Y617" i="5"/>
  <c r="Y618" i="5"/>
  <c r="Z618" i="5" s="1"/>
  <c r="Y619" i="5"/>
  <c r="Z619" i="5" s="1"/>
  <c r="Y620" i="5"/>
  <c r="Z620" i="5" s="1"/>
  <c r="Y621" i="5"/>
  <c r="Z621" i="5" s="1"/>
  <c r="Y622" i="5"/>
  <c r="Z622" i="5" s="1"/>
  <c r="Y623" i="5"/>
  <c r="Z623" i="5" s="1"/>
  <c r="Y624" i="5"/>
  <c r="Z624" i="5" s="1"/>
  <c r="Y625" i="5"/>
  <c r="Z625" i="5" s="1"/>
  <c r="Y626" i="5"/>
  <c r="Z626" i="5" s="1"/>
  <c r="Y627" i="5"/>
  <c r="Z627" i="5" s="1"/>
  <c r="Y628" i="5"/>
  <c r="Z628" i="5" s="1"/>
  <c r="Y629" i="5"/>
  <c r="Z629" i="5" s="1"/>
  <c r="Y630" i="5"/>
  <c r="Z630" i="5" s="1"/>
  <c r="Y631" i="5"/>
  <c r="Z631" i="5" s="1"/>
  <c r="Y632" i="5"/>
  <c r="Z632" i="5" s="1"/>
  <c r="Y633" i="5"/>
  <c r="Z633" i="5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2" i="5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M636" i="4"/>
  <c r="M635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Z107" i="5" l="1"/>
  <c r="Z99" i="5"/>
  <c r="Z91" i="5"/>
  <c r="Z83" i="5"/>
  <c r="Z75" i="5"/>
  <c r="Z67" i="5"/>
  <c r="Z59" i="5"/>
  <c r="Z51" i="5"/>
  <c r="Z43" i="5"/>
  <c r="Z35" i="5"/>
  <c r="Z27" i="5"/>
  <c r="Z19" i="5"/>
  <c r="Z11" i="5"/>
  <c r="Z3" i="5"/>
  <c r="Z81" i="5"/>
  <c r="Z73" i="5"/>
  <c r="Z65" i="5"/>
  <c r="Z57" i="5"/>
  <c r="Z49" i="5"/>
  <c r="Z41" i="5"/>
  <c r="Z33" i="5"/>
  <c r="Z25" i="5"/>
  <c r="Z17" i="5"/>
  <c r="Z9" i="5"/>
  <c r="Z184" i="5"/>
  <c r="Z176" i="5"/>
  <c r="Z168" i="5"/>
  <c r="Z160" i="5"/>
  <c r="Z152" i="5"/>
  <c r="Z144" i="5"/>
  <c r="Z136" i="5"/>
  <c r="Z128" i="5"/>
  <c r="Z120" i="5"/>
  <c r="Z112" i="5"/>
  <c r="Z104" i="5"/>
  <c r="Z96" i="5"/>
  <c r="Z88" i="5"/>
  <c r="Z80" i="5"/>
  <c r="Z72" i="5"/>
  <c r="Z64" i="5"/>
  <c r="Z56" i="5"/>
  <c r="Z48" i="5"/>
  <c r="Z40" i="5"/>
  <c r="Z32" i="5"/>
  <c r="Z24" i="5"/>
  <c r="Z16" i="5"/>
  <c r="Z8" i="5"/>
  <c r="Z86" i="5"/>
  <c r="Z78" i="5"/>
  <c r="Z70" i="5"/>
  <c r="Z62" i="5"/>
  <c r="Z54" i="5"/>
  <c r="Z46" i="5"/>
  <c r="Z38" i="5"/>
  <c r="Z30" i="5"/>
  <c r="Z22" i="5"/>
  <c r="Z14" i="5"/>
  <c r="Z6" i="5"/>
  <c r="Z141" i="5"/>
  <c r="Z133" i="5"/>
  <c r="Z125" i="5"/>
  <c r="Z117" i="5"/>
  <c r="Z109" i="5"/>
  <c r="Z101" i="5"/>
  <c r="Z93" i="5"/>
  <c r="Z85" i="5"/>
  <c r="Z77" i="5"/>
  <c r="Z69" i="5"/>
  <c r="Z61" i="5"/>
  <c r="Z53" i="5"/>
  <c r="Z45" i="5"/>
  <c r="Z37" i="5"/>
  <c r="Z29" i="5"/>
  <c r="Z21" i="5"/>
  <c r="Z13" i="5"/>
  <c r="Z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B68D6-E65D-4EDE-9433-EBABE4CDFB5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8B0109C-B16B-4661-A66A-4CB68B8ACE93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<sst xmlns="http://schemas.openxmlformats.org/spreadsheetml/2006/main" count="13435" uniqueCount="1531">
  <si>
    <t>OrderID</t>
  </si>
  <si>
    <t>OrderDate</t>
  </si>
  <si>
    <t>RequiredDate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</si>
  <si>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</si>
  <si>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</si>
  <si>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</si>
  <si>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</si>
  <si>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</si>
  <si>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</si>
  <si>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</si>
  <si>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</si>
  <si>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</si>
  <si>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</si>
  <si>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</si>
  <si>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</si>
  <si>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</si>
  <si>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</si>
  <si>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</si>
  <si>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</si>
  <si>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</si>
  <si>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</si>
  <si>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</si>
  <si>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</si>
  <si>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</si>
  <si>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</si>
  <si>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</si>
  <si>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</si>
  <si>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</si>
  <si>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</si>
  <si>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</si>
  <si>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</si>
  <si>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</si>
  <si>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</si>
  <si>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</si>
  <si>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</si>
  <si>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</si>
  <si>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</si>
  <si>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</si>
  <si>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</si>
  <si>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</si>
  <si>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</si>
  <si>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</si>
  <si>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</si>
  <si>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</si>
  <si>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</si>
  <si>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</si>
  <si>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</si>
  <si>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</si>
  <si>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</si>
  <si>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</si>
  <si>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</si>
  <si>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</si>
  <si>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</si>
  <si>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</si>
  <si>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</si>
  <si>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</si>
  <si>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</si>
  <si>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</si>
  <si>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</si>
  <si>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</si>
  <si>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</si>
  <si>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</si>
  <si>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</si>
  <si>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</si>
  <si>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</si>
  <si>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</si>
  <si>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</si>
  <si>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</si>
  <si>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</si>
  <si>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</si>
  <si>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</si>
  <si>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</si>
  <si>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</si>
  <si>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</si>
  <si>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</si>
  <si>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</si>
  <si>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</si>
  <si>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</si>
  <si>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</si>
  <si>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</si>
  <si>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</si>
  <si>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</si>
  <si>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</si>
  <si>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</si>
  <si>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</si>
  <si>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</si>
  <si>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</si>
  <si>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</si>
  <si>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</si>
  <si>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</si>
  <si>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</si>
  <si>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</si>
  <si>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</si>
  <si>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</si>
  <si>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</si>
  <si>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</si>
  <si>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</si>
  <si>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</si>
  <si>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</si>
  <si>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</si>
  <si>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</si>
  <si>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</si>
  <si>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</si>
  <si>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</si>
  <si>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</si>
  <si>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</si>
  <si>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</si>
  <si>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</si>
  <si>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</si>
  <si>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</si>
  <si>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</si>
  <si>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</si>
  <si>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</si>
  <si>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</si>
  <si>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</si>
  <si>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</si>
  <si>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</si>
  <si>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</si>
  <si>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</si>
  <si>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</si>
  <si>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</si>
  <si>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</si>
  <si>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</si>
  <si>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</si>
  <si>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</si>
  <si>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</si>
  <si>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</si>
  <si>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</si>
  <si>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</si>
  <si>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</si>
  <si>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</si>
  <si>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</si>
  <si>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</si>
  <si>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</si>
  <si>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</si>
  <si>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</si>
  <si>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</si>
  <si>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</si>
  <si>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</si>
  <si>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</si>
  <si>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</si>
  <si>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</si>
  <si>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</si>
  <si>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</si>
  <si>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</si>
  <si>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</si>
  <si>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</si>
  <si>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</si>
  <si>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</si>
  <si>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</si>
  <si>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</si>
  <si>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</si>
  <si>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</si>
  <si>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</si>
  <si>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</si>
  <si>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</si>
  <si>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</si>
  <si>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</si>
  <si>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</si>
  <si>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</si>
  <si>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</si>
  <si>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</si>
  <si>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</si>
  <si>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</si>
  <si>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</si>
  <si>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</si>
  <si>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</si>
  <si>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</si>
  <si>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</si>
  <si>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</si>
  <si>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</si>
  <si>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</si>
  <si>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</si>
  <si>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</si>
  <si>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</si>
  <si>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</si>
  <si>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</si>
  <si>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</si>
  <si>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</si>
  <si>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</si>
  <si>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</si>
  <si>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</si>
  <si>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</si>
  <si>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</si>
  <si>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</si>
  <si>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</si>
  <si>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</si>
  <si>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</si>
  <si>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</si>
  <si>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</si>
  <si>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</si>
  <si>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</si>
  <si>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</si>
  <si>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</si>
  <si>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</si>
  <si>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</si>
  <si>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</si>
  <si>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</si>
  <si>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</si>
  <si>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</si>
  <si>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</si>
  <si>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</si>
  <si>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</si>
  <si>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</si>
  <si>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</si>
  <si>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</si>
  <si>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</si>
  <si>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</si>
  <si>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</si>
  <si>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</si>
  <si>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</si>
  <si>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</si>
  <si>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</si>
  <si>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</si>
  <si>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</si>
  <si>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</si>
  <si>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</si>
  <si>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</si>
  <si>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</si>
  <si>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</si>
  <si>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</si>
  <si>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</si>
  <si>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</si>
  <si>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</si>
  <si>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</si>
  <si>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</si>
  <si>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</si>
  <si>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</si>
  <si>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</si>
  <si>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</si>
  <si>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</si>
  <si>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</si>
  <si>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</si>
  <si>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</si>
  <si>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</si>
  <si>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</si>
  <si>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</si>
  <si>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</si>
  <si>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</si>
  <si>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</si>
  <si>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</si>
  <si>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</si>
  <si>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</si>
  <si>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</si>
  <si>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</si>
  <si>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</si>
  <si>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</si>
  <si>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</si>
  <si>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</si>
  <si>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</si>
  <si>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</si>
  <si>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</si>
  <si>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</si>
  <si>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</si>
  <si>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</si>
  <si>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</si>
  <si>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</si>
  <si>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</si>
  <si>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</si>
  <si>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</si>
  <si>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</si>
  <si>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</si>
  <si>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</si>
  <si>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</si>
  <si>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</si>
  <si>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</si>
  <si>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</si>
  <si>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</si>
  <si>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</si>
  <si>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</si>
  <si>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</si>
  <si>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</si>
  <si>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</si>
  <si>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</si>
  <si>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</si>
  <si>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</si>
  <si>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</si>
  <si>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</si>
  <si>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</si>
  <si>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</si>
  <si>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</si>
  <si>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</si>
  <si>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</si>
  <si>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</si>
  <si>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</si>
  <si>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</si>
  <si>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</si>
  <si>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</si>
  <si>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</si>
  <si>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</si>
  <si>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</si>
  <si>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</si>
  <si>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</si>
  <si>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</si>
  <si>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</si>
  <si>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</si>
  <si>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</si>
  <si>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</si>
  <si>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</si>
  <si>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</si>
  <si>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</si>
  <si>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</si>
  <si>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</si>
  <si>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</si>
  <si>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</si>
  <si>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</si>
  <si>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</si>
  <si>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</si>
  <si>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</si>
  <si>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</si>
  <si>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</si>
  <si>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</si>
  <si>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</si>
  <si>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</si>
  <si>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</si>
  <si>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</si>
  <si>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</si>
  <si>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</si>
  <si>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</si>
  <si>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</si>
  <si>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</si>
  <si>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</si>
  <si>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</si>
  <si>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</si>
  <si>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</si>
  <si>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</si>
  <si>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</si>
  <si>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</si>
  <si>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</si>
  <si>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</si>
  <si>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</si>
  <si>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</si>
  <si>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</si>
  <si>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</si>
  <si>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</si>
  <si>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</si>
  <si>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</si>
  <si>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</si>
  <si>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</si>
  <si>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</si>
  <si>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</si>
  <si>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</si>
  <si>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</si>
  <si>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</si>
  <si>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</si>
  <si>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</si>
  <si>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</si>
  <si>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</si>
  <si>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</si>
  <si>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</si>
  <si>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</si>
  <si>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</si>
  <si>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</si>
  <si>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</si>
  <si>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</si>
  <si>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</si>
  <si>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</si>
  <si>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</si>
  <si>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</si>
  <si>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</si>
  <si>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</si>
  <si>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</si>
  <si>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</si>
  <si>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</si>
  <si>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</si>
  <si>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</si>
  <si>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</si>
  <si>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</si>
  <si>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</si>
  <si>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</si>
  <si>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</si>
  <si>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</si>
  <si>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</si>
  <si>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</si>
  <si>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</si>
  <si>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</si>
  <si>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</si>
  <si>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</si>
  <si>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</si>
  <si>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</si>
  <si>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</si>
  <si>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</si>
  <si>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</si>
  <si>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</si>
  <si>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</si>
  <si>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</si>
  <si>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</si>
  <si>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</si>
  <si>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</si>
  <si>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</si>
  <si>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</si>
  <si>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</si>
  <si>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</si>
  <si>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</si>
  <si>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</si>
  <si>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</si>
  <si>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</si>
  <si>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</si>
  <si>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</si>
  <si>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</si>
  <si>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</si>
  <si>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</si>
  <si>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</si>
  <si>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</si>
  <si>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</si>
  <si>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</si>
  <si>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</si>
  <si>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</si>
  <si>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</si>
  <si>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</si>
  <si>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</si>
  <si>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</si>
  <si>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</si>
  <si>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</si>
  <si>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</si>
  <si>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</si>
  <si>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</si>
  <si>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</si>
  <si>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</si>
  <si>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</si>
  <si>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</si>
  <si>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</si>
  <si>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</si>
  <si>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</si>
  <si>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</si>
  <si>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</si>
  <si>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</si>
  <si>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</si>
  <si>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</si>
  <si>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</si>
  <si>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</si>
  <si>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</si>
  <si>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</si>
  <si>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</si>
  <si>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</si>
  <si>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</si>
  <si>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</si>
  <si>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</si>
  <si>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</si>
  <si>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</si>
  <si>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</si>
  <si>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</si>
  <si>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</si>
  <si>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</si>
  <si>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</si>
  <si>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</si>
  <si>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</si>
  <si>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</si>
  <si>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</si>
  <si>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</si>
  <si>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</si>
  <si>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</si>
  <si>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</si>
  <si>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</si>
  <si>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</si>
  <si>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</si>
  <si>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</si>
  <si>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</si>
  <si>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</si>
  <si>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</si>
  <si>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</si>
  <si>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</si>
  <si>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</si>
  <si>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</si>
  <si>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</si>
  <si>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</si>
  <si>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</si>
  <si>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</si>
  <si>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</si>
  <si>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</si>
  <si>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</si>
  <si>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</si>
  <si>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</si>
  <si>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</si>
  <si>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</si>
  <si>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</si>
  <si>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</si>
  <si>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</si>
  <si>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</si>
  <si>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</si>
  <si>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</si>
  <si>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</si>
  <si>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</si>
  <si>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</si>
  <si>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</si>
  <si>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</si>
  <si>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</si>
  <si>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</si>
  <si>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</si>
  <si>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</si>
  <si>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</si>
  <si>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</si>
  <si>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</si>
  <si>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</si>
  <si>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</si>
  <si>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</si>
  <si>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</si>
  <si>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</si>
  <si>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</si>
  <si>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</si>
  <si>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</si>
  <si>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</si>
  <si>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</si>
  <si>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</si>
  <si>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</si>
  <si>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</si>
  <si>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</si>
  <si>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</si>
  <si>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</si>
  <si>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</si>
  <si>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</si>
  <si>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</si>
  <si>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</si>
  <si>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</si>
  <si>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</si>
  <si>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</si>
  <si>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</si>
  <si>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</si>
  <si>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</si>
  <si>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</si>
  <si>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</si>
  <si>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</si>
  <si>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</si>
  <si>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</si>
  <si>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</si>
  <si>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</si>
  <si>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</si>
  <si>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</si>
  <si>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</si>
  <si>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</si>
  <si>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</si>
  <si>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</si>
  <si>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</si>
  <si>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</si>
  <si>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</si>
  <si>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</si>
  <si>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</si>
  <si>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</si>
  <si>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</si>
  <si>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</si>
  <si>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</si>
  <si>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</si>
  <si>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</si>
  <si>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</si>
  <si>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</si>
  <si>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</si>
  <si>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</si>
  <si>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</si>
  <si>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</si>
  <si>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</si>
  <si>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</si>
  <si>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</si>
  <si>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</si>
  <si>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</si>
  <si>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</si>
  <si>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</si>
  <si>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</si>
  <si>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</si>
  <si>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</si>
  <si>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</si>
  <si>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</si>
  <si>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</si>
  <si>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</si>
  <si>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</si>
  <si>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</si>
  <si>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</si>
  <si>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</si>
  <si>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</si>
  <si>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</si>
  <si>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</si>
  <si>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</si>
  <si>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</si>
  <si>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</si>
  <si>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</si>
  <si>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</si>
  <si>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</si>
  <si>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</si>
  <si>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</si>
  <si>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</si>
  <si>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</si>
  <si>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</si>
  <si>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</si>
  <si>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</si>
  <si>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</si>
  <si>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</si>
  <si>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</si>
  <si>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</si>
  <si>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</si>
  <si>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</si>
  <si>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</si>
  <si>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</si>
  <si>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</si>
  <si>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</si>
  <si>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</si>
  <si>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</si>
  <si>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</si>
  <si>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</si>
  <si>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</si>
  <si>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</si>
  <si>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</si>
  <si>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</si>
  <si>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</si>
  <si>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</si>
  <si>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</si>
  <si>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</si>
  <si>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</si>
  <si>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</si>
  <si>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</si>
  <si>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</si>
  <si>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</si>
  <si>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</si>
  <si>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</si>
  <si>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</si>
  <si>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</si>
  <si>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</si>
  <si>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</si>
  <si>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</si>
  <si>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</si>
  <si>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</si>
  <si>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</si>
  <si>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</si>
  <si>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</si>
  <si>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</si>
  <si>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</si>
  <si>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</si>
  <si>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</si>
  <si>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</si>
  <si>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</si>
  <si>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</si>
  <si>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</si>
  <si>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</si>
  <si>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</si>
  <si>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</si>
  <si>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</si>
  <si>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</si>
  <si>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</si>
  <si>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</si>
  <si>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</si>
  <si>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</si>
  <si>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</si>
  <si>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</si>
  <si>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</si>
  <si>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</si>
  <si>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</si>
  <si>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</si>
  <si>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</si>
  <si>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</si>
  <si>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</si>
  <si>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</si>
  <si>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</si>
  <si>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</si>
  <si>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</si>
  <si>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</si>
  <si>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</si>
  <si>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</si>
  <si>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</si>
  <si>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</si>
  <si>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</si>
  <si>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</si>
  <si>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</si>
  <si>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</si>
  <si>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</si>
  <si>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</si>
  <si>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</si>
  <si>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</si>
  <si>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</si>
  <si>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</si>
  <si>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</si>
  <si>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</si>
  <si>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</si>
  <si>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</si>
  <si>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</si>
  <si>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</si>
  <si>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</si>
  <si>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</si>
  <si>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</si>
  <si>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</si>
  <si>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</si>
  <si>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</si>
  <si>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</si>
  <si>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</si>
  <si>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</si>
  <si>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</si>
  <si>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</si>
  <si>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</si>
  <si>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</si>
  <si>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</si>
  <si>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</si>
  <si>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</si>
  <si>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</si>
  <si>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</si>
  <si>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</si>
  <si>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</si>
  <si>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</si>
  <si>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</si>
  <si>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</si>
  <si>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</si>
  <si>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</si>
  <si>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</si>
  <si>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</si>
  <si>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</si>
  <si>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</si>
  <si>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</si>
  <si>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</si>
  <si>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</si>
  <si>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</si>
  <si>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</si>
  <si>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</si>
  <si>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</si>
  <si>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</si>
  <si>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</si>
  <si>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</si>
  <si>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</si>
  <si>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</si>
  <si>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</si>
  <si>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</si>
  <si>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</si>
  <si>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</si>
  <si>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</si>
  <si>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</si>
  <si>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</si>
  <si>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</si>
  <si>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</si>
  <si>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</si>
  <si>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</si>
  <si>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</si>
  <si>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</si>
  <si>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</si>
  <si>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</si>
  <si>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</si>
  <si>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</si>
  <si>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</si>
  <si>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</si>
  <si>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</si>
  <si>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</si>
  <si>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</si>
  <si>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</si>
  <si>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</si>
  <si>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</si>
  <si>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</si>
  <si>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</si>
  <si>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</si>
  <si>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</si>
  <si>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</si>
  <si>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</si>
  <si>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</si>
  <si>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</si>
  <si>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</si>
  <si>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</si>
  <si>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</si>
  <si>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</si>
  <si>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</si>
  <si>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</si>
  <si>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</si>
  <si>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</si>
  <si>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</si>
  <si>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</si>
  <si>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</si>
  <si>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</si>
  <si>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</si>
  <si>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</si>
  <si>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</si>
  <si>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</si>
  <si>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</si>
  <si>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</si>
  <si>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</si>
  <si>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</si>
  <si>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</si>
  <si>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</si>
  <si>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</si>
  <si>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</si>
  <si>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</si>
  <si>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</si>
  <si>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</si>
  <si>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</si>
  <si>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</si>
  <si>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</si>
  <si>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</si>
  <si>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</si>
  <si>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</si>
  <si>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</si>
  <si>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</si>
  <si>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</si>
  <si>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</si>
  <si>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</si>
  <si>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</si>
  <si>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</si>
  <si>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</si>
  <si>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</si>
  <si>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</si>
  <si>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</si>
  <si>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</si>
  <si>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</si>
  <si>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</si>
  <si>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</si>
  <si>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</si>
  <si>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</si>
  <si>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</si>
  <si>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</si>
  <si>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</si>
  <si>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</si>
  <si>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</si>
  <si>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</si>
  <si>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</si>
  <si>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</si>
  <si>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</si>
  <si>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</si>
  <si>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</si>
  <si>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</si>
  <si>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</si>
  <si>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</si>
  <si>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</si>
  <si>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</si>
  <si>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</si>
  <si>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</si>
  <si>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</si>
  <si>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</si>
  <si>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</si>
  <si>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</si>
  <si>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</si>
  <si>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</si>
  <si>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</si>
  <si>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</si>
  <si>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</si>
  <si>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</si>
  <si>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</si>
  <si>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</si>
  <si>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</si>
  <si>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</si>
  <si>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</si>
  <si>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</si>
  <si>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</si>
  <si>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</si>
  <si>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</si>
  <si>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</si>
  <si>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</si>
  <si>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</si>
  <si>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</si>
  <si>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</si>
  <si>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</si>
  <si>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</si>
  <si>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</si>
  <si>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</si>
  <si>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</si>
  <si>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</si>
  <si>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</si>
  <si>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</si>
  <si>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</si>
  <si>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</si>
  <si>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</si>
  <si>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</si>
  <si>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</si>
  <si>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</si>
  <si>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</si>
  <si>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</si>
  <si>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</si>
  <si>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</si>
  <si>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</si>
  <si>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</si>
  <si>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</si>
  <si>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</si>
  <si>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</si>
  <si>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</si>
  <si>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</si>
  <si>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</si>
  <si>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</si>
  <si>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</si>
  <si>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</si>
  <si>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</si>
  <si>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</si>
  <si>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</si>
  <si>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</si>
  <si>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</si>
  <si>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</si>
  <si>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</si>
  <si>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</si>
  <si>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</si>
  <si>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</si>
  <si>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</si>
  <si>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</si>
  <si>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</si>
  <si>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</si>
  <si>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</si>
  <si>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</si>
  <si>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</si>
  <si>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</si>
  <si>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</si>
  <si>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</si>
  <si>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</si>
  <si>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</si>
  <si>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</si>
  <si>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</si>
  <si>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</si>
  <si>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</si>
  <si>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</si>
  <si>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</si>
  <si>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</si>
  <si>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</si>
  <si>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</si>
  <si>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</si>
  <si>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</si>
  <si>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</si>
  <si>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</si>
  <si>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</si>
  <si>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</si>
  <si>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</si>
  <si>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</si>
  <si>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</si>
  <si>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</si>
  <si>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</si>
  <si>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</si>
  <si>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</si>
  <si>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</si>
  <si>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</si>
  <si>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</si>
  <si>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</si>
  <si>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</si>
  <si>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</si>
  <si>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</si>
  <si>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</si>
  <si>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</si>
  <si>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</si>
  <si>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</si>
  <si>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</si>
  <si>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</si>
  <si>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</si>
  <si>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</si>
  <si>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</si>
  <si>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</si>
  <si>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</si>
  <si>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</si>
  <si>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</si>
  <si>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</si>
  <si>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</si>
  <si>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</si>
  <si>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</si>
  <si>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</si>
  <si>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</si>
  <si>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</si>
  <si>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</si>
  <si>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</si>
  <si>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</si>
  <si>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</si>
  <si>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</si>
  <si>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</si>
  <si>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</si>
  <si>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</si>
  <si>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</si>
  <si>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</si>
  <si>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</si>
  <si>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</si>
  <si>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</si>
  <si>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</si>
  <si>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</si>
  <si>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</si>
  <si>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</si>
  <si>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</si>
  <si>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</si>
  <si>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</si>
  <si>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</si>
  <si>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</si>
  <si>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</si>
  <si>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</si>
  <si>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</si>
  <si>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</si>
  <si>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</si>
  <si>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</si>
  <si>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</si>
  <si>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</si>
  <si>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</si>
  <si>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</si>
  <si>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</si>
  <si>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</si>
  <si>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</si>
  <si>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</si>
  <si>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</si>
  <si>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</si>
  <si>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</si>
  <si>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</si>
  <si>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</si>
  <si>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</si>
  <si>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</si>
  <si>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</si>
  <si>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</si>
  <si>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</si>
  <si>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</si>
  <si>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</si>
  <si>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</si>
  <si>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</si>
  <si>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</si>
  <si>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</si>
  <si>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</si>
  <si>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</si>
  <si>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</si>
  <si>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</si>
  <si>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</si>
  <si>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</si>
  <si>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</si>
  <si>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</si>
  <si>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</si>
  <si>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</si>
  <si>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</si>
  <si>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</si>
  <si>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</si>
  <si>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</si>
  <si>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</si>
  <si>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</si>
  <si>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</si>
  <si>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</si>
  <si>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</si>
  <si>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</si>
  <si>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</si>
  <si>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</si>
  <si>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</si>
  <si>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</si>
  <si>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</si>
  <si>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</si>
  <si>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</si>
  <si>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</si>
  <si>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</si>
  <si>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</si>
  <si>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</si>
  <si>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</si>
  <si>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</si>
  <si>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</si>
  <si>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</si>
  <si>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</si>
  <si>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</si>
  <si>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</si>
  <si>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</si>
  <si>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</si>
  <si>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</si>
  <si>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</si>
  <si>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</si>
  <si>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</si>
  <si>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</si>
  <si>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</si>
  <si>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</si>
  <si>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</si>
  <si>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</si>
  <si>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</si>
  <si>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</si>
  <si>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</si>
  <si>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</si>
  <si>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</si>
  <si>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</si>
  <si>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</si>
  <si>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</si>
  <si>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</si>
  <si>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</si>
  <si>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</si>
  <si>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</si>
  <si>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</si>
  <si>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</si>
  <si>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</si>
  <si>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</si>
  <si>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</si>
  <si>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</si>
  <si>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</si>
  <si>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</si>
  <si>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</si>
  <si>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</si>
  <si>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</si>
  <si>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</si>
  <si>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</si>
  <si>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</si>
  <si>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</si>
  <si>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</si>
  <si>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</si>
  <si>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</si>
  <si>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</si>
  <si>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</si>
  <si>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</si>
  <si>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</si>
  <si>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</si>
  <si>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</si>
  <si>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</si>
  <si>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</si>
  <si>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</si>
  <si>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</si>
  <si>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</si>
  <si>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</si>
  <si>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</si>
  <si>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</si>
  <si>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</si>
  <si>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</si>
  <si>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</si>
  <si>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</si>
  <si>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</si>
  <si>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</si>
  <si>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</si>
  <si>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</si>
  <si>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</si>
  <si>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</si>
  <si>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</si>
  <si>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</si>
  <si>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</si>
  <si>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</si>
  <si>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</si>
  <si>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</si>
  <si>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</si>
  <si>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</si>
  <si>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</si>
  <si>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</si>
  <si>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</si>
  <si>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</si>
  <si>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</si>
  <si>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</si>
  <si>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</si>
  <si>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</si>
  <si>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</si>
  <si>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</si>
  <si>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</si>
  <si>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</si>
  <si>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</si>
  <si>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</si>
  <si>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</si>
  <si>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</si>
  <si>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</si>
  <si>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</si>
  <si>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</si>
  <si>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</si>
  <si>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</si>
  <si>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</si>
  <si>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</si>
  <si>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</si>
  <si>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</si>
  <si>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</si>
  <si>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</si>
  <si>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</si>
  <si>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</si>
  <si>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</si>
  <si>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</si>
  <si>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</si>
  <si>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</si>
  <si>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</si>
  <si>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</si>
  <si>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</si>
  <si>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</si>
  <si>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</si>
  <si>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</si>
  <si>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</si>
  <si>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</si>
  <si>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</si>
  <si>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</si>
  <si>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</si>
  <si>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</si>
  <si>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</si>
  <si>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</si>
  <si>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</si>
  <si>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</si>
  <si>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</si>
  <si>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</si>
  <si>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</si>
  <si>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</si>
  <si>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</si>
  <si>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</si>
  <si>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</si>
  <si>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</si>
  <si>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</si>
  <si>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</si>
  <si>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</si>
  <si>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</si>
  <si>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</si>
  <si>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</si>
  <si>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</si>
  <si>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</si>
  <si>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</si>
  <si>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</si>
  <si>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</si>
  <si>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</si>
  <si>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</si>
  <si>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</si>
  <si>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</si>
  <si>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</si>
  <si>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</si>
  <si>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</si>
  <si>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</si>
  <si>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</si>
  <si>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</si>
  <si>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</si>
  <si>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</si>
  <si>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</si>
  <si>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</si>
  <si>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</si>
  <si>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</si>
  <si>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</si>
  <si>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</si>
  <si>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</si>
  <si>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</si>
  <si>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</si>
  <si>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</si>
  <si>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</si>
  <si>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</si>
  <si>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</si>
  <si>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</si>
  <si>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</si>
  <si>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</si>
  <si>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</si>
  <si>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</si>
  <si>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</si>
  <si>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</si>
  <si>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</si>
  <si>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</si>
  <si>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</si>
  <si>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</si>
  <si>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</si>
  <si>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</si>
  <si>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</si>
  <si>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</si>
  <si>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</si>
  <si>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</si>
  <si>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</si>
  <si>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</si>
  <si>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</si>
  <si>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</si>
  <si>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</si>
  <si>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</si>
  <si>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</si>
  <si>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</si>
  <si>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</si>
  <si>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</si>
  <si>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</si>
  <si>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</si>
  <si>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</si>
  <si>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</si>
  <si>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</si>
  <si>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</si>
  <si>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</si>
  <si>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</si>
  <si>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</si>
  <si>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</si>
  <si>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</si>
  <si>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</si>
  <si>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</si>
  <si>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</si>
  <si>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</si>
  <si>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</si>
  <si>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</si>
  <si>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</si>
  <si>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</si>
  <si>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</si>
  <si>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</si>
  <si>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</si>
  <si>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</si>
  <si>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</si>
  <si>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</si>
  <si>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</si>
  <si>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</si>
  <si>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</si>
  <si>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</si>
  <si>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</si>
  <si>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</si>
  <si>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</si>
  <si>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</si>
  <si>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</si>
  <si>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</si>
  <si>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</si>
  <si>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</si>
  <si>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</si>
  <si>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</si>
  <si>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</si>
  <si>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</si>
  <si>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</si>
  <si>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</si>
  <si>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</si>
  <si>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</si>
  <si>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</si>
  <si>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</si>
  <si>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</si>
  <si>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</si>
  <si>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</si>
  <si>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</si>
  <si>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</si>
  <si>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</si>
  <si>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</si>
  <si>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</si>
  <si>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</si>
  <si>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</si>
  <si>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</si>
  <si>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</si>
  <si>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</si>
  <si>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</si>
  <si>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</si>
  <si>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</si>
  <si>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</si>
  <si>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</si>
  <si>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</si>
  <si>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</si>
  <si>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</si>
  <si>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</si>
  <si>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</si>
  <si>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</si>
  <si>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</si>
  <si>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</si>
  <si>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</si>
  <si>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</si>
  <si>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</si>
  <si>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</si>
  <si>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</si>
  <si>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</si>
  <si>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</si>
  <si>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</si>
  <si>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</si>
  <si>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</si>
  <si>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</si>
  <si>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</si>
  <si>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</si>
  <si>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</si>
  <si>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</si>
  <si>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</si>
  <si>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</si>
  <si>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</si>
  <si>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</si>
  <si>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</si>
  <si>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</si>
  <si>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</si>
  <si>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</si>
  <si>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</si>
  <si>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</si>
  <si>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</si>
  <si>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</si>
  <si>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</si>
  <si>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</si>
  <si>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</si>
  <si>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</si>
  <si>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</si>
  <si>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</si>
  <si>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</si>
  <si>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</si>
  <si>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</si>
  <si>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</si>
  <si>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</si>
  <si>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</si>
  <si>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</si>
  <si>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</si>
  <si>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</si>
  <si>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</si>
  <si>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</si>
  <si>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</si>
  <si>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</si>
  <si>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</si>
  <si>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</si>
  <si>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</si>
  <si>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</si>
  <si>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</si>
  <si>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</si>
  <si>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</si>
  <si>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</si>
  <si>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</si>
  <si>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</si>
  <si>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</si>
  <si>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</si>
  <si>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</si>
  <si>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</si>
  <si>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</si>
  <si>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</si>
  <si>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</si>
  <si>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</si>
  <si>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</si>
  <si>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</si>
  <si>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</si>
  <si>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</si>
  <si>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ORD-2023-521819</t>
  </si>
  <si>
    <t xml:space="preserve">Part 1. DATA CLEANING </t>
  </si>
  <si>
    <t>ORD -2023-521818 had a duplicate, changed one to ORD-2023-521819(order no. has to be unique)</t>
  </si>
  <si>
    <t>Unknown</t>
  </si>
  <si>
    <t>on the city column we filled blank cells with unknown, we cant possibly tell in which city were the commoditites distributed</t>
  </si>
  <si>
    <t>Required date check</t>
  </si>
  <si>
    <t>I swapped columns with an earlier required date with their order date,  I used the if condition first to identify them ,then sorted them all the the bottom then swapped their cells between column B and C</t>
  </si>
  <si>
    <t>Leadtimedays</t>
  </si>
  <si>
    <t>GrossRevenue</t>
  </si>
  <si>
    <t>Quantity</t>
  </si>
  <si>
    <t>Costof Goods</t>
  </si>
  <si>
    <t>Calculated GrossRevenue column by  multiplying quantity  price and 1-discount rate</t>
  </si>
  <si>
    <t>Calculated cost of goods column by multiplying unit cost and quantity price</t>
  </si>
  <si>
    <t>GrossProfit</t>
  </si>
  <si>
    <t>Gross profit column added by subtracting Revenue from cost of goods</t>
  </si>
  <si>
    <t>Marginpct</t>
  </si>
  <si>
    <t>Quarter</t>
  </si>
  <si>
    <t xml:space="preserve"> </t>
  </si>
  <si>
    <t>Standardised order date to month and year  using text function</t>
  </si>
  <si>
    <t>Added quarters on order date</t>
  </si>
  <si>
    <t>Africa Kenya Kisumu</t>
  </si>
  <si>
    <t>Africa Nigeria Port Harcourt</t>
  </si>
  <si>
    <t>Africa Kenya Nairobi</t>
  </si>
  <si>
    <t>Africa Nigeria Lagos</t>
  </si>
  <si>
    <t>Asia Japan Osaka</t>
  </si>
  <si>
    <t>Asia India Bengaluru</t>
  </si>
  <si>
    <t>Africa Nigeria Abuja</t>
  </si>
  <si>
    <t>Europe Germany Berlin</t>
  </si>
  <si>
    <t>Europe France Marseille</t>
  </si>
  <si>
    <t>Europe United Kingdom Birmingham</t>
  </si>
  <si>
    <t>Africa Kenya Mombasa</t>
  </si>
  <si>
    <t>Asia China Shenzhen</t>
  </si>
  <si>
    <t>Africa Kenya Nakuru</t>
  </si>
  <si>
    <t>Europe France Lyon</t>
  </si>
  <si>
    <t>Asia India Delhi</t>
  </si>
  <si>
    <t>Africa South Africa Johannesburg</t>
  </si>
  <si>
    <t>Europe United Kingdom London</t>
  </si>
  <si>
    <t>Europe Germany Munich</t>
  </si>
  <si>
    <t>Asia China Shanghai</t>
  </si>
  <si>
    <t>Africa South Africa Durban</t>
  </si>
  <si>
    <t>Asia Japan Tokyo</t>
  </si>
  <si>
    <t>Europe France Paris</t>
  </si>
  <si>
    <t>Asia India Mumbai</t>
  </si>
  <si>
    <t>Europe United Kingdom Manchester</t>
  </si>
  <si>
    <t>Asia Japan Nagoya</t>
  </si>
  <si>
    <t>Africa South Africa Cape Town</t>
  </si>
  <si>
    <t>Asia India Hyderabad</t>
  </si>
  <si>
    <t>Europe Germany Frankfurt</t>
  </si>
  <si>
    <t>Asia China Beijing</t>
  </si>
  <si>
    <t>Region Hierarchy</t>
  </si>
  <si>
    <t>all good</t>
  </si>
  <si>
    <t>America Canada Toronto</t>
  </si>
  <si>
    <t>America Canada Vancouver</t>
  </si>
  <si>
    <t>America Brazil Brasília</t>
  </si>
  <si>
    <t>America Brazil São Paulo</t>
  </si>
  <si>
    <t>America Canada Montreal</t>
  </si>
  <si>
    <t>America USA San Francisco</t>
  </si>
  <si>
    <t>America USA Austin</t>
  </si>
  <si>
    <t>America Brazil Rio de Janeiro</t>
  </si>
  <si>
    <t>America USA Chicago</t>
  </si>
  <si>
    <t>Asia India Unknown</t>
  </si>
  <si>
    <t>Europe United Kingdom Unknown</t>
  </si>
  <si>
    <t>America Brazil Unknown</t>
  </si>
  <si>
    <t>America Canada Unknown</t>
  </si>
  <si>
    <t>Asia China Unknown</t>
  </si>
  <si>
    <t>America USA New York</t>
  </si>
  <si>
    <t>Africa Nigeria Unknown</t>
  </si>
  <si>
    <t>Q3-2023</t>
  </si>
  <si>
    <t>Q2-2025</t>
  </si>
  <si>
    <t>Q1-2023</t>
  </si>
  <si>
    <t>Q1-2024</t>
  </si>
  <si>
    <t>Q1-2025</t>
  </si>
  <si>
    <t>Q2-2023</t>
  </si>
  <si>
    <t>Q2-2024</t>
  </si>
  <si>
    <t>Q3-2024</t>
  </si>
  <si>
    <t>Q3-2025</t>
  </si>
  <si>
    <t>Q4-2023</t>
  </si>
  <si>
    <t>Q4-2024</t>
  </si>
  <si>
    <t>Std Order date</t>
  </si>
  <si>
    <t>Marginpct calculated by dividing gross profit to gross revenue, NOTE: some products have a big negative margin percentage of upto -25000% , we assumed the distributor sold them at a loss</t>
  </si>
  <si>
    <t>price band</t>
  </si>
  <si>
    <t>to make the price band column, I had to use the percentile.inc fxn. To get a cut off point for the 0.33 percentile which in our case is the lower percentile, then did the same for the 0.67 percentile which is the middle one.</t>
  </si>
  <si>
    <t>I then used the nested if function to label unit price values within the first, second and third percentile as low, medium and high respectively</t>
  </si>
  <si>
    <t>Merged Location by Region, Country and city using power query</t>
  </si>
  <si>
    <t xml:space="preserve">PART  B </t>
  </si>
  <si>
    <t xml:space="preserve"> Month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</si>
  <si>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</si>
  <si>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</si>
  <si>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</si>
  <si>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</si>
  <si>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</si>
  <si>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</si>
  <si>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</si>
  <si>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</si>
  <si>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China</t>
  </si>
  <si>
    <t>USA</t>
  </si>
  <si>
    <t>0</t>
  </si>
  <si>
    <t xml:space="preserve">1 Cohort Analysis   </t>
  </si>
  <si>
    <t>Region</t>
  </si>
  <si>
    <t>Country</t>
  </si>
  <si>
    <t>Location</t>
  </si>
  <si>
    <t>Europe</t>
  </si>
  <si>
    <t>Berlin</t>
  </si>
  <si>
    <t>medium</t>
  </si>
  <si>
    <t>Frankfurt</t>
  </si>
  <si>
    <t>low</t>
  </si>
  <si>
    <t>United Kingdom</t>
  </si>
  <si>
    <t>London</t>
  </si>
  <si>
    <t>high</t>
  </si>
  <si>
    <t>Marseille</t>
  </si>
  <si>
    <t>America</t>
  </si>
  <si>
    <t>Toronto</t>
  </si>
  <si>
    <t>Vancouver</t>
  </si>
  <si>
    <t>Asia</t>
  </si>
  <si>
    <t>Beijing</t>
  </si>
  <si>
    <t>Brasília</t>
  </si>
  <si>
    <t>Delhi</t>
  </si>
  <si>
    <t>Hyderabad</t>
  </si>
  <si>
    <t>Lyon</t>
  </si>
  <si>
    <t>Manchester</t>
  </si>
  <si>
    <t>Munich</t>
  </si>
  <si>
    <t>Nagoya</t>
  </si>
  <si>
    <t>Africa</t>
  </si>
  <si>
    <t>Nairobi</t>
  </si>
  <si>
    <t>Osaka</t>
  </si>
  <si>
    <t>Brazil São</t>
  </si>
  <si>
    <t>Paulo</t>
  </si>
  <si>
    <t>South Africa</t>
  </si>
  <si>
    <t>Johannesburg</t>
  </si>
  <si>
    <t>Montreal</t>
  </si>
  <si>
    <t>Mumbai</t>
  </si>
  <si>
    <t>Nakuru</t>
  </si>
  <si>
    <t>Nigeria Port</t>
  </si>
  <si>
    <t>Harcourt</t>
  </si>
  <si>
    <t>Bengaluru</t>
  </si>
  <si>
    <t>USA San</t>
  </si>
  <si>
    <t>Francisco</t>
  </si>
  <si>
    <t>Austin</t>
  </si>
  <si>
    <t>South Africa Cape</t>
  </si>
  <si>
    <t>Town</t>
  </si>
  <si>
    <t>Mombasa</t>
  </si>
  <si>
    <t>Paris</t>
  </si>
  <si>
    <t>Brazil Rio de</t>
  </si>
  <si>
    <t>Janeiro</t>
  </si>
  <si>
    <t>Birmingham</t>
  </si>
  <si>
    <t>Abuja</t>
  </si>
  <si>
    <t>Chicago</t>
  </si>
  <si>
    <t>Tokyo</t>
  </si>
  <si>
    <t>Shanghai</t>
  </si>
  <si>
    <t>Kisumu</t>
  </si>
  <si>
    <t>Shenzhen</t>
  </si>
  <si>
    <t>Lagos</t>
  </si>
  <si>
    <t>Durban</t>
  </si>
  <si>
    <t>USA New</t>
  </si>
  <si>
    <t>York</t>
  </si>
  <si>
    <t>STD Order date</t>
  </si>
  <si>
    <t>OrderMonth</t>
  </si>
  <si>
    <t>Added First order Month Column and split hierachical region to find country</t>
  </si>
  <si>
    <t>Firstmonth</t>
  </si>
  <si>
    <t>Cohortperiod</t>
  </si>
  <si>
    <t>Column Labels</t>
  </si>
  <si>
    <t>Grand Total</t>
  </si>
  <si>
    <t>Row Labels</t>
  </si>
  <si>
    <t>Sum of GrossRevenue</t>
  </si>
  <si>
    <t>Pivot table showing revenue tracked from each country's start month created</t>
  </si>
  <si>
    <t>Created first month each country appears column using minifs and added cohort period column using date functions</t>
  </si>
  <si>
    <t>2 SKU ABC analysis</t>
  </si>
  <si>
    <t>Created a pivot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</si>
</sst>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0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8">
    <dxf>
      <numFmt numFmtId="2" formatCode="0.00"/>
    </dxf>
    <dxf>
      <numFmt numFmtId="2" formatCode="0.00"/>
    </dxf>
    <dxf>
      <numFmt numFmtId="14" formatCode="0.00%"/>
    </dxf>
    <dxf>
      <numFmt numFmtId="0" formatCode="General"/>
    </dxf>
    <dxf>
      <numFmt numFmtId="164" formatCode="yyyy\-mm\-dd;@"/>
    </dxf>
    <dxf>
      <numFmt numFmtId="19" formatCode="m/d/yyyy"/>
    </dxf>
    <dxf>
      <numFmt numFmtId="1" formatCode="0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2" formatCode="0.00"/>
    </dxf>
    <dxf>
      <numFmt numFmtId="0" formatCode="General"/>
    </dxf>
    <dxf>
      <numFmt numFmtId="14" formatCode="0.00%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2" formatCode="0.00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6.713765740744" createdVersion="8" refreshedVersion="8" minRefreshableVersion="3" recordCount="632" xr:uid="{B86EA20E-F262-4680-A07A-66003FE0EDC5}">
  <cacheSource type="worksheet">
    <worksheetSource name="Table1_1"/>
  </cacheSource>
  <cacheFields count="27">
    <cacheField name="OrderID" numFmtId="0">
      <sharedItems/>
    </cacheField>
    <cacheField name="OrderDate" numFmtId="164">
      <sharedItems containsSemiMixedTypes="0" containsNonDate="0" containsDate="1" containsString="0" minDate="2023-01-02T00:00:00" maxDate="2025-09-16T00:00:00"/>
    </cacheField>
    <cacheField name="RequiredDate" numFmtId="164">
      <sharedItems containsSemiMixedTypes="0" containsNonDate="0" containsDate="1" containsString="0" minDate="2023-01-05T00:00:00" maxDate="2025-10-06T00:00:00"/>
    </cacheField>
    <cacheField name="Required date check" numFmtId="0">
      <sharedItems/>
    </cacheField>
    <cacheField name="Leadtimedays" numFmtId="0">
      <sharedItems containsSemiMixedTypes="0" containsString="0" containsNumber="1" containsInteger="1" minValue="0" maxValue="30"/>
    </cacheField>
    <cacheField name="Region" numFmtId="0">
      <sharedItems/>
    </cacheField>
    <cacheField name="Country" numFmtId="0">
      <sharedItems count="18">
        <s v="Germany"/>
        <s v="United Kingdom"/>
        <s v="France"/>
        <s v="Canada"/>
        <s v="China"/>
        <s v="Brazil"/>
        <s v="India"/>
        <s v="Japan"/>
        <s v="Kenya"/>
        <s v="Brazil São"/>
        <s v="South Africa"/>
        <s v="Nigeria Port"/>
        <s v="USA San"/>
        <s v="USA"/>
        <s v="South Africa Cape"/>
        <s v="Brazil Rio de"/>
        <s v="Nigeria"/>
        <s v="USA New"/>
      </sharedItems>
    </cacheField>
    <cacheField name="Location" numFmtId="0">
      <sharedItems/>
    </cacheField>
    <cacheField name="CustomerSegment" numFmtId="0">
      <sharedItems/>
    </cacheField>
    <cacheField name="Channel" numFmtId="0">
      <sharedItems/>
    </cacheField>
    <cacheField name="ProductCategory" numFmtId="0">
      <sharedItems count="7">
        <s v="Printers"/>
        <s v="Components"/>
        <s v="Accessories"/>
        <s v="Phones"/>
        <s v="Laptops"/>
        <s v="Networking"/>
        <s v="Monitors"/>
      </sharedItems>
    </cacheField>
    <cacheField name="SKU" numFmtId="0">
      <sharedItems count="630">
        <s v="PRN-9787"/>
        <s v="CMP-8675"/>
        <s v="ACC-8557"/>
        <s v="PHN-5316"/>
        <s v="PRN-6776"/>
        <s v="ACC-3415"/>
        <s v="LAP-3581"/>
        <s v="PHN-7488"/>
        <s v="NET-2394"/>
        <s v="CMP-1009"/>
        <s v="CMP-3875"/>
        <s v="LAP-9931"/>
        <s v="CMP-5138"/>
        <s v="PRN-4432"/>
        <s v="PRN-7079"/>
        <s v="MON-6310"/>
        <s v="ACC-1731"/>
        <s v="LAP-1946"/>
        <s v="PHN-5675"/>
        <s v="CMP-4970"/>
        <s v="PHN-9789"/>
        <s v="MON-5179"/>
        <s v="MON-2073"/>
        <s v="NET-1228"/>
        <s v="NET-2460"/>
        <s v="MON-8973"/>
        <s v="MON-5891"/>
        <s v="PRN-7410"/>
        <s v="ACC-7906"/>
        <s v="MON-3307"/>
        <s v="CMP-3259"/>
        <s v="LAP-7136"/>
        <s v="PHN-3014"/>
        <s v="CMP-9307"/>
        <s v="MON-9967"/>
        <s v="LAP-4551"/>
        <s v="ACC-8242"/>
        <s v="PRN-6585"/>
        <s v="CMP-6346"/>
        <s v="MON-3043"/>
        <s v="CMP-5311"/>
        <s v="CMP-2410"/>
        <s v="MON-4326"/>
        <s v="PHN-6506"/>
        <s v="ACC-6223"/>
        <s v="LAP-8214"/>
        <s v="PRN-1183"/>
        <s v="CMP-5911"/>
        <s v="LAP-4899"/>
        <s v="NET-6533"/>
        <s v="CMP-5633"/>
        <s v="NET-6269"/>
        <s v="NET-1699"/>
        <s v="PRN-9490"/>
        <s v="ACC-2386"/>
        <s v="PHN-4346"/>
        <s v="LAP-1066"/>
        <s v="MON-2828"/>
        <s v="MON-7626"/>
        <s v="NET-2894"/>
        <s v="MON-5386"/>
        <s v="ACC-4056"/>
        <s v="CMP-7563"/>
        <s v="NET-6578"/>
        <s v="LAP-3679"/>
        <s v="PHN-3159"/>
        <s v="MON-8651"/>
        <s v="NET-2439"/>
        <s v="MON-3745"/>
        <s v="ACC-1060"/>
        <s v="PRN-3143"/>
        <s v="LAP-5078"/>
        <s v="PHN-8478"/>
        <s v="ACC-7354"/>
        <s v="PHN-2337"/>
        <s v="PHN-6480"/>
        <s v="PRN-9867"/>
        <s v="NET-8430"/>
        <s v="NET-8561"/>
        <s v="CMP-8002"/>
        <s v="ACC-3833"/>
        <s v="MON-7943"/>
        <s v="NET-7588"/>
        <s v="ACC-4766"/>
        <s v="PHN-3398"/>
        <s v="MON-9319"/>
        <s v="PHN-9234"/>
        <s v="MON-5444"/>
        <s v="PRN-5005"/>
        <s v="PHN-5683"/>
        <s v="ACC-3951"/>
        <s v="PRN-7019"/>
        <s v="LAP-4607"/>
        <s v="CMP-5435"/>
        <s v="CMP-5825"/>
        <s v="ACC-6626"/>
        <s v="CMP-3093"/>
        <s v="MON-5086"/>
        <s v="NET-1846"/>
        <s v="PRN-3690"/>
        <s v="NET-7901"/>
        <s v="PRN-7089"/>
        <s v="CMP-6529"/>
        <s v="PRN-1141"/>
        <s v="CMP-8545"/>
        <s v="ACC-1604"/>
        <s v="CMP-5820"/>
        <s v="NET-4104"/>
        <s v="MON-6699"/>
        <s v="PHN-7924"/>
        <s v="ACC-5144"/>
        <s v="PHN-6954"/>
        <s v="ACC-6777"/>
        <s v="PRN-8763"/>
        <s v="PRN-3014"/>
        <s v="PHN-8368"/>
        <s v="NET-5018"/>
        <s v="PRN-6911"/>
        <s v="NET-5987"/>
        <s v="ACC-8999"/>
        <s v="CMP-4945"/>
        <s v="NET-1336"/>
        <s v="CMP-4159"/>
        <s v="ACC-7671"/>
        <s v="PHN-8776"/>
        <s v="MON-7511"/>
        <s v="PRN-8657"/>
        <s v="PHN-5445"/>
        <s v="CMP-7063"/>
        <s v="MON-4278"/>
        <s v="NET-9003"/>
        <s v="NET-9989"/>
        <s v="LAP-3604"/>
        <s v="NET-1966"/>
        <s v="LAP-4828"/>
        <s v="CMP-8390"/>
        <s v="ACC-8094"/>
        <s v="MON-1436"/>
        <s v="ACC-6543"/>
        <s v="NET-5523"/>
        <s v="PRN-7976"/>
        <s v="MON-1822"/>
        <s v="NET-9125"/>
        <s v="NET-6370"/>
        <s v="MON-4317"/>
        <s v="PRN-1654"/>
        <s v="PRN-8604"/>
        <s v="LAP-8489"/>
        <s v="ACC-2990"/>
        <s v="ACC-7047"/>
        <s v="PRN-5384"/>
        <s v="PRN-1371"/>
        <s v="LAP-9016"/>
        <s v="PHN-2462"/>
        <s v="NET-3850"/>
        <s v="NET-4241"/>
        <s v="NET-1612"/>
        <s v="PRN-5569"/>
        <s v="NET-9835"/>
        <s v="LAP-6989"/>
        <s v="PRN-5264"/>
        <s v="LAP-8555"/>
        <s v="MON-2465"/>
        <s v="PRN-1882"/>
        <s v="CMP-3938"/>
        <s v="MON-6870"/>
        <s v="PHN-1197"/>
        <s v="PHN-5938"/>
        <s v="PRN-9793"/>
        <s v="ACC-3103"/>
        <s v="NET-6014"/>
        <s v="LAP-1739"/>
        <s v="MON-5249"/>
        <s v="ACC-6348"/>
        <s v="PRN-5815"/>
        <s v="CMP-1940"/>
        <s v="MON-4195"/>
        <s v="MON-3350"/>
        <s v="MON-6053"/>
        <s v="LAP-1619"/>
        <s v="CMP-4630"/>
        <s v="CMP-6925"/>
        <s v="CMP-7055"/>
        <s v="ACC-9038"/>
        <s v="LAP-6342"/>
        <s v="PRN-3785"/>
        <s v="ACC-3349"/>
        <s v="PRN-9488"/>
        <s v="CMP-2136"/>
        <s v="PHN-7019"/>
        <s v="CMP-5006"/>
        <s v="NET-5482"/>
        <s v="PHN-9677"/>
        <s v="PHN-4915"/>
        <s v="CMP-6919"/>
        <s v="ACC-9533"/>
        <s v="ACC-3645"/>
        <s v="CMP-4093"/>
        <s v="PRN-4906"/>
        <s v="PHN-6307"/>
        <s v="MON-1389"/>
        <s v="MON-5276"/>
        <s v="LAP-7979"/>
        <s v="PRN-8970"/>
        <s v="LAP-6160"/>
        <s v="MON-9227"/>
        <s v="ACC-8178"/>
        <s v="NET-3728"/>
        <s v="LAP-2218"/>
        <s v="MON-8697"/>
        <s v="CMP-1072"/>
        <s v="LAP-3278"/>
        <s v="PHN-7274"/>
        <s v="PRN-9960"/>
        <s v="PRN-4983"/>
        <s v="PRN-1060"/>
        <s v="LAP-8119"/>
        <s v="CMP-8230"/>
        <s v="ACC-2364"/>
        <s v="PRN-6178"/>
        <s v="CMP-9001"/>
        <s v="LAP-9100"/>
        <s v="PHN-2036"/>
        <s v="ACC-1021"/>
        <s v="ACC-2867"/>
        <s v="PRN-6660"/>
        <s v="LAP-5763"/>
        <s v="CMP-8127"/>
        <s v="ACC-9591"/>
        <s v="PHN-4566"/>
        <s v="PRN-2991"/>
        <s v="PRN-4453"/>
        <s v="PRN-1923"/>
        <s v="MON-9906"/>
        <s v="PHN-3482"/>
        <s v="MON-8422"/>
        <s v="ACC-1238"/>
        <s v="PRN-4893"/>
        <s v="MON-8758"/>
        <s v="PHN-7132"/>
        <s v="PRN-1276"/>
        <s v="PHN-3819"/>
        <s v="LAP-4666"/>
        <s v="LAP-3905"/>
        <s v="CMP-9498"/>
        <s v="LAP-3017"/>
        <s v="MON-3773"/>
        <s v="CMP-6649"/>
        <s v="PRN-3917"/>
        <s v="PRN-9249"/>
        <s v="NET-7998"/>
        <s v="MON-4330"/>
        <s v="ACC-1492"/>
        <s v="LAP-3779"/>
        <s v="NET-3785"/>
        <s v="MON-5188"/>
        <s v="ACC-5079"/>
        <s v="MON-5424"/>
        <s v="PRN-6429"/>
        <s v="ACC-3567"/>
        <s v="CMP-1223"/>
        <s v="CMP-3978"/>
        <s v="ACC-9820"/>
        <s v="CMP-3313"/>
        <s v="NET-1645"/>
        <s v="NET-8761"/>
        <s v="ACC-9445"/>
        <s v="PRN-5492"/>
        <s v="PRN-1504"/>
        <s v="ACC-1596"/>
        <s v="LAP-7819"/>
        <s v="PHN-6131"/>
        <s v="MON-2842"/>
        <s v="LAP-5009"/>
        <s v="PHN-3077"/>
        <s v="CMP-2096"/>
        <s v="ACC-8620"/>
        <s v="NET-9832"/>
        <s v="PHN-5383"/>
        <s v="MON-4959"/>
        <s v="MON-7207"/>
        <s v="CMP-4531"/>
        <s v="MON-3504"/>
        <s v="PRN-5591"/>
        <s v="PRN-9624"/>
        <s v="NET-7966"/>
        <s v="PRN-1725"/>
        <s v="PRN-7049"/>
        <s v="MON-8629"/>
        <s v="LAP-7553"/>
        <s v="NET-3255"/>
        <s v="LAP-4517"/>
        <s v="CMP-8658"/>
        <s v="PHN-1717"/>
        <s v="PHN-6832"/>
        <s v="NET-3432"/>
        <s v="NET-1145"/>
        <s v="PRN-4170"/>
        <s v="PHN-3803"/>
        <s v="MON-2990"/>
        <s v="MON-2998"/>
        <s v="LAP-3490"/>
        <s v="MON-1564"/>
        <s v="MON-6882"/>
        <s v="ACC-8098"/>
        <s v="PRN-8850"/>
        <s v="PHN-4556"/>
        <s v="LAP-8469"/>
        <s v="NET-3460"/>
        <s v="NET-1893"/>
        <s v="NET-5423"/>
        <s v="ACC-2735"/>
        <s v="LAP-2806"/>
        <s v="LAP-9901"/>
        <s v="ACC-1770"/>
        <s v="LAP-1969"/>
        <s v="PHN-1044"/>
        <s v="PHN-3854"/>
        <s v="PHN-5887"/>
        <s v="ACC-3551"/>
        <s v="PRN-2829"/>
        <s v="NET-9569"/>
        <s v="PHN-8350"/>
        <s v="PHN-2436"/>
        <s v="PHN-4741"/>
        <s v="LAP-9024"/>
        <s v="PRN-3775"/>
        <s v="PHN-1670"/>
        <s v="PRN-4506"/>
        <s v="MON-7106"/>
        <s v="LAP-1308"/>
        <s v="LAP-3220"/>
        <s v="CMP-8141"/>
        <s v="PHN-4395"/>
        <s v="PHN-6818"/>
        <s v="LAP-6750"/>
        <s v="NET-8610"/>
        <s v="CMP-5658"/>
        <s v="MON-4373"/>
        <s v="MON-6962"/>
        <s v="MON-2266"/>
        <s v="MON-9216"/>
        <s v="PRN-5813"/>
        <s v="CMP-2865"/>
        <s v="NET-8856"/>
        <s v="PRN-2098"/>
        <s v="CMP-5946"/>
        <s v="CMP-4792"/>
        <s v="PHN-3971"/>
        <s v="ACC-7838"/>
        <s v="ACC-5260"/>
        <s v="ACC-3068"/>
        <s v="PHN-2447"/>
        <s v="LAP-1990"/>
        <s v="ACC-3989"/>
        <s v="NET-2502"/>
        <s v="ACC-6594"/>
        <s v="MON-1572"/>
        <s v="PHN-5366"/>
        <s v="NET-3535"/>
        <s v="CMP-2040"/>
        <s v="LAP-9230"/>
        <s v="PRN-4732"/>
        <s v="ACC-4815"/>
        <s v="PHN-1784"/>
        <s v="NET-2628"/>
        <s v="ACC-3961"/>
        <s v="MON-6287"/>
        <s v="PRN-4788"/>
        <s v="NET-1804"/>
        <s v="PRN-5107"/>
        <s v="LAP-7056"/>
        <s v="MON-6892"/>
        <s v="PRN-6308"/>
        <s v="ACC-1028"/>
        <s v="NET-3828"/>
        <s v="CMP-2015"/>
        <s v="PRN-9975"/>
        <s v="MON-1018"/>
        <s v="MON-9662"/>
        <s v="PRN-4787"/>
        <s v="PHN-1924"/>
        <s v="LAP-3565"/>
        <s v="ACC-2252"/>
        <s v="PRN-7303"/>
        <s v="LAP-7523"/>
        <s v="NET-4155"/>
        <s v="CMP-9801"/>
        <s v="CMP-3731"/>
        <s v="PRN-2409"/>
        <s v="PHN-5082"/>
        <s v="ACC-5422"/>
        <s v="CMP-7617"/>
        <s v="PHN-7974"/>
        <s v="PHN-2875"/>
        <s v="PHN-2787"/>
        <s v="PHN-8014"/>
        <s v="NET-9177"/>
        <s v="MON-9274"/>
        <s v="PRN-8008"/>
        <s v="CMP-6898"/>
        <s v="NET-4491"/>
        <s v="PHN-4854"/>
        <s v="NET-7349"/>
        <s v="LAP-1989"/>
        <s v="PRN-2641"/>
        <s v="CMP-5211"/>
        <s v="PRN-1786"/>
        <s v="MON-1663"/>
        <s v="PRN-3159"/>
        <s v="PHN-9399"/>
        <s v="MON-9733"/>
        <s v="PRN-1086"/>
        <s v="LAP-8633"/>
        <s v="CMP-4610"/>
        <s v="PRN-9557"/>
        <s v="PHN-3800"/>
        <s v="LAP-2378"/>
        <s v="CMP-3223"/>
        <s v="NET-2499"/>
        <s v="NET-6218"/>
        <s v="PRN-5666"/>
        <s v="NET-3689"/>
        <s v="MON-4361"/>
        <s v="LAP-2846"/>
        <s v="ACC-4511"/>
        <s v="NET-8329"/>
        <s v="ACC-7938"/>
        <s v="CMP-6495"/>
        <s v="PRN-4911"/>
        <s v="PHN-7815"/>
        <s v="ACC-7240"/>
        <s v="MON-7868"/>
        <s v="MON-8939"/>
        <s v="LAP-5150"/>
        <s v="LAP-5531"/>
        <s v="CMP-8851"/>
        <s v="CMP-4807"/>
        <s v="PHN-3007"/>
        <s v="PRN-5876"/>
        <s v="LAP-7320"/>
        <s v="NET-1166"/>
        <s v="PHN-6111"/>
        <s v="PRN-2542"/>
        <s v="MON-5517"/>
        <s v="CMP-3693"/>
        <s v="LAP-1178"/>
        <s v="PHN-2341"/>
        <s v="PHN-8970"/>
        <s v="NET-5941"/>
        <s v="CMP-3720"/>
        <s v="CMP-6392"/>
        <s v="MON-4925"/>
        <s v="NET-1412"/>
        <s v="MON-2462"/>
        <s v="PRN-5753"/>
        <s v="PHN-2013"/>
        <s v="NET-7924"/>
        <s v="PRN-8758"/>
        <s v="MON-6341"/>
        <s v="MON-5749"/>
        <s v="LAP-8825"/>
        <s v="PHN-1919"/>
        <s v="CMP-1220"/>
        <s v="CMP-8101"/>
        <s v="ACC-2761"/>
        <s v="CMP-1632"/>
        <s v="CMP-3743"/>
        <s v="MON-6190"/>
        <s v="LAP-9782"/>
        <s v="MON-2100"/>
        <s v="LAP-7009"/>
        <s v="CMP-2693"/>
        <s v="PHN-4677"/>
        <s v="PHN-4568"/>
        <s v="NET-8787"/>
        <s v="NET-5268"/>
        <s v="MON-1118"/>
        <s v="PHN-6866"/>
        <s v="CMP-6971"/>
        <s v="MON-5259"/>
        <s v="LAP-8910"/>
        <s v="PRN-7816"/>
        <s v="ACC-4490"/>
        <s v="ACC-9644"/>
        <s v="NET-2062"/>
        <s v="ACC-2902"/>
        <s v="PHN-2859"/>
        <s v="CMP-2574"/>
        <s v="PHN-8072"/>
        <s v="CMP-1555"/>
        <s v="PHN-6854"/>
        <s v="ACC-7713"/>
        <s v="LAP-3904"/>
        <s v="CMP-7371"/>
        <s v="ACC-4631"/>
        <s v="NET-4228"/>
        <s v="CMP-7256"/>
        <s v="NET-2365"/>
        <s v="LAP-7353"/>
        <s v="PHN-1671"/>
        <s v="LAP-5689"/>
        <s v="LAP-4932"/>
        <s v="CMP-6352"/>
        <s v="PRN-8137"/>
        <s v="LAP-8347"/>
        <s v="ACC-8683"/>
        <s v="CMP-8270"/>
        <s v="ACC-2988"/>
        <s v="PHN-7636"/>
        <s v="MON-7869"/>
        <s v="MON-8867"/>
        <s v="MON-2296"/>
        <s v="PRN-5067"/>
        <s v="MON-4215"/>
        <s v="LAP-2774"/>
        <s v="ACC-9283"/>
        <s v="ACC-3721"/>
        <s v="ACC-4587"/>
        <s v="MON-4271"/>
        <s v="NET-2932"/>
        <s v="NET-9716"/>
        <s v="MON-9194"/>
        <s v="ACC-1075"/>
        <s v="MON-7622"/>
        <s v="PHN-4356"/>
        <s v="MON-7602"/>
        <s v="LAP-4987"/>
        <s v="CMP-9264"/>
        <s v="NET-7166"/>
        <s v="CMP-2335"/>
        <s v="PRN-8392"/>
        <s v="NET-3749"/>
        <s v="NET-8957"/>
        <s v="ACC-1249"/>
        <s v="LAP-1482"/>
        <s v="CMP-1156"/>
        <s v="ACC-5334"/>
        <s v="NET-9666"/>
        <s v="PHN-9465"/>
        <s v="PRN-6536"/>
        <s v="PRN-9669"/>
        <s v="NET-4675"/>
        <s v="PHN-8891"/>
        <s v="ACC-3385"/>
        <s v="ACC-1659"/>
        <s v="NET-6387"/>
        <s v="PRN-4097"/>
        <s v="PRN-6131"/>
        <s v="PHN-8057"/>
        <s v="ACC-1663"/>
        <s v="ACC-5206"/>
        <s v="LAP-3393"/>
        <s v="LAP-6577"/>
        <s v="PRN-6791"/>
        <s v="PRN-2749"/>
        <s v="CMP-8196"/>
        <s v="MON-6065"/>
        <s v="MON-4830"/>
        <s v="CMP-6811"/>
        <s v="PRN-4892"/>
        <s v="CMP-8659"/>
        <s v="PRN-6068"/>
        <s v="ACC-9150"/>
        <s v="ACC-5780"/>
        <s v="ACC-5150"/>
        <s v="PRN-8041"/>
        <s v="NET-3033"/>
        <s v="PRN-9378"/>
        <s v="NET-6036"/>
        <s v="PRN-2293"/>
        <s v="LAP-2942"/>
        <s v="PHN-8804"/>
        <s v="LAP-6499"/>
        <s v="ACC-7078"/>
        <s v="MON-7099"/>
        <s v="NET-5196"/>
        <s v="PRN-1271"/>
        <s v="PRN-1641"/>
        <s v="LAP-9766"/>
        <s v="PHN-1234"/>
        <s v="ACC-1882"/>
        <s v="ACC-4124"/>
        <s v="MON-4789"/>
        <s v="PHN-8483"/>
        <s v="PHN-4644"/>
        <s v="MON-8688"/>
        <s v="PHN-9184"/>
        <s v="ACC-1375"/>
        <s v="MON-8129"/>
        <s v="LAP-9932"/>
        <s v="MON-1593"/>
        <s v="NET-5270"/>
        <s v="PHN-7379"/>
        <s v="PRN-6520"/>
        <s v="CMP-2854"/>
        <s v="LAP-4483"/>
        <s v="LAP-1698"/>
        <s v="MON-2537"/>
        <s v="PHN-7852"/>
        <s v="LAP-9815"/>
        <s v="NET-4735"/>
        <s v="ACC-9162"/>
        <s v="CMP-8604"/>
        <s v="MON-2849"/>
        <s v="CMP-1470"/>
        <s v="CMP-5208"/>
        <s v="MON-3371"/>
        <s v="PRN-2301"/>
        <s v="PRN-2407"/>
        <s v="MON-2993"/>
        <s v="PHN-9107"/>
        <s v="LAP-7099"/>
        <s v="CMP-9392"/>
        <s v="NET-4554"/>
        <s v="LAP-1525"/>
        <s v="NET-9575"/>
        <s v="NET-1816"/>
        <s v="PRN-8175"/>
        <s v="ACC-5177"/>
        <s v="PRN-9322"/>
        <s v="NET-1282"/>
        <s v="LAP-3385"/>
        <s v="PRN-6276"/>
        <s v="ACC-4483"/>
        <s v="CMP-5065"/>
        <s v="CMP-1559"/>
        <s v="PRN-6490"/>
        <s v="NET-5195"/>
        <s v="ACC-2903"/>
      </sharedItems>
    </cacheField>
    <cacheField name="Quantity" numFmtId="1">
      <sharedItems containsSemiMixedTypes="0" containsString="0" containsNumber="1" containsInteger="1" minValue="2" maxValue="61"/>
    </cacheField>
    <cacheField name="UnitCost" numFmtId="0">
      <sharedItems containsSemiMixedTypes="0" containsString="0" containsNumber="1" minValue="5.34" maxValue="1495.79"/>
    </cacheField>
    <cacheField name="UnitPrice" numFmtId="2">
      <sharedItems containsSemiMixedTypes="0" containsString="0" containsNumber="1" minValue="4.22" maxValue="3661.07"/>
    </cacheField>
    <cacheField name="price band" numFmtId="0">
      <sharedItems/>
    </cacheField>
    <cacheField name="DiscountPct" numFmtId="10">
      <sharedItems containsSemiMixedTypes="0" containsString="0" containsNumber="1" minValue="0" maxValue="0.56499999999999995"/>
    </cacheField>
    <cacheField name="GrossRevenue" numFmtId="2">
      <sharedItems containsSemiMixedTypes="0" containsString="0" containsNumber="1" minValue="11.153460000000001" maxValue="157079.17000000001"/>
    </cacheField>
    <cacheField name="Costof Goods" numFmtId="2">
      <sharedItems containsSemiMixedTypes="0" containsString="0" containsNumber="1" minValue="16.98" maxValue="72231.5"/>
    </cacheField>
    <cacheField name="Marginpct" numFmtId="10">
      <sharedItems containsSemiMixedTypes="0" containsString="0" containsNumber="1" minValue="-250.39750756449001" maxValue="0.59672531214528901"/>
    </cacheField>
    <cacheField name="Salesperson" numFmtId="0">
      <sharedItems/>
    </cacheField>
    <cacheField name="GrossProfit" numFmtId="2">
      <sharedItems containsSemiMixedTypes="0" containsString="0" containsNumber="1" minValue="-45891.726719999999" maxValue="91296.090000000011"/>
    </cacheField>
    <cacheField name="Quarter" numFmtId="0">
      <sharedItems/>
    </cacheField>
    <cacheField name="STD Order date" numFmtId="0">
      <sharedItems/>
    </cacheField>
    <cacheField name="OrderMonth" numFmtId="14">
      <sharedItems containsSemiMixedTypes="0" containsNonDate="0" containsDate="1" containsString="0" minDate="2023-01-01T00:00:00" maxDate="2025-09-02T00:00:00"/>
    </cacheField>
    <cacheField name="Firstmonth" numFmtId="164">
      <sharedItems containsSemiMixedTypes="0" containsNonDate="0" containsDate="1" containsString="0" minDate="2023-01-01T00:00:00" maxDate="2025-09-02T00:00:00"/>
    </cacheField>
    <cacheField name="Cohortperiod" numFmtId="0">
      <sharedItems containsSemiMixedTypes="0" containsString="0" containsNumber="1" containsInteger="1" minValue="0" maxValue="32" count="33">
        <n v="28"/>
        <n v="2"/>
        <n v="9"/>
        <n v="29"/>
        <n v="12"/>
        <n v="8"/>
        <n v="21"/>
        <n v="6"/>
        <n v="19"/>
        <n v="7"/>
        <n v="23"/>
        <n v="3"/>
        <n v="27"/>
        <n v="31"/>
        <n v="24"/>
        <n v="5"/>
        <n v="10"/>
        <n v="1"/>
        <n v="26"/>
        <n v="0"/>
        <n v="30"/>
        <n v="11"/>
        <n v="18"/>
        <n v="13"/>
        <n v="14"/>
        <n v="16"/>
        <n v="17"/>
        <n v="20"/>
        <n v="22"/>
        <n v="4"/>
        <n v="15"/>
        <n v="25"/>
        <n v="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2">
  <r>
    <s v="ORD-2025-820255"/>
    <d v="2025-05-29T00:00:00"/>
    <d v="2025-06-20T00:00:00"/>
    <s v="all good"/>
    <n v="22"/>
    <s v="Europe"/>
    <x v="0"/>
    <s v="Berlin"/>
    <s v="Corporate"/>
    <s v="Direct"/>
    <x v="0"/>
    <x v="0"/>
    <n v="9"/>
    <n v="483.47"/>
    <n v="1135.43"/>
    <s v="medium"/>
    <n v="0.14599999999999999"/>
    <n v="8726.9149800000014"/>
    <n v="4351.2300000000005"/>
    <n v="0.50140112399720005"/>
    <s v="A. Patel"/>
    <n v="4375.6849800000009"/>
    <s v="Q2-2025"/>
    <s v="05 2025"/>
    <d v="2025-05-01T00:00:00"/>
    <d v="2023-01-01T00:00:00"/>
    <x v="0"/>
  </r>
  <r>
    <s v="ORD-2023-799597"/>
    <d v="2023-03-14T00:00:00"/>
    <d v="2023-03-18T00:00:00"/>
    <s v="all good"/>
    <n v="4"/>
    <s v="Europe"/>
    <x v="0"/>
    <s v="Frankfurt"/>
    <s v="Enterprise"/>
    <s v="Direct"/>
    <x v="1"/>
    <x v="1"/>
    <n v="31"/>
    <n v="472.33"/>
    <n v="360.34"/>
    <s v="low"/>
    <n v="0.16500000000000001"/>
    <n v="9327.4008999999987"/>
    <n v="14642.23"/>
    <n v="-0.56980815523861605"/>
    <s v="A. Patel"/>
    <n v="-5314.8291000000008"/>
    <s v="Q1-2023"/>
    <s v="03 2023"/>
    <d v="2023-03-01T00:00:00"/>
    <d v="2023-01-01T00:00:00"/>
    <x v="1"/>
  </r>
  <r>
    <s v="ORD-2023-667815"/>
    <d v="2023-10-21T00:00:00"/>
    <d v="2023-11-09T00:00:00"/>
    <s v="all good"/>
    <n v="19"/>
    <s v="Europe"/>
    <x v="1"/>
    <s v="London"/>
    <s v="Non-Profit"/>
    <s v="Direct"/>
    <x v="2"/>
    <x v="2"/>
    <n v="12"/>
    <n v="1142.48"/>
    <n v="2105.5300000000002"/>
    <s v="high"/>
    <n v="0.20699999999999999"/>
    <n v="20036.223480000001"/>
    <n v="13709.76"/>
    <n v="0.31575129346680703"/>
    <s v="A. Patel"/>
    <n v="6326.4634800000003"/>
    <s v="Q4-2023"/>
    <s v="10 2023"/>
    <d v="2023-10-01T00:00:00"/>
    <d v="2023-01-01T00:00:00"/>
    <x v="2"/>
  </r>
  <r>
    <s v="ORD-2025-278048"/>
    <d v="2025-06-22T00:00:00"/>
    <d v="2025-07-08T00:00:00"/>
    <s v="all good"/>
    <n v="16"/>
    <s v="Europe"/>
    <x v="1"/>
    <s v="London"/>
    <s v="Education"/>
    <s v="Direct"/>
    <x v="3"/>
    <x v="3"/>
    <n v="22"/>
    <n v="892.73"/>
    <n v="979.84"/>
    <s v="medium"/>
    <n v="0.17399999999999999"/>
    <n v="17805.652480000001"/>
    <n v="19640.060000000001"/>
    <n v="-0.10302388649112799"/>
    <s v="A. Patel"/>
    <n v="-1834.4075200000007"/>
    <s v="Q2-2025"/>
    <s v="06 2025"/>
    <d v="2025-06-01T00:00:00"/>
    <d v="2023-01-01T00:00:00"/>
    <x v="3"/>
  </r>
  <r>
    <s v="ORD-2024-885858"/>
    <d v="2024-01-10T00:00:00"/>
    <d v="2024-01-23T00:00:00"/>
    <s v="all good"/>
    <n v="13"/>
    <s v="Europe"/>
    <x v="2"/>
    <s v="Marseille"/>
    <s v="Corporate"/>
    <s v="Direct"/>
    <x v="0"/>
    <x v="4"/>
    <n v="15"/>
    <n v="720"/>
    <n v="907.59"/>
    <s v="medium"/>
    <n v="0.154"/>
    <n v="11517.3171"/>
    <n v="10800"/>
    <n v="6.2281614179052203E-2"/>
    <s v="A. Patel"/>
    <n v="717.31710000000021"/>
    <s v="Q1-2024"/>
    <s v="01 2024"/>
    <d v="2024-01-01T00:00:00"/>
    <d v="2023-01-01T00:00:00"/>
    <x v="4"/>
  </r>
  <r>
    <s v="ORD-2023-488227"/>
    <d v="2023-09-08T00:00:00"/>
    <d v="2023-10-02T00:00:00"/>
    <s v="all good"/>
    <n v="24"/>
    <s v="America"/>
    <x v="3"/>
    <s v="Toronto"/>
    <s v="Education"/>
    <s v="Direct"/>
    <x v="2"/>
    <x v="5"/>
    <n v="7"/>
    <n v="1299.03"/>
    <n v="2451.2199999999998"/>
    <s v="high"/>
    <n v="0.20799999999999999"/>
    <n v="13589.563679999999"/>
    <n v="9093.2099999999991"/>
    <n v="0.33086814160320399"/>
    <s v="A. Patel"/>
    <n v="4496.3536800000002"/>
    <s v="Q3-2023"/>
    <s v="09 2023"/>
    <d v="2023-09-01T00:00:00"/>
    <d v="2023-01-01T00:00:00"/>
    <x v="5"/>
  </r>
  <r>
    <s v="ORD-2024-355095"/>
    <d v="2024-01-02T00:00:00"/>
    <d v="2024-01-02T00:00:00"/>
    <s v="all good"/>
    <n v="0"/>
    <s v="America"/>
    <x v="3"/>
    <s v="Vancouver"/>
    <s v="Education"/>
    <s v="Direct"/>
    <x v="4"/>
    <x v="6"/>
    <n v="4"/>
    <n v="444.41"/>
    <n v="754.24"/>
    <s v="low"/>
    <n v="0.20699999999999999"/>
    <n v="2392.4492800000003"/>
    <n v="1777.64"/>
    <n v="0.25697902360546598"/>
    <s v="A. Patel"/>
    <n v="614.80928000000017"/>
    <s v="Q1-2024"/>
    <s v="01 2024"/>
    <d v="2024-01-01T00:00:00"/>
    <d v="2023-01-01T00:00:00"/>
    <x v="4"/>
  </r>
  <r>
    <s v="ORD-2024-237478"/>
    <d v="2024-10-03T00:00:00"/>
    <d v="2024-10-11T00:00:00"/>
    <s v="all good"/>
    <n v="8"/>
    <s v="Asia"/>
    <x v="4"/>
    <s v="Beijing"/>
    <s v="Enterprise"/>
    <s v="Direct"/>
    <x v="3"/>
    <x v="7"/>
    <n v="18"/>
    <n v="1132.6099999999999"/>
    <n v="2206.63"/>
    <s v="high"/>
    <n v="6.3E-2"/>
    <n v="37217.021580000008"/>
    <n v="20386.98"/>
    <n v="0.452213553516713"/>
    <s v="B. Chen"/>
    <n v="16830.041580000008"/>
    <s v="Q4-2024"/>
    <s v="10 2024"/>
    <d v="2024-10-01T00:00:00"/>
    <d v="2023-01-01T00:00:00"/>
    <x v="6"/>
  </r>
  <r>
    <s v="ORD-2023-309373"/>
    <d v="2023-07-05T00:00:00"/>
    <d v="2023-07-14T00:00:00"/>
    <s v="all good"/>
    <n v="9"/>
    <s v="America"/>
    <x v="5"/>
    <s v="Brasília"/>
    <s v="Enterprise"/>
    <s v="Direct"/>
    <x v="5"/>
    <x v="8"/>
    <n v="6"/>
    <n v="578.85"/>
    <n v="998.76"/>
    <s v="medium"/>
    <n v="8.2000000000000003E-2"/>
    <n v="5501.1700799999999"/>
    <n v="3473.1000000000004"/>
    <n v="0.36866158480960798"/>
    <s v="B. Chen"/>
    <n v="2028.0700799999995"/>
    <s v="Q3-2023"/>
    <s v="07 2023"/>
    <d v="2023-07-01T00:00:00"/>
    <d v="2023-01-01T00:00:00"/>
    <x v="7"/>
  </r>
  <r>
    <s v="ORD-2023-722117"/>
    <d v="2023-09-18T00:00:00"/>
    <d v="2023-10-08T00:00:00"/>
    <s v="all good"/>
    <n v="20"/>
    <s v="Asia"/>
    <x v="6"/>
    <s v="Delhi"/>
    <s v="Small Business"/>
    <s v="Direct"/>
    <x v="1"/>
    <x v="9"/>
    <n v="31"/>
    <n v="825.64"/>
    <n v="1108.43"/>
    <s v="medium"/>
    <n v="0.114"/>
    <n v="30444.13838"/>
    <n v="25594.84"/>
    <n v="0.15928512475773299"/>
    <s v="B. Chen"/>
    <n v="4849.2983800000002"/>
    <s v="Q3-2023"/>
    <s v="09 2023"/>
    <d v="2023-09-01T00:00:00"/>
    <d v="2023-01-01T00:00:00"/>
    <x v="5"/>
  </r>
  <r>
    <s v="ORD-2024-553449"/>
    <d v="2024-08-27T00:00:00"/>
    <d v="2024-09-18T00:00:00"/>
    <s v="all good"/>
    <n v="22"/>
    <s v="Asia"/>
    <x v="6"/>
    <s v="Delhi"/>
    <s v="Consumer"/>
    <s v="Direct"/>
    <x v="1"/>
    <x v="10"/>
    <n v="23"/>
    <n v="896.75"/>
    <n v="1651.14"/>
    <s v="high"/>
    <n v="2.5000000000000001E-2"/>
    <n v="37026.8145"/>
    <n v="20625.25"/>
    <n v="0.44296450346815602"/>
    <s v="B. Chen"/>
    <n v="16401.5645"/>
    <s v="Q3-2024"/>
    <s v="08 2024"/>
    <d v="2024-08-01T00:00:00"/>
    <d v="2023-01-01T00:00:00"/>
    <x v="8"/>
  </r>
  <r>
    <s v="ORD-2024-366010"/>
    <d v="2024-01-13T00:00:00"/>
    <d v="2024-02-05T00:00:00"/>
    <s v="all good"/>
    <n v="23"/>
    <s v="Europe"/>
    <x v="0"/>
    <s v="Frankfurt"/>
    <s v="Education"/>
    <s v="Direct"/>
    <x v="4"/>
    <x v="11"/>
    <n v="20"/>
    <n v="1017.93"/>
    <n v="1529.14"/>
    <s v="medium"/>
    <n v="0.155"/>
    <n v="25842.466"/>
    <n v="20358.599999999999"/>
    <n v="0.21220366508366501"/>
    <s v="B. Chen"/>
    <n v="5483.8660000000018"/>
    <s v="Q1-2024"/>
    <s v="01 2024"/>
    <d v="2024-01-01T00:00:00"/>
    <d v="2023-01-01T00:00:00"/>
    <x v="4"/>
  </r>
  <r>
    <s v="ORD-2024-153053"/>
    <d v="2024-01-12T00:00:00"/>
    <d v="2024-01-29T00:00:00"/>
    <s v="all good"/>
    <n v="17"/>
    <s v="Asia"/>
    <x v="6"/>
    <s v="Hyderabad"/>
    <s v="Small Business"/>
    <s v="Direct"/>
    <x v="1"/>
    <x v="12"/>
    <n v="10"/>
    <n v="310.02"/>
    <n v="619.51"/>
    <s v="low"/>
    <n v="4.2000000000000003E-2"/>
    <n v="5934.9058000000005"/>
    <n v="3100.2"/>
    <n v="0.47763282106347799"/>
    <s v="B. Chen"/>
    <n v="2834.7058000000006"/>
    <s v="Q1-2024"/>
    <s v="01 2024"/>
    <d v="2024-01-01T00:00:00"/>
    <d v="2023-01-01T00:00:00"/>
    <x v="4"/>
  </r>
  <r>
    <s v="ORD-2023-192324"/>
    <d v="2023-09-14T00:00:00"/>
    <d v="2023-09-16T00:00:00"/>
    <s v="all good"/>
    <n v="2"/>
    <s v="Europe"/>
    <x v="2"/>
    <s v="Lyon"/>
    <s v="Non-Profit"/>
    <s v="Direct"/>
    <x v="0"/>
    <x v="13"/>
    <n v="15"/>
    <n v="376.83"/>
    <n v="732.88"/>
    <s v="low"/>
    <n v="0.188"/>
    <n v="8926.4784000000018"/>
    <n v="5652.45"/>
    <n v="0.36677716040852099"/>
    <s v="B. Chen"/>
    <n v="3274.028400000002"/>
    <s v="Q3-2023"/>
    <s v="09 2023"/>
    <d v="2023-09-01T00:00:00"/>
    <d v="2023-01-01T00:00:00"/>
    <x v="5"/>
  </r>
  <r>
    <s v="ORD-2023-243704"/>
    <d v="2023-08-29T00:00:00"/>
    <d v="2023-09-19T00:00:00"/>
    <s v="all good"/>
    <n v="21"/>
    <s v="Europe"/>
    <x v="2"/>
    <s v="Lyon"/>
    <s v="Small Business"/>
    <s v="Direct"/>
    <x v="0"/>
    <x v="14"/>
    <n v="12"/>
    <n v="784.46"/>
    <n v="1843.51"/>
    <s v="high"/>
    <n v="0.13800000000000001"/>
    <n v="19069.26744"/>
    <n v="9413.52"/>
    <n v="0.50635125184441798"/>
    <s v="B. Chen"/>
    <n v="9655.7474399999992"/>
    <s v="Q3-2023"/>
    <s v="08 2023"/>
    <d v="2023-08-01T00:00:00"/>
    <d v="2023-01-01T00:00:00"/>
    <x v="9"/>
  </r>
  <r>
    <s v="ORD-2024-165942"/>
    <d v="2024-12-29T00:00:00"/>
    <d v="2025-01-12T00:00:00"/>
    <s v="all good"/>
    <n v="14"/>
    <s v="Europe"/>
    <x v="1"/>
    <s v="Manchester"/>
    <s v="Corporate"/>
    <s v="Direct"/>
    <x v="6"/>
    <x v="15"/>
    <n v="9"/>
    <n v="1399.72"/>
    <n v="3149.21"/>
    <s v="high"/>
    <n v="0.185"/>
    <n v="23099.455349999997"/>
    <n v="12597.48"/>
    <n v="0.45464168703873797"/>
    <s v="B. Chen"/>
    <n v="10501.975349999997"/>
    <s v="Q4-2024"/>
    <s v="12 2024"/>
    <d v="2024-12-01T00:00:00"/>
    <d v="2023-01-01T00:00:00"/>
    <x v="10"/>
  </r>
  <r>
    <s v="ORD-2023-609394"/>
    <d v="2023-04-16T00:00:00"/>
    <d v="2023-04-19T00:00:00"/>
    <s v="all good"/>
    <n v="3"/>
    <s v="Europe"/>
    <x v="0"/>
    <s v="Munich"/>
    <s v="Corporate"/>
    <s v="Direct"/>
    <x v="2"/>
    <x v="16"/>
    <n v="28"/>
    <n v="553.61"/>
    <n v="699.47"/>
    <s v="low"/>
    <n v="0.02"/>
    <n v="19193.4568"/>
    <n v="15501.08"/>
    <n v="0.19237685209472"/>
    <s v="B. Chen"/>
    <n v="3692.3768"/>
    <s v="Q2-2023"/>
    <s v="04 2023"/>
    <d v="2023-04-01T00:00:00"/>
    <d v="2023-01-01T00:00:00"/>
    <x v="11"/>
  </r>
  <r>
    <s v="ORD-2023-580751"/>
    <d v="2023-12-24T00:00:00"/>
    <d v="2024-01-13T00:00:00"/>
    <s v="all good"/>
    <n v="20"/>
    <s v="Asia"/>
    <x v="7"/>
    <s v="Nagoya"/>
    <s v="Education"/>
    <s v="Direct"/>
    <x v="4"/>
    <x v="17"/>
    <n v="16"/>
    <n v="625.37"/>
    <n v="1319.04"/>
    <s v="medium"/>
    <n v="7.3999999999999996E-2"/>
    <n v="19542.896639999999"/>
    <n v="10005.92"/>
    <n v="0.48800220436513603"/>
    <s v="B. Chen"/>
    <n v="9536.976639999999"/>
    <s v="Q4-2023"/>
    <s v="12 2023"/>
    <d v="2023-12-01T00:00:00"/>
    <d v="2023-03-01T00:00:00"/>
    <x v="2"/>
  </r>
  <r>
    <s v="ORD-2025-417942"/>
    <d v="2025-06-09T00:00:00"/>
    <d v="2025-06-24T00:00:00"/>
    <s v="all good"/>
    <n v="15"/>
    <s v="Asia"/>
    <x v="7"/>
    <s v="Nagoya"/>
    <s v="Corporate"/>
    <s v="Direct"/>
    <x v="3"/>
    <x v="18"/>
    <n v="18"/>
    <n v="400.39"/>
    <n v="712.75"/>
    <s v="low"/>
    <n v="0.115"/>
    <n v="11354.1075"/>
    <n v="7207.0199999999995"/>
    <n v="0.36524997671547499"/>
    <s v="B. Chen"/>
    <n v="4147.0875000000005"/>
    <s v="Q2-2025"/>
    <s v="06 2025"/>
    <d v="2025-06-01T00:00:00"/>
    <d v="2023-03-01T00:00:00"/>
    <x v="12"/>
  </r>
  <r>
    <s v="ORD-2025-762212"/>
    <d v="2025-08-25T00:00:00"/>
    <d v="2025-09-24T00:00:00"/>
    <s v="all good"/>
    <n v="30"/>
    <s v="Africa"/>
    <x v="8"/>
    <s v="Nairobi"/>
    <s v="Consumer"/>
    <s v="Direct"/>
    <x v="1"/>
    <x v="19"/>
    <n v="19"/>
    <n v="589.14"/>
    <n v="1300.58"/>
    <s v="medium"/>
    <n v="5.5E-2"/>
    <n v="23351.913899999996"/>
    <n v="11193.66"/>
    <n v="0.52065342275863702"/>
    <s v="B. Chen"/>
    <n v="12158.253899999996"/>
    <s v="Q3-2025"/>
    <s v="08 2025"/>
    <d v="2025-08-01T00:00:00"/>
    <d v="2023-01-01T00:00:00"/>
    <x v="13"/>
  </r>
  <r>
    <s v="ORD-2024-668926"/>
    <d v="2024-10-23T00:00:00"/>
    <d v="2024-11-14T00:00:00"/>
    <s v="all good"/>
    <n v="22"/>
    <s v="Asia"/>
    <x v="7"/>
    <s v="Osaka"/>
    <s v="Non-Profit"/>
    <s v="Direct"/>
    <x v="3"/>
    <x v="20"/>
    <n v="7"/>
    <n v="1406.4"/>
    <n v="1564.76"/>
    <s v="medium"/>
    <n v="0.185"/>
    <n v="8926.9557999999997"/>
    <n v="9844.8000000000011"/>
    <n v="-0.102817155205361"/>
    <s v="B. Chen"/>
    <n v="-917.84420000000136"/>
    <s v="Q4-2024"/>
    <s v="10 2024"/>
    <d v="2024-10-01T00:00:00"/>
    <d v="2023-03-01T00:00:00"/>
    <x v="8"/>
  </r>
  <r>
    <s v="ORD-2025-650719"/>
    <d v="2025-02-12T00:00:00"/>
    <d v="2025-02-28T00:00:00"/>
    <s v="all good"/>
    <n v="16"/>
    <s v="America"/>
    <x v="9"/>
    <s v="Paulo"/>
    <s v="Non-Profit"/>
    <s v="Direct"/>
    <x v="6"/>
    <x v="21"/>
    <n v="8"/>
    <n v="414.95"/>
    <n v="1027.73"/>
    <s v="medium"/>
    <n v="6.3E-2"/>
    <n v="7703.8640800000003"/>
    <n v="3319.6"/>
    <n v="0.56909935513815602"/>
    <s v="B. Chen"/>
    <n v="4384.2640800000008"/>
    <s v="Q1-2025"/>
    <s v="02 2025"/>
    <d v="2025-02-01T00:00:00"/>
    <d v="2023-02-01T00:00:00"/>
    <x v="14"/>
  </r>
  <r>
    <s v="ORD-2023-854471"/>
    <d v="2023-03-06T00:00:00"/>
    <d v="2023-04-04T00:00:00"/>
    <s v="all good"/>
    <n v="29"/>
    <s v="Asia"/>
    <x v="4"/>
    <s v="Beijing"/>
    <s v="Small Business"/>
    <s v="Direct"/>
    <x v="6"/>
    <x v="22"/>
    <n v="10"/>
    <n v="1126.29"/>
    <n v="2050.87"/>
    <s v="high"/>
    <n v="6.4000000000000001E-2"/>
    <n v="19196.143199999995"/>
    <n v="11262.9"/>
    <n v="0.413272766166904"/>
    <s v="C. Otieno"/>
    <n v="7933.2431999999953"/>
    <s v="Q1-2023"/>
    <s v="03 2023"/>
    <d v="2023-03-01T00:00:00"/>
    <d v="2023-01-01T00:00:00"/>
    <x v="1"/>
  </r>
  <r>
    <s v="ORD-2023-434071"/>
    <d v="2023-06-20T00:00:00"/>
    <d v="2023-07-04T00:00:00"/>
    <s v="all good"/>
    <n v="14"/>
    <s v="America"/>
    <x v="5"/>
    <s v="Brasília"/>
    <s v="Non-Profit"/>
    <s v="Direct"/>
    <x v="5"/>
    <x v="23"/>
    <n v="8"/>
    <n v="1292.8599999999999"/>
    <n v="2981.01"/>
    <s v="high"/>
    <n v="0.14199999999999999"/>
    <n v="20461.65264"/>
    <n v="10342.879999999999"/>
    <n v="0.49452372288927698"/>
    <s v="C. Otieno"/>
    <n v="10118.772640000001"/>
    <s v="Q2-2023"/>
    <s v="06 2023"/>
    <d v="2023-06-01T00:00:00"/>
    <d v="2023-01-01T00:00:00"/>
    <x v="15"/>
  </r>
  <r>
    <s v="ORD-2023-561823"/>
    <d v="2023-11-19T00:00:00"/>
    <d v="2023-12-12T00:00:00"/>
    <s v="all good"/>
    <n v="23"/>
    <s v="Asia"/>
    <x v="6"/>
    <s v="Delhi"/>
    <s v="Small Business"/>
    <s v="Direct"/>
    <x v="5"/>
    <x v="24"/>
    <n v="12"/>
    <n v="1349.04"/>
    <n v="2636.6"/>
    <s v="high"/>
    <n v="0.114"/>
    <n v="28032.331199999997"/>
    <n v="16188.48"/>
    <n v="0.422506823121439"/>
    <s v="C. Otieno"/>
    <n v="11843.851199999997"/>
    <s v="Q4-2023"/>
    <s v="11 2023"/>
    <d v="2023-11-01T00:00:00"/>
    <d v="2023-01-01T00:00:00"/>
    <x v="16"/>
  </r>
  <r>
    <s v="ORD-2024-604471"/>
    <d v="2024-01-21T00:00:00"/>
    <d v="2024-01-25T00:00:00"/>
    <s v="all good"/>
    <n v="4"/>
    <s v="Asia"/>
    <x v="6"/>
    <s v="Delhi"/>
    <s v="Consumer"/>
    <s v="Direct"/>
    <x v="6"/>
    <x v="25"/>
    <n v="4"/>
    <n v="523.70000000000005"/>
    <n v="1109.92"/>
    <s v="medium"/>
    <n v="0.03"/>
    <n v="4306.4895999999999"/>
    <n v="2094.8000000000002"/>
    <n v="0.51357133197302995"/>
    <s v="C. Otieno"/>
    <n v="2211.6895999999997"/>
    <s v="Q1-2024"/>
    <s v="01 2024"/>
    <d v="2024-01-01T00:00:00"/>
    <d v="2023-01-01T00:00:00"/>
    <x v="4"/>
  </r>
  <r>
    <s v="ORD-2025-485946"/>
    <d v="2025-06-15T00:00:00"/>
    <d v="2025-06-30T00:00:00"/>
    <s v="all good"/>
    <n v="15"/>
    <s v="Africa"/>
    <x v="10"/>
    <s v="Johannesburg"/>
    <s v="Small Business"/>
    <s v="Direct"/>
    <x v="6"/>
    <x v="26"/>
    <n v="10"/>
    <n v="1487.59"/>
    <n v="1480.83"/>
    <s v="medium"/>
    <n v="8.9999999999999993E-3"/>
    <n v="14675.025299999999"/>
    <n v="14875.9"/>
    <n v="-1.3688201273492901E-2"/>
    <s v="C. Otieno"/>
    <n v="-200.8747000000003"/>
    <s v="Q2-2025"/>
    <s v="06 2025"/>
    <d v="2025-06-01T00:00:00"/>
    <d v="2023-02-01T00:00:00"/>
    <x v="0"/>
  </r>
  <r>
    <s v="ORD-2023-735274"/>
    <d v="2023-02-23T00:00:00"/>
    <d v="2023-03-08T00:00:00"/>
    <s v="all good"/>
    <n v="13"/>
    <s v="Europe"/>
    <x v="1"/>
    <s v="Manchester"/>
    <s v="Small Business"/>
    <s v="Direct"/>
    <x v="0"/>
    <x v="27"/>
    <n v="6"/>
    <n v="307.37"/>
    <n v="462.61"/>
    <s v="low"/>
    <n v="0.188"/>
    <n v="2253.83592"/>
    <n v="1844.22"/>
    <n v="0.18174167709599701"/>
    <s v="C. Otieno"/>
    <n v="409.61591999999996"/>
    <s v="Q1-2023"/>
    <s v="02 2023"/>
    <d v="2023-02-01T00:00:00"/>
    <d v="2023-01-01T00:00:00"/>
    <x v="17"/>
  </r>
  <r>
    <s v="ORD-2025-856556"/>
    <d v="2025-06-15T00:00:00"/>
    <d v="2025-07-12T00:00:00"/>
    <s v="all good"/>
    <n v="27"/>
    <s v="Europe"/>
    <x v="2"/>
    <s v="Marseille"/>
    <s v="Consumer"/>
    <s v="Direct"/>
    <x v="2"/>
    <x v="28"/>
    <n v="9"/>
    <n v="318.83"/>
    <n v="699.5"/>
    <s v="low"/>
    <n v="0.08"/>
    <n v="5791.8600000000006"/>
    <n v="2869.47"/>
    <n v="0.50456848059172699"/>
    <s v="C. Otieno"/>
    <n v="2922.3900000000008"/>
    <s v="Q2-2025"/>
    <s v="06 2025"/>
    <d v="2025-06-01T00:00:00"/>
    <d v="2023-01-01T00:00:00"/>
    <x v="3"/>
  </r>
  <r>
    <s v="ORD-2023-369160"/>
    <d v="2023-07-24T00:00:00"/>
    <d v="2023-08-13T00:00:00"/>
    <s v="all good"/>
    <n v="20"/>
    <s v="America"/>
    <x v="3"/>
    <s v="Montreal"/>
    <s v="Education"/>
    <s v="Direct"/>
    <x v="6"/>
    <x v="29"/>
    <n v="14"/>
    <n v="1082.3800000000001"/>
    <n v="1766.55"/>
    <s v="high"/>
    <n v="0.16400000000000001"/>
    <n v="20675.7012"/>
    <n v="15153.320000000002"/>
    <n v="0.26709523157550702"/>
    <s v="C. Otieno"/>
    <n v="5522.381199999998"/>
    <s v="Q3-2023"/>
    <s v="07 2023"/>
    <d v="2023-07-01T00:00:00"/>
    <d v="2023-01-01T00:00:00"/>
    <x v="7"/>
  </r>
  <r>
    <s v="ORD-2025-624006"/>
    <d v="2025-03-15T00:00:00"/>
    <d v="2025-03-29T00:00:00"/>
    <s v="all good"/>
    <n v="14"/>
    <s v="Asia"/>
    <x v="6"/>
    <s v="Mumbai"/>
    <s v="Enterprise"/>
    <s v="Direct"/>
    <x v="1"/>
    <x v="30"/>
    <n v="17"/>
    <n v="935.83"/>
    <n v="2303.46"/>
    <s v="high"/>
    <n v="0.105"/>
    <n v="35047.143900000003"/>
    <n v="15909.11"/>
    <n v="0.54606543559174303"/>
    <s v="C. Otieno"/>
    <n v="19138.033900000002"/>
    <s v="Q1-2025"/>
    <s v="03 2025"/>
    <d v="2025-03-01T00:00:00"/>
    <d v="2023-01-01T00:00:00"/>
    <x v="18"/>
  </r>
  <r>
    <s v="ORD-2025-662997"/>
    <d v="2025-03-31T00:00:00"/>
    <d v="2025-04-04T00:00:00"/>
    <s v="all good"/>
    <n v="4"/>
    <s v="Africa"/>
    <x v="8"/>
    <s v="Nakuru"/>
    <s v="Corporate"/>
    <s v="Direct"/>
    <x v="4"/>
    <x v="31"/>
    <n v="16"/>
    <n v="862.08"/>
    <n v="1952.83"/>
    <s v="high"/>
    <n v="0"/>
    <n v="31245.279999999999"/>
    <n v="13793.28"/>
    <n v="0.55854836314476897"/>
    <s v="C. Otieno"/>
    <n v="17452"/>
    <s v="Q1-2025"/>
    <s v="03 2025"/>
    <d v="2025-03-01T00:00:00"/>
    <d v="2023-01-01T00:00:00"/>
    <x v="18"/>
  </r>
  <r>
    <s v="ORD-2023-967239"/>
    <d v="2023-12-24T00:00:00"/>
    <d v="2024-01-01T00:00:00"/>
    <s v="all good"/>
    <n v="8"/>
    <s v="America"/>
    <x v="9"/>
    <s v="Paulo"/>
    <s v="Education"/>
    <s v="Direct"/>
    <x v="3"/>
    <x v="32"/>
    <n v="4"/>
    <n v="526.49"/>
    <n v="496.2"/>
    <s v="low"/>
    <n v="0"/>
    <n v="1984.8"/>
    <n v="2105.96"/>
    <n v="-6.1043933897621999E-2"/>
    <s v="C. Otieno"/>
    <n v="-121.16000000000008"/>
    <s v="Q4-2023"/>
    <s v="12 2023"/>
    <d v="2023-12-01T00:00:00"/>
    <d v="2023-02-01T00:00:00"/>
    <x v="16"/>
  </r>
  <r>
    <s v="ORD-2025-191328"/>
    <d v="2025-05-10T00:00:00"/>
    <d v="2025-05-27T00:00:00"/>
    <s v="all good"/>
    <n v="17"/>
    <s v="America"/>
    <x v="3"/>
    <s v="Vancouver"/>
    <s v="Education"/>
    <s v="Direct"/>
    <x v="1"/>
    <x v="33"/>
    <n v="10"/>
    <n v="862.89"/>
    <n v="1426.03"/>
    <s v="medium"/>
    <n v="5.6000000000000001E-2"/>
    <n v="13461.723199999999"/>
    <n v="8628.9"/>
    <n v="0.359004796651888"/>
    <s v="C. Otieno"/>
    <n v="4832.8231999999989"/>
    <s v="Q2-2025"/>
    <s v="05 2025"/>
    <d v="2025-05-01T00:00:00"/>
    <d v="2023-01-01T00:00:00"/>
    <x v="0"/>
  </r>
  <r>
    <s v="ORD-2024-635626"/>
    <d v="2024-08-27T00:00:00"/>
    <d v="2024-09-19T00:00:00"/>
    <s v="all good"/>
    <n v="23"/>
    <s v="Europe"/>
    <x v="0"/>
    <s v="Berlin"/>
    <s v="Small Business"/>
    <s v="Direct"/>
    <x v="6"/>
    <x v="34"/>
    <n v="9"/>
    <n v="1024.01"/>
    <n v="1580.97"/>
    <s v="medium"/>
    <n v="3.6999999999999998E-2"/>
    <n v="13702.266989999998"/>
    <n v="9216.09"/>
    <n v="0.32740399769425299"/>
    <s v="D. Smith"/>
    <n v="4486.1769899999981"/>
    <s v="Q3-2024"/>
    <s v="08 2024"/>
    <d v="2024-08-01T00:00:00"/>
    <d v="2023-01-01T00:00:00"/>
    <x v="8"/>
  </r>
  <r>
    <s v="ORD-2023-884192"/>
    <d v="2023-01-10T00:00:00"/>
    <d v="2023-01-29T00:00:00"/>
    <s v="all good"/>
    <n v="19"/>
    <s v="Europe"/>
    <x v="2"/>
    <s v="Lyon"/>
    <s v="Non-Profit"/>
    <s v="Direct"/>
    <x v="4"/>
    <x v="35"/>
    <n v="37"/>
    <n v="401.66"/>
    <n v="772.09"/>
    <s v="low"/>
    <n v="8.8999999999999996E-2"/>
    <n v="26024.837630000002"/>
    <n v="14861.42"/>
    <n v="0.42895244107619002"/>
    <s v="D. Smith"/>
    <n v="11163.417630000002"/>
    <s v="Q1-2023"/>
    <s v="01 2023"/>
    <d v="2023-01-01T00:00:00"/>
    <d v="2023-01-01T00:00:00"/>
    <x v="19"/>
  </r>
  <r>
    <s v="ORD-2023-960380"/>
    <d v="2023-02-11T00:00:00"/>
    <d v="2023-02-12T00:00:00"/>
    <s v="all good"/>
    <n v="1"/>
    <s v="Africa"/>
    <x v="11"/>
    <s v="Harcourt"/>
    <s v="Non-Profit"/>
    <s v="Direct"/>
    <x v="2"/>
    <x v="36"/>
    <n v="27"/>
    <n v="944.61"/>
    <n v="839.04"/>
    <s v="medium"/>
    <n v="5.8999999999999997E-2"/>
    <n v="21317.489279999998"/>
    <n v="25504.47"/>
    <n v="-0.19641059343363701"/>
    <s v="D. Smith"/>
    <n v="-4186.9807200000032"/>
    <s v="Q1-2023"/>
    <s v="02 2023"/>
    <d v="2023-02-01T00:00:00"/>
    <d v="2023-02-01T00:00:00"/>
    <x v="19"/>
  </r>
  <r>
    <s v="ORD-2024-872291"/>
    <d v="2024-01-08T00:00:00"/>
    <d v="2024-01-12T00:00:00"/>
    <s v="all good"/>
    <n v="4"/>
    <s v="Asia"/>
    <x v="6"/>
    <s v="Bengaluru"/>
    <s v="Corporate"/>
    <s v="Direct"/>
    <x v="0"/>
    <x v="37"/>
    <n v="8"/>
    <n v="802.32"/>
    <n v="602.34"/>
    <s v="low"/>
    <n v="0.12"/>
    <n v="4240.4736000000003"/>
    <n v="6418.56"/>
    <n v="-0.51364224977134598"/>
    <s v="E. Garcia"/>
    <n v="-2178.0864000000001"/>
    <s v="Q1-2024"/>
    <s v="01 2024"/>
    <d v="2024-01-01T00:00:00"/>
    <d v="2023-01-01T00:00:00"/>
    <x v="4"/>
  </r>
  <r>
    <s v="ORD-2025-537785"/>
    <d v="2025-08-05T00:00:00"/>
    <d v="2025-08-14T00:00:00"/>
    <s v="all good"/>
    <n v="9"/>
    <s v="Europe"/>
    <x v="1"/>
    <s v="London"/>
    <s v="Non-Profit"/>
    <s v="Direct"/>
    <x v="1"/>
    <x v="38"/>
    <n v="13"/>
    <n v="41.76"/>
    <n v="45.19"/>
    <s v="low"/>
    <n v="0.17899999999999999"/>
    <n v="482.31286999999998"/>
    <n v="542.88"/>
    <n v="-0.12557643340514599"/>
    <s v="E. Garcia"/>
    <n v="-60.56713000000002"/>
    <s v="Q3-2025"/>
    <s v="08 2025"/>
    <d v="2025-08-01T00:00:00"/>
    <d v="2023-01-01T00:00:00"/>
    <x v="13"/>
  </r>
  <r>
    <s v="ORD-2023-867285"/>
    <d v="2023-04-12T00:00:00"/>
    <d v="2023-04-17T00:00:00"/>
    <s v="all good"/>
    <n v="5"/>
    <s v="Europe"/>
    <x v="2"/>
    <s v="Lyon"/>
    <s v="Enterprise"/>
    <s v="Direct"/>
    <x v="6"/>
    <x v="39"/>
    <n v="9"/>
    <n v="1087.81"/>
    <n v="2323.87"/>
    <s v="high"/>
    <n v="9.4E-2"/>
    <n v="18948.83598"/>
    <n v="9790.2899999999991"/>
    <n v="0.48333026839572701"/>
    <s v="E. Garcia"/>
    <n v="9158.5459800000008"/>
    <s v="Q2-2023"/>
    <s v="04 2023"/>
    <d v="2023-04-01T00:00:00"/>
    <d v="2023-02-01T00:00:00"/>
    <x v="1"/>
  </r>
  <r>
    <s v="ORD-2025-993993"/>
    <d v="2025-08-30T00:00:00"/>
    <d v="2025-09-22T00:00:00"/>
    <s v="all good"/>
    <n v="23"/>
    <s v="Europe"/>
    <x v="2"/>
    <s v="Marseille"/>
    <s v="Corporate"/>
    <s v="Direct"/>
    <x v="1"/>
    <x v="40"/>
    <n v="27"/>
    <n v="663.9"/>
    <n v="947.77"/>
    <s v="medium"/>
    <n v="0.17399999999999999"/>
    <n v="21137.166540000002"/>
    <n v="17925.3"/>
    <n v="0.15195350492800699"/>
    <s v="E. Garcia"/>
    <n v="3211.8665400000027"/>
    <s v="Q3-2025"/>
    <s v="08 2025"/>
    <d v="2025-08-01T00:00:00"/>
    <d v="2023-02-01T00:00:00"/>
    <x v="20"/>
  </r>
  <r>
    <s v="ORD-2024-206311"/>
    <d v="2024-01-13T00:00:00"/>
    <d v="2024-01-15T00:00:00"/>
    <s v="all good"/>
    <n v="2"/>
    <s v="America"/>
    <x v="12"/>
    <s v="Francisco"/>
    <s v="Non-Profit"/>
    <s v="Direct"/>
    <x v="1"/>
    <x v="41"/>
    <n v="6"/>
    <n v="1061.3699999999999"/>
    <n v="1938.33"/>
    <s v="high"/>
    <n v="0.17"/>
    <n v="9652.8833999999988"/>
    <n v="6368.2199999999993"/>
    <n v="0.34027795259600901"/>
    <s v="E. Garcia"/>
    <n v="3284.6633999999995"/>
    <s v="Q1-2024"/>
    <s v="01 2024"/>
    <d v="2024-01-01T00:00:00"/>
    <d v="2023-01-01T00:00:00"/>
    <x v="4"/>
  </r>
  <r>
    <s v="ORD-2023-602648"/>
    <d v="2023-06-20T00:00:00"/>
    <d v="2023-07-08T00:00:00"/>
    <s v="all good"/>
    <n v="18"/>
    <s v="America"/>
    <x v="13"/>
    <s v="Austin"/>
    <s v="Non-Profit"/>
    <s v="Direct"/>
    <x v="6"/>
    <x v="42"/>
    <n v="14"/>
    <n v="337"/>
    <n v="511.03"/>
    <s v="low"/>
    <n v="0.108"/>
    <n v="6381.7426400000004"/>
    <n v="4718"/>
    <n v="0.26070349963219502"/>
    <s v="F. Müller"/>
    <n v="1663.7426400000004"/>
    <s v="Q2-2023"/>
    <s v="06 2023"/>
    <d v="2023-06-01T00:00:00"/>
    <d v="2023-01-01T00:00:00"/>
    <x v="15"/>
  </r>
  <r>
    <s v="ORD-2023-581799"/>
    <d v="2023-12-05T00:00:00"/>
    <d v="2023-12-12T00:00:00"/>
    <s v="all good"/>
    <n v="7"/>
    <s v="America"/>
    <x v="5"/>
    <s v="Brasília"/>
    <s v="Corporate"/>
    <s v="Direct"/>
    <x v="3"/>
    <x v="43"/>
    <n v="11"/>
    <n v="307.43"/>
    <n v="495.19"/>
    <s v="low"/>
    <n v="0"/>
    <n v="5447.09"/>
    <n v="3381.73"/>
    <n v="0.37916759223732299"/>
    <s v="F. Müller"/>
    <n v="2065.36"/>
    <s v="Q4-2023"/>
    <s v="12 2023"/>
    <d v="2023-12-01T00:00:00"/>
    <d v="2023-01-01T00:00:00"/>
    <x v="21"/>
  </r>
  <r>
    <s v="ORD-2024-277241"/>
    <d v="2024-01-28T00:00:00"/>
    <d v="2024-01-30T00:00:00"/>
    <s v="all good"/>
    <n v="2"/>
    <s v="Africa"/>
    <x v="14"/>
    <s v="Town"/>
    <s v="Consumer"/>
    <s v="Direct"/>
    <x v="2"/>
    <x v="44"/>
    <n v="22"/>
    <n v="798.45"/>
    <n v="1592.02"/>
    <s v="medium"/>
    <n v="6.6000000000000003E-2"/>
    <n v="32712.826959999999"/>
    <n v="17565.900000000001"/>
    <n v="0.46302714768494602"/>
    <s v="F. Müller"/>
    <n v="15146.926959999997"/>
    <s v="Q1-2024"/>
    <s v="01 2024"/>
    <d v="2024-01-01T00:00:00"/>
    <d v="2023-01-01T00:00:00"/>
    <x v="4"/>
  </r>
  <r>
    <s v="ORD-2024-474999"/>
    <d v="2024-12-27T00:00:00"/>
    <d v="2025-01-02T00:00:00"/>
    <s v="all good"/>
    <n v="6"/>
    <s v="Europe"/>
    <x v="0"/>
    <s v="Frankfurt"/>
    <s v="Education"/>
    <s v="Direct"/>
    <x v="4"/>
    <x v="45"/>
    <n v="28"/>
    <n v="1391.99"/>
    <n v="3469.7"/>
    <s v="high"/>
    <n v="0.184"/>
    <n v="79275.705600000001"/>
    <n v="38975.72"/>
    <n v="0.50835227886006995"/>
    <s v="F. Müller"/>
    <n v="40299.9856"/>
    <s v="Q4-2024"/>
    <s v="12 2024"/>
    <d v="2024-12-01T00:00:00"/>
    <d v="2023-01-01T00:00:00"/>
    <x v="10"/>
  </r>
  <r>
    <s v="ORD-2024-307849"/>
    <d v="2024-08-10T00:00:00"/>
    <d v="2024-09-07T00:00:00"/>
    <s v="all good"/>
    <n v="28"/>
    <s v="Europe"/>
    <x v="2"/>
    <s v="Marseille"/>
    <s v="Non-Profit"/>
    <s v="Direct"/>
    <x v="0"/>
    <x v="46"/>
    <n v="13"/>
    <n v="229.96"/>
    <n v="564.26"/>
    <s v="low"/>
    <n v="0.105"/>
    <n v="6565.1651000000002"/>
    <n v="2989.48"/>
    <n v="0.54464511486542799"/>
    <s v="F. Müller"/>
    <n v="3575.6851000000001"/>
    <s v="Q3-2024"/>
    <s v="08 2024"/>
    <d v="2024-08-01T00:00:00"/>
    <d v="2023-02-01T00:00:00"/>
    <x v="22"/>
  </r>
  <r>
    <s v="ORD-2024-979401"/>
    <d v="2024-02-08T00:00:00"/>
    <d v="2024-02-09T00:00:00"/>
    <s v="all good"/>
    <n v="1"/>
    <s v="Africa"/>
    <x v="8"/>
    <s v="Mombasa"/>
    <s v="Corporate"/>
    <s v="Direct"/>
    <x v="1"/>
    <x v="47"/>
    <n v="31"/>
    <n v="1233.52"/>
    <n v="1543.76"/>
    <s v="medium"/>
    <n v="0.126"/>
    <n v="41826.633439999998"/>
    <n v="38239.120000000003"/>
    <n v="8.5771030201277298E-2"/>
    <s v="F. Müller"/>
    <n v="3587.5134399999952"/>
    <s v="Q1-2024"/>
    <s v="02 2024"/>
    <d v="2024-02-01T00:00:00"/>
    <d v="2023-01-01T00:00:00"/>
    <x v="23"/>
  </r>
  <r>
    <s v="ORD-2023-191563"/>
    <d v="2023-11-30T00:00:00"/>
    <d v="2023-12-10T00:00:00"/>
    <s v="all good"/>
    <n v="10"/>
    <s v="Europe"/>
    <x v="0"/>
    <s v="Munich"/>
    <s v="Small Business"/>
    <s v="Direct"/>
    <x v="4"/>
    <x v="48"/>
    <n v="24"/>
    <n v="174.74"/>
    <n v="415.96"/>
    <s v="low"/>
    <n v="0.125"/>
    <n v="8735.16"/>
    <n v="4193.76"/>
    <n v="0.51989889137691803"/>
    <s v="F. Müller"/>
    <n v="4541.3999999999996"/>
    <s v="Q4-2023"/>
    <s v="11 2023"/>
    <d v="2023-11-01T00:00:00"/>
    <d v="2023-01-01T00:00:00"/>
    <x v="16"/>
  </r>
  <r>
    <s v="ORD-2023-215819"/>
    <d v="2023-07-01T00:00:00"/>
    <d v="2023-07-11T00:00:00"/>
    <s v="all good"/>
    <n v="10"/>
    <s v="Europe"/>
    <x v="2"/>
    <s v="Paris"/>
    <s v="Corporate"/>
    <s v="Direct"/>
    <x v="5"/>
    <x v="49"/>
    <n v="22"/>
    <n v="479.5"/>
    <n v="656.66"/>
    <s v="low"/>
    <n v="0.14899999999999999"/>
    <n v="12293.988519999999"/>
    <n v="10549"/>
    <n v="0.141938356064123"/>
    <s v="F. Müller"/>
    <n v="1744.988519999999"/>
    <s v="Q3-2023"/>
    <s v="07 2023"/>
    <d v="2023-07-01T00:00:00"/>
    <d v="2023-02-01T00:00:00"/>
    <x v="15"/>
  </r>
  <r>
    <s v="ORD-2023-125739"/>
    <d v="2023-05-01T00:00:00"/>
    <d v="2023-05-18T00:00:00"/>
    <s v="all good"/>
    <n v="17"/>
    <s v="Africa"/>
    <x v="11"/>
    <s v="Harcourt"/>
    <s v="Corporate"/>
    <s v="Direct"/>
    <x v="1"/>
    <x v="50"/>
    <n v="8"/>
    <n v="327.97"/>
    <n v="299.94"/>
    <s v="low"/>
    <n v="4.9000000000000002E-2"/>
    <n v="2281.9435199999998"/>
    <n v="2623.76"/>
    <n v="-0.149791823068434"/>
    <s v="F. Müller"/>
    <n v="-341.81648000000041"/>
    <s v="Q2-2023"/>
    <s v="05 2023"/>
    <d v="2023-05-01T00:00:00"/>
    <d v="2023-05-01T00:00:00"/>
    <x v="19"/>
  </r>
  <r>
    <s v="ORD-2025-680118"/>
    <d v="2025-03-10T00:00:00"/>
    <d v="2025-03-27T00:00:00"/>
    <s v="all good"/>
    <n v="17"/>
    <s v="America"/>
    <x v="15"/>
    <s v="Janeiro"/>
    <s v="Enterprise"/>
    <s v="Direct"/>
    <x v="5"/>
    <x v="51"/>
    <n v="8"/>
    <n v="996.73"/>
    <n v="1217.43"/>
    <s v="medium"/>
    <n v="7.0000000000000007E-2"/>
    <n v="9057.6792000000005"/>
    <n v="7973.84"/>
    <n v="0.119659702675273"/>
    <s v="F. Müller"/>
    <n v="1083.8392000000003"/>
    <s v="Q1-2025"/>
    <s v="03 2025"/>
    <d v="2025-03-01T00:00:00"/>
    <d v="2023-04-01T00:00:00"/>
    <x v="10"/>
  </r>
  <r>
    <s v="ORD-2023-594700"/>
    <d v="2023-07-18T00:00:00"/>
    <d v="2023-07-22T00:00:00"/>
    <s v="all good"/>
    <n v="4"/>
    <s v="America"/>
    <x v="9"/>
    <s v="Paulo"/>
    <s v="Consumer"/>
    <s v="Direct"/>
    <x v="5"/>
    <x v="52"/>
    <n v="15"/>
    <n v="1269.55"/>
    <n v="2071.1"/>
    <s v="high"/>
    <n v="0.129"/>
    <n v="27058.9215"/>
    <n v="19043.25"/>
    <n v="0.29623026549672399"/>
    <s v="F. Müller"/>
    <n v="8015.6715000000004"/>
    <s v="Q3-2023"/>
    <s v="07 2023"/>
    <d v="2023-07-01T00:00:00"/>
    <d v="2023-02-01T00:00:00"/>
    <x v="15"/>
  </r>
  <r>
    <s v="ORD-2025-949776"/>
    <d v="2025-08-14T00:00:00"/>
    <d v="2025-09-11T00:00:00"/>
    <s v="all good"/>
    <n v="28"/>
    <s v="America"/>
    <x v="9"/>
    <s v="Paulo"/>
    <s v="Non-Profit"/>
    <s v="Direct"/>
    <x v="0"/>
    <x v="53"/>
    <n v="13"/>
    <n v="1203.02"/>
    <n v="2439.33"/>
    <s v="high"/>
    <n v="0"/>
    <n v="31711.29"/>
    <n v="15639.26"/>
    <n v="0.50682359500354601"/>
    <s v="F. Müller"/>
    <n v="16072.03"/>
    <s v="Q3-2025"/>
    <s v="08 2025"/>
    <d v="2025-08-01T00:00:00"/>
    <d v="2023-02-01T00:00:00"/>
    <x v="20"/>
  </r>
  <r>
    <s v="ORD-2024-478165"/>
    <d v="2024-12-05T00:00:00"/>
    <d v="2024-12-28T00:00:00"/>
    <s v="all good"/>
    <n v="23"/>
    <s v="America"/>
    <x v="3"/>
    <s v="Vancouver"/>
    <s v="Corporate"/>
    <s v="Direct"/>
    <x v="2"/>
    <x v="54"/>
    <n v="6"/>
    <n v="107.03"/>
    <n v="242.29"/>
    <s v="low"/>
    <n v="0.18"/>
    <n v="1192.0668000000001"/>
    <n v="642.18000000000006"/>
    <n v="0.46128857879440999"/>
    <s v="F. Müller"/>
    <n v="549.88679999999999"/>
    <s v="Q4-2024"/>
    <s v="12 2024"/>
    <d v="2024-12-01T00:00:00"/>
    <d v="2023-01-01T00:00:00"/>
    <x v="10"/>
  </r>
  <r>
    <s v="ORD-2024-446030"/>
    <d v="2024-03-23T00:00:00"/>
    <d v="2024-03-26T00:00:00"/>
    <s v="all good"/>
    <n v="3"/>
    <s v="Asia"/>
    <x v="6"/>
    <s v="Bengaluru"/>
    <s v="Education"/>
    <s v="Direct"/>
    <x v="3"/>
    <x v="55"/>
    <n v="38"/>
    <n v="382.21"/>
    <n v="571.89"/>
    <s v="low"/>
    <n v="0.14799999999999999"/>
    <n v="18515.51064"/>
    <n v="14523.98"/>
    <n v="0.21557766985788099"/>
    <s v="G. Dubois"/>
    <n v="3991.5306400000009"/>
    <s v="Q1-2024"/>
    <s v="03 2024"/>
    <d v="2024-03-01T00:00:00"/>
    <d v="2023-01-01T00:00:00"/>
    <x v="24"/>
  </r>
  <r>
    <s v="ORD-2024-641220"/>
    <d v="2024-05-10T00:00:00"/>
    <d v="2024-05-16T00:00:00"/>
    <s v="all good"/>
    <n v="6"/>
    <s v="Europe"/>
    <x v="1"/>
    <s v="Birmingham"/>
    <s v="Non-Profit"/>
    <s v="Direct"/>
    <x v="4"/>
    <x v="56"/>
    <n v="11"/>
    <n v="210.76"/>
    <n v="221.58"/>
    <s v="low"/>
    <n v="8.8999999999999996E-2"/>
    <n v="2220.45318"/>
    <n v="2318.3599999999997"/>
    <n v="-4.4093170205912503E-2"/>
    <s v="G. Dubois"/>
    <n v="-97.906819999999698"/>
    <s v="Q2-2024"/>
    <s v="05 2024"/>
    <d v="2024-05-01T00:00:00"/>
    <d v="2023-01-01T00:00:00"/>
    <x v="25"/>
  </r>
  <r>
    <s v="ORD-2023-869884"/>
    <d v="2023-03-02T00:00:00"/>
    <d v="2023-03-05T00:00:00"/>
    <s v="all good"/>
    <n v="3"/>
    <s v="America"/>
    <x v="5"/>
    <s v="Brasília"/>
    <s v="Enterprise"/>
    <s v="Direct"/>
    <x v="6"/>
    <x v="57"/>
    <n v="8"/>
    <n v="1473.58"/>
    <n v="3436.52"/>
    <s v="high"/>
    <n v="0.108"/>
    <n v="24523.006720000001"/>
    <n v="11788.64"/>
    <n v="0.51928243813652597"/>
    <s v="G. Dubois"/>
    <n v="12734.366720000002"/>
    <s v="Q1-2023"/>
    <s v="03 2023"/>
    <d v="2023-03-01T00:00:00"/>
    <d v="2023-01-01T00:00:00"/>
    <x v="1"/>
  </r>
  <r>
    <s v="ORD-2025-184754"/>
    <d v="2025-06-27T00:00:00"/>
    <d v="2025-07-05T00:00:00"/>
    <s v="all good"/>
    <n v="8"/>
    <s v="Europe"/>
    <x v="0"/>
    <s v="Munich"/>
    <s v="Small Business"/>
    <s v="Direct"/>
    <x v="6"/>
    <x v="58"/>
    <n v="56"/>
    <n v="314.93"/>
    <n v="687.95"/>
    <s v="low"/>
    <n v="0.20499999999999999"/>
    <n v="30627.534000000003"/>
    <n v="17636.080000000002"/>
    <n v="0.424175645352316"/>
    <s v="G. Dubois"/>
    <n v="12991.454000000002"/>
    <s v="Q2-2025"/>
    <s v="06 2025"/>
    <d v="2025-06-01T00:00:00"/>
    <d v="2023-01-01T00:00:00"/>
    <x v="3"/>
  </r>
  <r>
    <s v="ORD-2023-867175"/>
    <d v="2023-08-10T00:00:00"/>
    <d v="2023-08-15T00:00:00"/>
    <s v="all good"/>
    <n v="5"/>
    <s v="America"/>
    <x v="9"/>
    <s v="Paulo"/>
    <s v="Education"/>
    <s v="Direct"/>
    <x v="5"/>
    <x v="59"/>
    <n v="4"/>
    <n v="1307.52"/>
    <n v="1921.65"/>
    <s v="high"/>
    <n v="0.123"/>
    <n v="6741.1482000000005"/>
    <n v="5230.08"/>
    <n v="0.224155908632894"/>
    <s v="G. Dubois"/>
    <n v="1511.0682000000006"/>
    <s v="Q3-2023"/>
    <s v="08 2023"/>
    <d v="2023-08-01T00:00:00"/>
    <d v="2023-02-01T00:00:00"/>
    <x v="7"/>
  </r>
  <r>
    <s v="ORD-2024-886939"/>
    <d v="2024-06-03T00:00:00"/>
    <d v="2024-06-24T00:00:00"/>
    <s v="all good"/>
    <n v="21"/>
    <s v="America"/>
    <x v="3"/>
    <s v="Toronto"/>
    <s v="Small Business"/>
    <s v="Direct"/>
    <x v="6"/>
    <x v="60"/>
    <n v="20"/>
    <n v="1205.5"/>
    <n v="2210.17"/>
    <s v="high"/>
    <n v="0.104"/>
    <n v="39606.246400000004"/>
    <n v="24110"/>
    <n v="0.39125763758314602"/>
    <s v="G. Dubois"/>
    <n v="15496.246400000004"/>
    <s v="Q2-2024"/>
    <s v="06 2024"/>
    <d v="2024-06-01T00:00:00"/>
    <d v="2023-01-01T00:00:00"/>
    <x v="26"/>
  </r>
  <r>
    <s v="ORD-2025-501927"/>
    <d v="2025-03-03T00:00:00"/>
    <d v="2025-03-24T00:00:00"/>
    <s v="all good"/>
    <n v="21"/>
    <s v="Africa"/>
    <x v="16"/>
    <s v="Abuja"/>
    <s v="Enterprise"/>
    <s v="Direct"/>
    <x v="2"/>
    <x v="61"/>
    <n v="12"/>
    <n v="555.95000000000005"/>
    <n v="468.09"/>
    <s v="low"/>
    <n v="0.14199999999999999"/>
    <n v="4819.4546399999999"/>
    <n v="6671.4000000000005"/>
    <n v="-0.38426450674095403"/>
    <s v="H. Kim"/>
    <n v="-1851.9453600000006"/>
    <s v="Q1-2025"/>
    <s v="03 2025"/>
    <d v="2025-03-01T00:00:00"/>
    <d v="2023-01-01T00:00:00"/>
    <x v="18"/>
  </r>
  <r>
    <s v="ORD-2024-664046"/>
    <d v="2024-09-02T00:00:00"/>
    <d v="2024-09-08T00:00:00"/>
    <s v="all good"/>
    <n v="6"/>
    <s v="America"/>
    <x v="13"/>
    <s v="Austin"/>
    <s v="Consumer"/>
    <s v="Direct"/>
    <x v="1"/>
    <x v="62"/>
    <n v="11"/>
    <n v="462.94"/>
    <n v="1015.7"/>
    <s v="medium"/>
    <n v="0.14299999999999999"/>
    <n v="9575.0038999999997"/>
    <n v="5092.34"/>
    <n v="0.46816314090483002"/>
    <s v="H. Kim"/>
    <n v="4482.6638999999996"/>
    <s v="Q3-2024"/>
    <s v="09 2024"/>
    <d v="2024-09-01T00:00:00"/>
    <d v="2023-01-01T00:00:00"/>
    <x v="27"/>
  </r>
  <r>
    <s v="ORD-2024-465898"/>
    <d v="2024-06-06T00:00:00"/>
    <d v="2024-06-24T00:00:00"/>
    <s v="all good"/>
    <n v="18"/>
    <s v="Asia"/>
    <x v="6"/>
    <s v="Bengaluru"/>
    <s v="Small Business"/>
    <s v="Direct"/>
    <x v="5"/>
    <x v="63"/>
    <n v="51"/>
    <n v="1253.25"/>
    <n v="3087.13"/>
    <s v="high"/>
    <n v="7.1999999999999995E-2"/>
    <n v="146107.68864000001"/>
    <n v="63915.75"/>
    <n v="0.562543555408064"/>
    <s v="H. Kim"/>
    <n v="82191.938640000008"/>
    <s v="Q2-2024"/>
    <s v="06 2024"/>
    <d v="2024-06-01T00:00:00"/>
    <d v="2023-01-01T00:00:00"/>
    <x v="26"/>
  </r>
  <r>
    <s v="ORD-2023-422918"/>
    <d v="2023-02-28T00:00:00"/>
    <d v="2023-03-20T00:00:00"/>
    <s v="all good"/>
    <n v="20"/>
    <s v="Europe"/>
    <x v="0"/>
    <s v="Berlin"/>
    <s v="Small Business"/>
    <s v="Direct"/>
    <x v="4"/>
    <x v="64"/>
    <n v="40"/>
    <n v="1200.78"/>
    <n v="2001.17"/>
    <s v="high"/>
    <n v="0.29199999999999998"/>
    <n v="56673.134400000003"/>
    <n v="48031.199999999997"/>
    <n v="0.152487320341329"/>
    <s v="H. Kim"/>
    <n v="8641.9344000000056"/>
    <s v="Q1-2023"/>
    <s v="02 2023"/>
    <d v="2023-02-01T00:00:00"/>
    <d v="2023-01-01T00:00:00"/>
    <x v="17"/>
  </r>
  <r>
    <s v="ORD-2023-382017"/>
    <d v="2023-01-13T00:00:00"/>
    <d v="2023-01-19T00:00:00"/>
    <s v="all good"/>
    <n v="6"/>
    <s v="America"/>
    <x v="13"/>
    <s v="Chicago"/>
    <s v="Corporate"/>
    <s v="Direct"/>
    <x v="3"/>
    <x v="65"/>
    <n v="13"/>
    <n v="833.57"/>
    <n v="881.57"/>
    <s v="medium"/>
    <n v="5.7000000000000002E-2"/>
    <n v="10807.16663"/>
    <n v="10836.41"/>
    <n v="-2.70592385601074E-3"/>
    <s v="H. Kim"/>
    <n v="-29.243370000000141"/>
    <s v="Q1-2023"/>
    <s v="01 2023"/>
    <d v="2023-01-01T00:00:00"/>
    <d v="2023-01-01T00:00:00"/>
    <x v="19"/>
  </r>
  <r>
    <s v="ORD-2024-745822"/>
    <d v="2024-03-31T00:00:00"/>
    <d v="2024-04-17T00:00:00"/>
    <s v="all good"/>
    <n v="17"/>
    <s v="Europe"/>
    <x v="0"/>
    <s v="Frankfurt"/>
    <s v="Education"/>
    <s v="Direct"/>
    <x v="6"/>
    <x v="66"/>
    <n v="16"/>
    <n v="1025.51"/>
    <n v="1436.54"/>
    <s v="medium"/>
    <n v="0.13900000000000001"/>
    <n v="19789.77504"/>
    <n v="16408.16"/>
    <n v="0.170876881276565"/>
    <s v="H. Kim"/>
    <n v="3381.6150400000006"/>
    <s v="Q1-2024"/>
    <s v="03 2024"/>
    <d v="2024-03-01T00:00:00"/>
    <d v="2023-01-01T00:00:00"/>
    <x v="24"/>
  </r>
  <r>
    <s v="ORD-2023-256951"/>
    <d v="2023-04-19T00:00:00"/>
    <d v="2023-05-07T00:00:00"/>
    <s v="all good"/>
    <n v="18"/>
    <s v="Europe"/>
    <x v="1"/>
    <s v="London"/>
    <s v="Non-Profit"/>
    <s v="Direct"/>
    <x v="5"/>
    <x v="67"/>
    <n v="13"/>
    <n v="516.96"/>
    <n v="745.38"/>
    <s v="low"/>
    <n v="0.19700000000000001"/>
    <n v="7781.0218199999999"/>
    <n v="6720.4800000000005"/>
    <n v="0.13629852794835101"/>
    <s v="H. Kim"/>
    <n v="1060.5418199999995"/>
    <s v="Q2-2023"/>
    <s v="04 2023"/>
    <d v="2023-04-01T00:00:00"/>
    <d v="2023-01-01T00:00:00"/>
    <x v="11"/>
  </r>
  <r>
    <s v="ORD-2023-576840"/>
    <d v="2023-11-19T00:00:00"/>
    <d v="2023-12-13T00:00:00"/>
    <s v="all good"/>
    <n v="24"/>
    <s v="Europe"/>
    <x v="2"/>
    <s v="Lyon"/>
    <s v="Non-Profit"/>
    <s v="Direct"/>
    <x v="6"/>
    <x v="68"/>
    <n v="18"/>
    <n v="1297.42"/>
    <n v="2742.97"/>
    <s v="high"/>
    <n v="6.9000000000000006E-2"/>
    <n v="45966.69126"/>
    <n v="23353.56"/>
    <n v="0.49194602961727302"/>
    <s v="H. Kim"/>
    <n v="22613.131259999998"/>
    <s v="Q4-2023"/>
    <s v="11 2023"/>
    <d v="2023-11-01T00:00:00"/>
    <d v="2023-02-01T00:00:00"/>
    <x v="2"/>
  </r>
  <r>
    <s v="ORD-2023-181257"/>
    <d v="2023-11-15T00:00:00"/>
    <d v="2023-12-06T00:00:00"/>
    <s v="all good"/>
    <n v="21"/>
    <s v="Europe"/>
    <x v="1"/>
    <s v="Manchester"/>
    <s v="Education"/>
    <s v="Direct"/>
    <x v="2"/>
    <x v="69"/>
    <n v="5"/>
    <n v="1184.99"/>
    <n v="1154.3399999999999"/>
    <s v="medium"/>
    <n v="2.8000000000000001E-2"/>
    <n v="5610.0923999999995"/>
    <n v="5924.95"/>
    <n v="-5.6123424990290799E-2"/>
    <s v="H. Kim"/>
    <n v="-314.85760000000028"/>
    <s v="Q4-2023"/>
    <s v="11 2023"/>
    <d v="2023-11-01T00:00:00"/>
    <d v="2023-01-01T00:00:00"/>
    <x v="16"/>
  </r>
  <r>
    <s v="ORD-2024-998320"/>
    <d v="2024-10-25T00:00:00"/>
    <d v="2024-11-14T00:00:00"/>
    <s v="all good"/>
    <n v="20"/>
    <s v="Africa"/>
    <x v="8"/>
    <s v="Mombasa"/>
    <s v="Corporate"/>
    <s v="Direct"/>
    <x v="0"/>
    <x v="70"/>
    <n v="9"/>
    <n v="1396.48"/>
    <n v="3204.5"/>
    <s v="high"/>
    <n v="0.318"/>
    <n v="19669.220999999998"/>
    <n v="12568.32"/>
    <n v="0.36101587348070402"/>
    <s v="H. Kim"/>
    <n v="7100.900999999998"/>
    <s v="Q4-2024"/>
    <s v="10 2024"/>
    <d v="2024-10-01T00:00:00"/>
    <d v="2023-01-01T00:00:00"/>
    <x v="6"/>
  </r>
  <r>
    <s v="ORD-2024-776337"/>
    <d v="2024-11-12T00:00:00"/>
    <d v="2024-11-21T00:00:00"/>
    <s v="all good"/>
    <n v="9"/>
    <s v="Asia"/>
    <x v="6"/>
    <s v="Mumbai"/>
    <s v="Corporate"/>
    <s v="Direct"/>
    <x v="4"/>
    <x v="71"/>
    <n v="12"/>
    <n v="903.41"/>
    <n v="1860.41"/>
    <s v="high"/>
    <n v="0.108"/>
    <n v="19913.828640000003"/>
    <n v="10840.92"/>
    <n v="0.455608451996803"/>
    <s v="H. Kim"/>
    <n v="9072.9086400000033"/>
    <s v="Q4-2024"/>
    <s v="11 2024"/>
    <d v="2024-11-01T00:00:00"/>
    <d v="2023-01-01T00:00:00"/>
    <x v="28"/>
  </r>
  <r>
    <s v="ORD-2023-623293"/>
    <d v="2023-10-12T00:00:00"/>
    <d v="2023-10-29T00:00:00"/>
    <s v="all good"/>
    <n v="17"/>
    <s v="Asia"/>
    <x v="7"/>
    <s v="Nagoya"/>
    <s v="Non-Profit"/>
    <s v="Direct"/>
    <x v="3"/>
    <x v="72"/>
    <n v="17"/>
    <n v="1102.19"/>
    <n v="1711.16"/>
    <s v="high"/>
    <n v="0.151"/>
    <n v="24697.172279999999"/>
    <n v="18737.23"/>
    <n v="0.241320836751275"/>
    <s v="H. Kim"/>
    <n v="5959.9422799999993"/>
    <s v="Q4-2023"/>
    <s v="10 2023"/>
    <d v="2023-10-01T00:00:00"/>
    <d v="2023-03-01T00:00:00"/>
    <x v="9"/>
  </r>
  <r>
    <s v="ORD-2024-555229"/>
    <d v="2024-05-18T00:00:00"/>
    <d v="2024-05-22T00:00:00"/>
    <s v="all good"/>
    <n v="4"/>
    <s v="Africa"/>
    <x v="8"/>
    <s v="Nairobi"/>
    <s v="Corporate"/>
    <s v="Direct"/>
    <x v="2"/>
    <x v="73"/>
    <n v="18"/>
    <n v="857.42"/>
    <n v="1658.92"/>
    <s v="high"/>
    <n v="0.122"/>
    <n v="26217.571680000001"/>
    <n v="15433.56"/>
    <n v="0.41132763215544299"/>
    <s v="H. Kim"/>
    <n v="10784.011680000001"/>
    <s v="Q2-2024"/>
    <s v="05 2024"/>
    <d v="2024-05-01T00:00:00"/>
    <d v="2023-01-01T00:00:00"/>
    <x v="25"/>
  </r>
  <r>
    <s v="ORD-2023-536542"/>
    <d v="2023-06-10T00:00:00"/>
    <d v="2023-06-18T00:00:00"/>
    <s v="all good"/>
    <n v="8"/>
    <s v="Africa"/>
    <x v="8"/>
    <s v="Nakuru"/>
    <s v="Enterprise"/>
    <s v="Direct"/>
    <x v="3"/>
    <x v="74"/>
    <n v="5"/>
    <n v="894.23"/>
    <n v="1421.55"/>
    <s v="medium"/>
    <n v="0.109"/>
    <n v="6333.0052500000002"/>
    <n v="4471.1499999999996"/>
    <n v="0.29399237431549602"/>
    <s v="H. Kim"/>
    <n v="1861.8552500000005"/>
    <s v="Q2-2023"/>
    <s v="06 2023"/>
    <d v="2023-06-01T00:00:00"/>
    <d v="2023-01-01T00:00:00"/>
    <x v="15"/>
  </r>
  <r>
    <s v="ORD-2025-254721"/>
    <d v="2025-05-15T00:00:00"/>
    <d v="2025-06-05T00:00:00"/>
    <s v="all good"/>
    <n v="21"/>
    <s v="Asia"/>
    <x v="7"/>
    <s v="Osaka"/>
    <s v="Enterprise"/>
    <s v="Direct"/>
    <x v="3"/>
    <x v="75"/>
    <n v="7"/>
    <n v="1466.5"/>
    <n v="2778.74"/>
    <s v="high"/>
    <n v="0.13500000000000001"/>
    <n v="16825.270700000001"/>
    <n v="10265.5"/>
    <n v="0.38987608680792302"/>
    <s v="H. Kim"/>
    <n v="6559.7707000000009"/>
    <s v="Q2-2025"/>
    <s v="05 2025"/>
    <d v="2025-05-01T00:00:00"/>
    <d v="2023-03-01T00:00:00"/>
    <x v="18"/>
  </r>
  <r>
    <s v="ORD-2025-683247"/>
    <d v="2025-03-10T00:00:00"/>
    <d v="2025-04-04T00:00:00"/>
    <s v="all good"/>
    <n v="25"/>
    <s v="Asia"/>
    <x v="7"/>
    <s v="Osaka"/>
    <s v="Corporate"/>
    <s v="Direct"/>
    <x v="0"/>
    <x v="76"/>
    <n v="13"/>
    <n v="783.72"/>
    <n v="1355.94"/>
    <s v="medium"/>
    <n v="0.187"/>
    <n v="14330.92986"/>
    <n v="10188.36"/>
    <n v="0.289064973485258"/>
    <s v="H. Kim"/>
    <n v="4142.5698599999996"/>
    <s v="Q1-2025"/>
    <s v="03 2025"/>
    <d v="2025-03-01T00:00:00"/>
    <d v="2023-03-01T00:00:00"/>
    <x v="14"/>
  </r>
  <r>
    <s v="ORD-2025-685236"/>
    <d v="2025-03-14T00:00:00"/>
    <d v="2025-03-29T00:00:00"/>
    <s v="all good"/>
    <n v="15"/>
    <s v="Asia"/>
    <x v="7"/>
    <s v="Tokyo"/>
    <s v="Non-Profit"/>
    <s v="Direct"/>
    <x v="5"/>
    <x v="77"/>
    <n v="17"/>
    <n v="1106.96"/>
    <n v="2726.62"/>
    <s v="high"/>
    <n v="0.317"/>
    <n v="31658.784820000004"/>
    <n v="18818.32"/>
    <n v="0.405589314087893"/>
    <s v="H. Kim"/>
    <n v="12840.464820000005"/>
    <s v="Q1-2025"/>
    <s v="03 2025"/>
    <d v="2025-03-01T00:00:00"/>
    <d v="2023-03-01T00:00:00"/>
    <x v="14"/>
  </r>
  <r>
    <s v="ORD-2024-588972"/>
    <d v="2024-11-02T00:00:00"/>
    <d v="2024-11-29T00:00:00"/>
    <s v="all good"/>
    <n v="27"/>
    <s v="America"/>
    <x v="5"/>
    <s v="Brasília"/>
    <s v="Small Business"/>
    <s v="Direct"/>
    <x v="5"/>
    <x v="78"/>
    <n v="20"/>
    <n v="1363.51"/>
    <n v="1433.9"/>
    <s v="medium"/>
    <n v="5.7000000000000002E-2"/>
    <n v="27043.353999999999"/>
    <n v="27270.2"/>
    <n v="-8.3882346842037905E-3"/>
    <s v="I. Johnson"/>
    <n v="-226.84600000000137"/>
    <s v="Q4-2024"/>
    <s v="11 2024"/>
    <d v="2024-11-01T00:00:00"/>
    <d v="2023-01-01T00:00:00"/>
    <x v="28"/>
  </r>
  <r>
    <s v="ORD-2024-906395"/>
    <d v="2024-03-10T00:00:00"/>
    <d v="2024-04-09T00:00:00"/>
    <s v="all good"/>
    <n v="30"/>
    <s v="Europe"/>
    <x v="2"/>
    <s v="Lyon"/>
    <s v="Corporate"/>
    <s v="Direct"/>
    <x v="1"/>
    <x v="79"/>
    <n v="3"/>
    <n v="1176.56"/>
    <n v="1911.89"/>
    <s v="high"/>
    <n v="0.11899999999999999"/>
    <n v="5053.1252700000005"/>
    <n v="3529.68"/>
    <n v="0.30148575160892499"/>
    <s v="I. Johnson"/>
    <n v="1523.4452700000006"/>
    <s v="Q1-2024"/>
    <s v="03 2024"/>
    <d v="2024-03-01T00:00:00"/>
    <d v="2023-02-01T00:00:00"/>
    <x v="23"/>
  </r>
  <r>
    <s v="ORD-2023-173313"/>
    <d v="2023-06-15T00:00:00"/>
    <d v="2023-07-12T00:00:00"/>
    <s v="all good"/>
    <n v="27"/>
    <s v="Europe"/>
    <x v="1"/>
    <s v="Manchester"/>
    <s v="Consumer"/>
    <s v="Direct"/>
    <x v="2"/>
    <x v="80"/>
    <n v="26"/>
    <n v="751.28"/>
    <n v="1111.8800000000001"/>
    <s v="medium"/>
    <n v="0.13500000000000001"/>
    <n v="25006.181200000003"/>
    <n v="19533.28"/>
    <n v="0.21886193482433899"/>
    <s v="I. Johnson"/>
    <n v="5472.9012000000039"/>
    <s v="Q2-2023"/>
    <s v="06 2023"/>
    <d v="2023-06-01T00:00:00"/>
    <d v="2023-01-01T00:00:00"/>
    <x v="15"/>
  </r>
  <r>
    <s v="ORD-2024-192263"/>
    <d v="2024-11-21T00:00:00"/>
    <d v="2024-12-21T00:00:00"/>
    <s v="all good"/>
    <n v="30"/>
    <s v="Europe"/>
    <x v="2"/>
    <s v="Marseille"/>
    <s v="Small Business"/>
    <s v="Direct"/>
    <x v="6"/>
    <x v="81"/>
    <n v="16"/>
    <n v="1122.68"/>
    <n v="1997.19"/>
    <s v="high"/>
    <n v="0.186"/>
    <n v="26011.402560000002"/>
    <n v="17962.88"/>
    <n v="0.30942285951073301"/>
    <s v="I. Johnson"/>
    <n v="8048.5225600000012"/>
    <s v="Q4-2024"/>
    <s v="11 2024"/>
    <d v="2024-11-01T00:00:00"/>
    <d v="2023-02-01T00:00:00"/>
    <x v="6"/>
  </r>
  <r>
    <s v="ORD-2024-197852"/>
    <d v="2024-02-29T00:00:00"/>
    <d v="2024-03-30T00:00:00"/>
    <s v="all good"/>
    <n v="30"/>
    <s v="Asia"/>
    <x v="7"/>
    <s v="Nagoya"/>
    <s v="Small Business"/>
    <s v="Direct"/>
    <x v="5"/>
    <x v="82"/>
    <n v="15"/>
    <n v="231.11"/>
    <n v="318.17"/>
    <s v="low"/>
    <n v="0.20100000000000001"/>
    <n v="3813.2674499999998"/>
    <n v="3466.65"/>
    <n v="9.0897754889969706E-2"/>
    <s v="I. Johnson"/>
    <n v="346.61744999999974"/>
    <s v="Q1-2024"/>
    <s v="02 2024"/>
    <d v="2024-02-01T00:00:00"/>
    <d v="2023-03-01T00:00:00"/>
    <x v="21"/>
  </r>
  <r>
    <s v="ORD-2023-755337"/>
    <d v="2023-09-08T00:00:00"/>
    <d v="2023-09-14T00:00:00"/>
    <s v="all good"/>
    <n v="6"/>
    <s v="Africa"/>
    <x v="8"/>
    <s v="Nakuru"/>
    <s v="Education"/>
    <s v="Direct"/>
    <x v="2"/>
    <x v="83"/>
    <n v="15"/>
    <n v="251.03"/>
    <n v="411.48"/>
    <s v="low"/>
    <n v="0.16500000000000001"/>
    <n v="5153.7870000000003"/>
    <n v="3765.45"/>
    <n v="0.26938191275658102"/>
    <s v="I. Johnson"/>
    <n v="1388.3370000000004"/>
    <s v="Q3-2023"/>
    <s v="09 2023"/>
    <d v="2023-09-01T00:00:00"/>
    <d v="2023-01-01T00:00:00"/>
    <x v="5"/>
  </r>
  <r>
    <s v="ORD-2024-251426"/>
    <d v="2024-03-09T00:00:00"/>
    <d v="2024-03-26T00:00:00"/>
    <s v="all good"/>
    <n v="17"/>
    <s v="America"/>
    <x v="12"/>
    <s v="Francisco"/>
    <s v="Education"/>
    <s v="Direct"/>
    <x v="3"/>
    <x v="84"/>
    <n v="13"/>
    <n v="1137.4100000000001"/>
    <n v="1680.93"/>
    <s v="high"/>
    <n v="0.254"/>
    <n v="16301.65914"/>
    <n v="14786.330000000002"/>
    <n v="9.2955516183121395E-2"/>
    <s v="I. Johnson"/>
    <n v="1515.329139999998"/>
    <s v="Q1-2024"/>
    <s v="03 2024"/>
    <d v="2024-03-01T00:00:00"/>
    <d v="2023-01-01T00:00:00"/>
    <x v="24"/>
  </r>
  <r>
    <s v="ORD-2025-861401"/>
    <d v="2025-04-01T00:00:00"/>
    <d v="2025-04-27T00:00:00"/>
    <s v="all good"/>
    <n v="26"/>
    <s v="America"/>
    <x v="12"/>
    <s v="Francisco"/>
    <s v="Corporate"/>
    <s v="Direct"/>
    <x v="6"/>
    <x v="85"/>
    <n v="11"/>
    <n v="156.55000000000001"/>
    <n v="227.45"/>
    <s v="low"/>
    <n v="1.4E-2"/>
    <n v="2466.9226999999996"/>
    <n v="1722.0500000000002"/>
    <n v="0.30194407793969402"/>
    <s v="I. Johnson"/>
    <n v="744.87269999999944"/>
    <s v="Q2-2025"/>
    <s v="04 2025"/>
    <d v="2025-04-01T00:00:00"/>
    <d v="2023-01-01T00:00:00"/>
    <x v="12"/>
  </r>
  <r>
    <s v="ORD-2025-418232"/>
    <d v="2025-08-01T00:00:00"/>
    <d v="2025-08-21T00:00:00"/>
    <s v="all good"/>
    <n v="20"/>
    <s v="Asia"/>
    <x v="4"/>
    <s v="Shanghai"/>
    <s v="Corporate"/>
    <s v="Direct"/>
    <x v="3"/>
    <x v="86"/>
    <n v="10"/>
    <n v="1220.4100000000001"/>
    <n v="2552.2199999999998"/>
    <s v="high"/>
    <n v="0.18099999999999999"/>
    <n v="20902.681799999995"/>
    <n v="12204.1"/>
    <n v="0.41614668793360299"/>
    <s v="I. Johnson"/>
    <n v="8698.5817999999945"/>
    <s v="Q3-2025"/>
    <s v="08 2025"/>
    <d v="2025-08-01T00:00:00"/>
    <d v="2023-01-01T00:00:00"/>
    <x v="13"/>
  </r>
  <r>
    <s v="ORD-2024-207096"/>
    <d v="2024-03-26T00:00:00"/>
    <d v="2024-04-05T00:00:00"/>
    <s v="all good"/>
    <n v="10"/>
    <s v="America"/>
    <x v="13"/>
    <s v="Austin"/>
    <s v="Consumer"/>
    <s v="Direct"/>
    <x v="6"/>
    <x v="87"/>
    <n v="3"/>
    <n v="5.66"/>
    <n v="4.22"/>
    <s v="low"/>
    <n v="0.11899999999999999"/>
    <n v="11.153460000000001"/>
    <n v="16.98"/>
    <n v="-0.52239753403876399"/>
    <s v="J. Njeri"/>
    <n v="-5.8265399999999996"/>
    <s v="Q1-2024"/>
    <s v="03 2024"/>
    <d v="2024-03-01T00:00:00"/>
    <d v="2023-02-01T00:00:00"/>
    <x v="23"/>
  </r>
  <r>
    <s v="ORD-2023-517216"/>
    <d v="2023-09-19T00:00:00"/>
    <d v="2023-10-08T00:00:00"/>
    <s v="all good"/>
    <n v="19"/>
    <s v="Asia"/>
    <x v="6"/>
    <s v="Bengaluru"/>
    <s v="Education"/>
    <s v="Direct"/>
    <x v="0"/>
    <x v="88"/>
    <n v="11"/>
    <n v="385.32"/>
    <n v="606.76"/>
    <s v="low"/>
    <n v="8.5999999999999993E-2"/>
    <n v="6100.3650399999997"/>
    <n v="4238.5199999999995"/>
    <n v="0.30520223425842702"/>
    <s v="J. Njeri"/>
    <n v="1861.8450400000002"/>
    <s v="Q3-2023"/>
    <s v="09 2023"/>
    <d v="2023-09-01T00:00:00"/>
    <d v="2023-01-01T00:00:00"/>
    <x v="5"/>
  </r>
  <r>
    <s v="ORD-2025-673091"/>
    <d v="2025-05-07T00:00:00"/>
    <d v="2025-05-13T00:00:00"/>
    <s v="all good"/>
    <n v="6"/>
    <s v="Asia"/>
    <x v="6"/>
    <s v="Bengaluru"/>
    <s v="Enterprise"/>
    <s v="Direct"/>
    <x v="3"/>
    <x v="89"/>
    <n v="8"/>
    <n v="935.98"/>
    <n v="2077.69"/>
    <s v="high"/>
    <n v="0.17499999999999999"/>
    <n v="13712.753999999999"/>
    <n v="7487.84"/>
    <n v="0.45395067978321502"/>
    <s v="J. Njeri"/>
    <n v="6224.9139999999989"/>
    <s v="Q2-2025"/>
    <s v="05 2025"/>
    <d v="2025-05-01T00:00:00"/>
    <d v="2023-01-01T00:00:00"/>
    <x v="0"/>
  </r>
  <r>
    <s v="ORD-2023-253245"/>
    <d v="2023-08-03T00:00:00"/>
    <d v="2023-08-14T00:00:00"/>
    <s v="all good"/>
    <n v="11"/>
    <s v="America"/>
    <x v="5"/>
    <s v="Brasília"/>
    <s v="Corporate"/>
    <s v="Direct"/>
    <x v="2"/>
    <x v="90"/>
    <n v="7"/>
    <n v="232.73"/>
    <n v="334.19"/>
    <s v="low"/>
    <n v="0.13400000000000001"/>
    <n v="2025.85978"/>
    <n v="1629.11"/>
    <n v="0.19584266587295601"/>
    <s v="J. Njeri"/>
    <n v="396.7497800000001"/>
    <s v="Q3-2023"/>
    <s v="08 2023"/>
    <d v="2023-08-01T00:00:00"/>
    <d v="2023-01-01T00:00:00"/>
    <x v="9"/>
  </r>
  <r>
    <s v="ORD-2023-701153"/>
    <d v="2023-04-14T00:00:00"/>
    <d v="2023-05-13T00:00:00"/>
    <s v="all good"/>
    <n v="29"/>
    <s v="Europe"/>
    <x v="0"/>
    <s v="Frankfurt"/>
    <s v="Consumer"/>
    <s v="Direct"/>
    <x v="0"/>
    <x v="91"/>
    <n v="25"/>
    <n v="1320.33"/>
    <n v="2645.23"/>
    <s v="high"/>
    <n v="0.155"/>
    <n v="55880.483749999999"/>
    <n v="33008.25"/>
    <n v="0.40930629470436503"/>
    <s v="J. Njeri"/>
    <n v="22872.233749999999"/>
    <s v="Q2-2023"/>
    <s v="04 2023"/>
    <d v="2023-04-01T00:00:00"/>
    <d v="2023-01-01T00:00:00"/>
    <x v="11"/>
  </r>
  <r>
    <s v="ORD-2024-878493"/>
    <d v="2024-06-19T00:00:00"/>
    <d v="2024-06-20T00:00:00"/>
    <s v="all good"/>
    <n v="1"/>
    <s v="Africa"/>
    <x v="8"/>
    <s v="Kisumu"/>
    <s v="Small Business"/>
    <s v="Direct"/>
    <x v="4"/>
    <x v="92"/>
    <n v="8"/>
    <n v="231.63"/>
    <n v="537.39"/>
    <s v="low"/>
    <n v="0.08"/>
    <n v="3955.1904"/>
    <n v="1853.04"/>
    <n v="0.53149158129024598"/>
    <s v="J. Njeri"/>
    <n v="2102.1504"/>
    <s v="Q2-2024"/>
    <s v="06 2024"/>
    <d v="2024-06-01T00:00:00"/>
    <d v="2023-01-01T00:00:00"/>
    <x v="26"/>
  </r>
  <r>
    <s v="ORD-2024-792353"/>
    <d v="2024-08-19T00:00:00"/>
    <d v="2024-09-07T00:00:00"/>
    <s v="all good"/>
    <n v="19"/>
    <s v="Europe"/>
    <x v="2"/>
    <s v="Lyon"/>
    <s v="Corporate"/>
    <s v="Direct"/>
    <x v="1"/>
    <x v="93"/>
    <n v="23"/>
    <n v="297.58999999999997"/>
    <n v="666.41"/>
    <s v="low"/>
    <n v="0"/>
    <n v="15327.429999999998"/>
    <n v="6844.57"/>
    <n v="0.5534430755841"/>
    <s v="J. Njeri"/>
    <n v="8482.8599999999988"/>
    <s v="Q3-2024"/>
    <s v="08 2024"/>
    <d v="2024-08-01T00:00:00"/>
    <d v="2023-02-01T00:00:00"/>
    <x v="22"/>
  </r>
  <r>
    <s v="ORD-2024-892879"/>
    <d v="2024-07-09T00:00:00"/>
    <d v="2024-08-08T00:00:00"/>
    <s v="all good"/>
    <n v="30"/>
    <s v="Europe"/>
    <x v="2"/>
    <s v="Marseille"/>
    <s v="Corporate"/>
    <s v="Direct"/>
    <x v="1"/>
    <x v="94"/>
    <n v="6"/>
    <n v="1062.3800000000001"/>
    <n v="1503.96"/>
    <s v="medium"/>
    <n v="0.18"/>
    <n v="7399.4832000000006"/>
    <n v="6374.2800000000007"/>
    <n v="0.138550649050734"/>
    <s v="J. Njeri"/>
    <n v="1025.2031999999999"/>
    <s v="Q3-2024"/>
    <s v="07 2024"/>
    <d v="2024-07-01T00:00:00"/>
    <d v="2023-02-01T00:00:00"/>
    <x v="26"/>
  </r>
  <r>
    <s v="ORD-2024-901115"/>
    <d v="2024-07-25T00:00:00"/>
    <d v="2024-08-02T00:00:00"/>
    <s v="all good"/>
    <n v="8"/>
    <s v="America"/>
    <x v="3"/>
    <s v="Montreal"/>
    <s v="Consumer"/>
    <s v="Direct"/>
    <x v="2"/>
    <x v="95"/>
    <n v="18"/>
    <n v="986.81"/>
    <n v="2050.31"/>
    <s v="high"/>
    <n v="0.10299999999999999"/>
    <n v="33104.305260000001"/>
    <n v="17762.579999999998"/>
    <n v="0.46343595310358099"/>
    <s v="J. Njeri"/>
    <n v="15341.725260000003"/>
    <s v="Q3-2024"/>
    <s v="07 2024"/>
    <d v="2024-07-01T00:00:00"/>
    <d v="2023-01-01T00:00:00"/>
    <x v="22"/>
  </r>
  <r>
    <s v="ORD-2024-500890"/>
    <d v="2024-09-09T00:00:00"/>
    <d v="2024-10-08T00:00:00"/>
    <s v="all good"/>
    <n v="29"/>
    <s v="America"/>
    <x v="9"/>
    <s v="Paulo"/>
    <s v="Education"/>
    <s v="Direct"/>
    <x v="1"/>
    <x v="96"/>
    <n v="6"/>
    <n v="1010.33"/>
    <n v="2492.14"/>
    <s v="high"/>
    <n v="5.0999999999999997E-2"/>
    <n v="14190.245159999999"/>
    <n v="6061.9800000000005"/>
    <n v="0.57280653493656797"/>
    <s v="J. Njeri"/>
    <n v="8128.2651599999981"/>
    <s v="Q3-2024"/>
    <s v="09 2024"/>
    <d v="2024-09-01T00:00:00"/>
    <d v="2023-02-01T00:00:00"/>
    <x v="8"/>
  </r>
  <r>
    <s v="ORD-2023-880296"/>
    <d v="2023-05-02T00:00:00"/>
    <d v="2023-05-19T00:00:00"/>
    <s v="all good"/>
    <n v="17"/>
    <s v="Asia"/>
    <x v="4"/>
    <s v="Shanghai"/>
    <s v="Non-Profit"/>
    <s v="Direct"/>
    <x v="6"/>
    <x v="97"/>
    <n v="18"/>
    <n v="714.28"/>
    <n v="757.59"/>
    <s v="low"/>
    <n v="0.13600000000000001"/>
    <n v="11782.03968"/>
    <n v="12857.039999999999"/>
    <n v="-9.1240595787910203E-2"/>
    <s v="J. Njeri"/>
    <n v="-1075.0003199999992"/>
    <s v="Q2-2023"/>
    <s v="05 2023"/>
    <d v="2023-05-01T00:00:00"/>
    <d v="2023-01-01T00:00:00"/>
    <x v="29"/>
  </r>
  <r>
    <s v="ORD-2024-800947"/>
    <d v="2024-12-15T00:00:00"/>
    <d v="2024-12-20T00:00:00"/>
    <s v="all good"/>
    <n v="5"/>
    <s v="Asia"/>
    <x v="4"/>
    <s v="Shenzhen"/>
    <s v="Small Business"/>
    <s v="Direct"/>
    <x v="5"/>
    <x v="98"/>
    <n v="14"/>
    <n v="717.55"/>
    <n v="546.42999999999995"/>
    <s v="low"/>
    <n v="4.7E-2"/>
    <n v="7290.4690599999994"/>
    <n v="10045.699999999999"/>
    <n v="-0.37792231437026402"/>
    <s v="J. Njeri"/>
    <n v="-2755.2309399999995"/>
    <s v="Q4-2024"/>
    <s v="12 2024"/>
    <d v="2024-12-01T00:00:00"/>
    <d v="2023-01-01T00:00:00"/>
    <x v="10"/>
  </r>
  <r>
    <s v="ORD-2023-386663"/>
    <d v="2023-06-05T00:00:00"/>
    <d v="2023-06-28T00:00:00"/>
    <s v="all good"/>
    <n v="23"/>
    <s v="Europe"/>
    <x v="1"/>
    <s v="Birmingham"/>
    <s v="Corporate"/>
    <s v="Direct"/>
    <x v="0"/>
    <x v="99"/>
    <n v="18"/>
    <n v="605.82000000000005"/>
    <n v="771.12"/>
    <s v="low"/>
    <n v="0.13200000000000001"/>
    <n v="12047.978880000001"/>
    <n v="10904.76"/>
    <n v="9.4888851597986906E-2"/>
    <s v="K. Singh"/>
    <n v="1143.2188800000004"/>
    <s v="Q2-2023"/>
    <s v="06 2023"/>
    <d v="2023-06-01T00:00:00"/>
    <d v="2023-01-01T00:00:00"/>
    <x v="15"/>
  </r>
  <r>
    <s v="ORD-2025-636162"/>
    <d v="2025-01-07T00:00:00"/>
    <d v="2025-01-20T00:00:00"/>
    <s v="all good"/>
    <n v="13"/>
    <s v="Africa"/>
    <x v="14"/>
    <s v="Town"/>
    <s v="Corporate"/>
    <s v="Direct"/>
    <x v="5"/>
    <x v="100"/>
    <n v="17"/>
    <n v="432.13"/>
    <n v="1034.6600000000001"/>
    <s v="medium"/>
    <n v="9.1999999999999998E-2"/>
    <n v="15971.011760000001"/>
    <n v="7346.21"/>
    <n v="0.54002851476204805"/>
    <s v="K. Singh"/>
    <n v="8624.8017600000021"/>
    <s v="Q1-2025"/>
    <s v="01 2025"/>
    <d v="2025-01-01T00:00:00"/>
    <d v="2023-01-01T00:00:00"/>
    <x v="14"/>
  </r>
  <r>
    <s v="ORD-2024-201376"/>
    <d v="2024-02-18T00:00:00"/>
    <d v="2024-03-04T00:00:00"/>
    <s v="all good"/>
    <n v="15"/>
    <s v="Africa"/>
    <x v="8"/>
    <s v="Kisumu"/>
    <s v="Education"/>
    <s v="Direct"/>
    <x v="0"/>
    <x v="101"/>
    <n v="22"/>
    <n v="928.68"/>
    <n v="2145.17"/>
    <s v="high"/>
    <n v="0.13600000000000001"/>
    <n v="40775.391360000001"/>
    <n v="20430.96"/>
    <n v="0.49893896003062199"/>
    <s v="K. Singh"/>
    <n v="20344.431360000002"/>
    <s v="Q1-2024"/>
    <s v="02 2024"/>
    <d v="2024-02-01T00:00:00"/>
    <d v="2023-01-01T00:00:00"/>
    <x v="23"/>
  </r>
  <r>
    <s v="ORD-2024-310809"/>
    <d v="2024-04-05T00:00:00"/>
    <d v="2024-04-09T00:00:00"/>
    <s v="all good"/>
    <n v="4"/>
    <s v="Africa"/>
    <x v="16"/>
    <s v="Lagos"/>
    <s v="Non-Profit"/>
    <s v="Direct"/>
    <x v="1"/>
    <x v="102"/>
    <n v="7"/>
    <n v="395.07"/>
    <n v="970.27"/>
    <s v="medium"/>
    <n v="0.123"/>
    <n v="5956.4875299999994"/>
    <n v="2765.49"/>
    <n v="0.53571799049833702"/>
    <s v="K. Singh"/>
    <n v="3190.9975299999996"/>
    <s v="Q2-2024"/>
    <s v="04 2024"/>
    <d v="2024-04-01T00:00:00"/>
    <d v="2023-01-01T00:00:00"/>
    <x v="30"/>
  </r>
  <r>
    <s v="ORD-2024-423853"/>
    <d v="2024-09-03T00:00:00"/>
    <d v="2024-09-08T00:00:00"/>
    <s v="all good"/>
    <n v="5"/>
    <s v="Africa"/>
    <x v="16"/>
    <s v="Lagos"/>
    <s v="Small Business"/>
    <s v="Direct"/>
    <x v="0"/>
    <x v="103"/>
    <n v="30"/>
    <n v="197.63"/>
    <n v="325.79000000000002"/>
    <s v="low"/>
    <n v="0.11600000000000001"/>
    <n v="8639.9508000000005"/>
    <n v="5928.9"/>
    <n v="0.31378081458519402"/>
    <s v="K. Singh"/>
    <n v="2711.0508000000009"/>
    <s v="Q3-2024"/>
    <s v="09 2024"/>
    <d v="2024-09-01T00:00:00"/>
    <d v="2023-01-01T00:00:00"/>
    <x v="27"/>
  </r>
  <r>
    <s v="ORD-2023-927385"/>
    <d v="2023-05-29T00:00:00"/>
    <d v="2023-06-20T00:00:00"/>
    <s v="all good"/>
    <n v="22"/>
    <s v="Europe"/>
    <x v="1"/>
    <s v="London"/>
    <s v="Small Business"/>
    <s v="Direct"/>
    <x v="1"/>
    <x v="104"/>
    <n v="5"/>
    <n v="1295.3900000000001"/>
    <n v="2905.06"/>
    <s v="high"/>
    <n v="0.14799999999999999"/>
    <n v="12375.5556"/>
    <n v="6476.9500000000007"/>
    <n v="0.47663359857556598"/>
    <s v="K. Singh"/>
    <n v="5898.605599999999"/>
    <s v="Q2-2023"/>
    <s v="05 2023"/>
    <d v="2023-05-01T00:00:00"/>
    <d v="2023-01-01T00:00:00"/>
    <x v="29"/>
  </r>
  <r>
    <s v="ORD-2025-281062"/>
    <d v="2025-02-15T00:00:00"/>
    <d v="2025-02-27T00:00:00"/>
    <s v="all good"/>
    <n v="12"/>
    <s v="Europe"/>
    <x v="2"/>
    <s v="Lyon"/>
    <s v="Non-Profit"/>
    <s v="Direct"/>
    <x v="2"/>
    <x v="105"/>
    <n v="12"/>
    <n v="1027.26"/>
    <n v="2200.41"/>
    <s v="high"/>
    <n v="8.7999999999999995E-2"/>
    <n v="24081.287039999999"/>
    <n v="12327.119999999999"/>
    <n v="0.48810377204822403"/>
    <s v="K. Singh"/>
    <n v="11754.16704"/>
    <s v="Q1-2025"/>
    <s v="02 2025"/>
    <d v="2025-02-01T00:00:00"/>
    <d v="2023-02-01T00:00:00"/>
    <x v="14"/>
  </r>
  <r>
    <s v="ORD-2023-290279"/>
    <d v="2023-06-14T00:00:00"/>
    <d v="2023-06-16T00:00:00"/>
    <s v="all good"/>
    <n v="2"/>
    <s v="Europe"/>
    <x v="1"/>
    <s v="Manchester"/>
    <s v="Non-Profit"/>
    <s v="Direct"/>
    <x v="1"/>
    <x v="106"/>
    <n v="39"/>
    <n v="357.36"/>
    <n v="703.62"/>
    <s v="low"/>
    <n v="0.25700000000000001"/>
    <n v="20388.796740000002"/>
    <n v="13937.04"/>
    <n v="0.31643636563125599"/>
    <s v="K. Singh"/>
    <n v="6451.7567400000007"/>
    <s v="Q2-2023"/>
    <s v="06 2023"/>
    <d v="2023-06-01T00:00:00"/>
    <d v="2023-01-01T00:00:00"/>
    <x v="15"/>
  </r>
  <r>
    <s v="ORD-2023-619570"/>
    <d v="2023-11-14T00:00:00"/>
    <d v="2023-11-30T00:00:00"/>
    <s v="all good"/>
    <n v="16"/>
    <s v="America"/>
    <x v="9"/>
    <s v="Paulo"/>
    <s v="Enterprise"/>
    <s v="Direct"/>
    <x v="5"/>
    <x v="107"/>
    <n v="12"/>
    <n v="1017.92"/>
    <n v="1175.25"/>
    <s v="medium"/>
    <n v="7.4999999999999997E-2"/>
    <n v="13045.275000000001"/>
    <n v="12215.039999999999"/>
    <n v="6.3642583234159694E-2"/>
    <s v="K. Singh"/>
    <n v="830.2350000000024"/>
    <s v="Q4-2023"/>
    <s v="11 2023"/>
    <d v="2023-11-01T00:00:00"/>
    <d v="2023-02-01T00:00:00"/>
    <x v="2"/>
  </r>
  <r>
    <s v="ORD-2023-884625"/>
    <d v="2023-02-19T00:00:00"/>
    <d v="2023-03-12T00:00:00"/>
    <s v="all good"/>
    <n v="21"/>
    <s v="Europe"/>
    <x v="0"/>
    <s v="Berlin"/>
    <s v="Small Business"/>
    <s v="Direct"/>
    <x v="6"/>
    <x v="108"/>
    <n v="10"/>
    <n v="1234.81"/>
    <n v="2055.2399999999998"/>
    <s v="high"/>
    <n v="5.2999999999999999E-2"/>
    <n v="19463.122799999997"/>
    <n v="12348.099999999999"/>
    <n v="0.36556429680441599"/>
    <s v="L. Okafor"/>
    <n v="7115.0227999999988"/>
    <s v="Q1-2023"/>
    <s v="02 2023"/>
    <d v="2023-02-01T00:00:00"/>
    <d v="2023-01-01T00:00:00"/>
    <x v="17"/>
  </r>
  <r>
    <s v="ORD-2023-178249"/>
    <d v="2023-12-29T00:00:00"/>
    <d v="2024-01-20T00:00:00"/>
    <s v="all good"/>
    <n v="22"/>
    <s v="Africa"/>
    <x v="8"/>
    <s v="Kisumu"/>
    <s v="Corporate"/>
    <s v="Direct"/>
    <x v="3"/>
    <x v="109"/>
    <n v="2"/>
    <n v="1395.49"/>
    <n v="1679.42"/>
    <s v="high"/>
    <n v="0.20300000000000001"/>
    <n v="2676.99548"/>
    <n v="2790.98"/>
    <n v="-4.2579272490964402E-2"/>
    <s v="L. Okafor"/>
    <n v="-113.98451999999997"/>
    <s v="Q4-2023"/>
    <s v="12 2023"/>
    <d v="2023-12-01T00:00:00"/>
    <d v="2023-01-01T00:00:00"/>
    <x v="21"/>
  </r>
  <r>
    <s v="ORD-2025-332931"/>
    <d v="2025-02-15T00:00:00"/>
    <d v="2025-03-01T00:00:00"/>
    <s v="all good"/>
    <n v="14"/>
    <s v="Africa"/>
    <x v="8"/>
    <s v="Mombasa"/>
    <s v="Education"/>
    <s v="Direct"/>
    <x v="2"/>
    <x v="110"/>
    <n v="27"/>
    <n v="1162.8599999999999"/>
    <n v="1447.68"/>
    <s v="medium"/>
    <n v="8.6999999999999994E-2"/>
    <n v="35686.759680000003"/>
    <n v="31397.219999999998"/>
    <n v="0.120199752470214"/>
    <s v="L. Okafor"/>
    <n v="4289.5396800000053"/>
    <s v="Q1-2025"/>
    <s v="02 2025"/>
    <d v="2025-02-01T00:00:00"/>
    <d v="2023-01-01T00:00:00"/>
    <x v="31"/>
  </r>
  <r>
    <s v="ORD-2025-725646"/>
    <d v="2025-09-10T00:00:00"/>
    <d v="2025-09-30T00:00:00"/>
    <s v="all good"/>
    <n v="20"/>
    <s v="Africa"/>
    <x v="8"/>
    <s v="Mombasa"/>
    <s v="Corporate"/>
    <s v="Direct"/>
    <x v="3"/>
    <x v="111"/>
    <n v="17"/>
    <n v="1009.48"/>
    <n v="1088.81"/>
    <s v="medium"/>
    <n v="0.16"/>
    <n v="15548.2068"/>
    <n v="17161.16"/>
    <n v="-0.103738856882197"/>
    <s v="L. Okafor"/>
    <n v="-1612.9531999999999"/>
    <s v="Q3-2025"/>
    <s v="09 2025"/>
    <d v="2025-09-01T00:00:00"/>
    <d v="2023-01-01T00:00:00"/>
    <x v="32"/>
  </r>
  <r>
    <s v="ORD-2025-667201"/>
    <d v="2025-09-15T00:00:00"/>
    <d v="2025-09-18T00:00:00"/>
    <s v="all good"/>
    <n v="3"/>
    <s v="America"/>
    <x v="15"/>
    <s v="Janeiro"/>
    <s v="Non-Profit"/>
    <s v="Direct"/>
    <x v="2"/>
    <x v="112"/>
    <n v="9"/>
    <n v="5.5"/>
    <n v="5.92"/>
    <s v="low"/>
    <n v="0.21199999999999999"/>
    <n v="41.984640000000006"/>
    <n v="49.5"/>
    <n v="-0.179002606667581"/>
    <s v="L. Okafor"/>
    <n v="-7.515359999999994"/>
    <s v="Q3-2025"/>
    <s v="09 2025"/>
    <d v="2025-09-01T00:00:00"/>
    <d v="2023-04-01T00:00:00"/>
    <x v="3"/>
  </r>
  <r>
    <s v="ORD-2025-752845"/>
    <d v="2025-03-30T00:00:00"/>
    <d v="2025-04-07T00:00:00"/>
    <s v="all good"/>
    <n v="8"/>
    <s v="America"/>
    <x v="9"/>
    <s v="Paulo"/>
    <s v="Non-Profit"/>
    <s v="Direct"/>
    <x v="0"/>
    <x v="113"/>
    <n v="11"/>
    <n v="71.62"/>
    <n v="118.37"/>
    <s v="low"/>
    <n v="0.156"/>
    <n v="1098.9470800000001"/>
    <n v="787.82"/>
    <n v="0.28311379652603502"/>
    <s v="L. Okafor"/>
    <n v="311.12708000000009"/>
    <s v="Q1-2025"/>
    <s v="03 2025"/>
    <d v="2025-03-01T00:00:00"/>
    <d v="2023-02-01T00:00:00"/>
    <x v="31"/>
  </r>
  <r>
    <s v="ORD-2024-988736"/>
    <d v="2024-09-09T00:00:00"/>
    <d v="2024-10-01T00:00:00"/>
    <s v="all good"/>
    <n v="22"/>
    <s v="Asia"/>
    <x v="4"/>
    <s v="Shenzhen"/>
    <s v="Consumer"/>
    <s v="Direct"/>
    <x v="0"/>
    <x v="114"/>
    <n v="6"/>
    <n v="1166.18"/>
    <n v="1335.02"/>
    <s v="medium"/>
    <n v="0.128"/>
    <n v="6984.8246399999998"/>
    <n v="6997.08"/>
    <n v="-1.75456946045822E-3"/>
    <s v="L. Okafor"/>
    <n v="-12.25536000000011"/>
    <s v="Q3-2024"/>
    <s v="09 2024"/>
    <d v="2024-09-01T00:00:00"/>
    <d v="2023-01-01T00:00:00"/>
    <x v="27"/>
  </r>
  <r>
    <s v="ORD-2025-328504"/>
    <d v="2025-01-27T00:00:00"/>
    <d v="2025-02-15T00:00:00"/>
    <s v="all good"/>
    <n v="19"/>
    <s v="Asia"/>
    <x v="4"/>
    <s v="Shenzhen"/>
    <s v="Non-Profit"/>
    <s v="Direct"/>
    <x v="3"/>
    <x v="115"/>
    <n v="8"/>
    <n v="1253.22"/>
    <n v="3104.71"/>
    <s v="high"/>
    <n v="0"/>
    <n v="24837.68"/>
    <n v="10025.76"/>
    <n v="0.59634877331538205"/>
    <s v="L. Okafor"/>
    <n v="14811.92"/>
    <s v="Q1-2025"/>
    <s v="01 2025"/>
    <d v="2025-01-01T00:00:00"/>
    <d v="2023-01-01T00:00:00"/>
    <x v="14"/>
  </r>
  <r>
    <s v="ORD-2023-159379"/>
    <d v="2023-02-08T00:00:00"/>
    <d v="2023-02-11T00:00:00"/>
    <s v="all good"/>
    <n v="3"/>
    <s v="Africa"/>
    <x v="14"/>
    <s v="Town"/>
    <s v="Corporate"/>
    <s v="Direct"/>
    <x v="5"/>
    <x v="116"/>
    <n v="17"/>
    <n v="1410.05"/>
    <n v="2763.95"/>
    <s v="high"/>
    <n v="0.161"/>
    <n v="39422.21884999999"/>
    <n v="23970.85"/>
    <n v="0.39194569206750801"/>
    <s v="M. Rossi"/>
    <n v="15451.368849999992"/>
    <s v="Q1-2023"/>
    <s v="02 2023"/>
    <d v="2023-02-01T00:00:00"/>
    <d v="2023-01-01T00:00:00"/>
    <x v="17"/>
  </r>
  <r>
    <s v="ORD-2024-356812"/>
    <d v="2024-03-07T00:00:00"/>
    <d v="2024-04-03T00:00:00"/>
    <s v="all good"/>
    <n v="27"/>
    <s v="Europe"/>
    <x v="0"/>
    <s v="Frankfurt"/>
    <s v="Corporate"/>
    <s v="Direct"/>
    <x v="0"/>
    <x v="117"/>
    <n v="23"/>
    <n v="738.16"/>
    <n v="956.49"/>
    <s v="medium"/>
    <n v="0.152"/>
    <n v="18655.380959999999"/>
    <n v="16977.68"/>
    <n v="8.9931208780846997E-2"/>
    <s v="M. Rossi"/>
    <n v="1677.7009599999983"/>
    <s v="Q1-2024"/>
    <s v="03 2024"/>
    <d v="2024-03-01T00:00:00"/>
    <d v="2023-01-01T00:00:00"/>
    <x v="24"/>
  </r>
  <r>
    <s v="ORD-2024-341535"/>
    <d v="2024-06-25T00:00:00"/>
    <d v="2024-06-30T00:00:00"/>
    <s v="all good"/>
    <n v="5"/>
    <s v="Africa"/>
    <x v="8"/>
    <s v="Kisumu"/>
    <s v="Education"/>
    <s v="Direct"/>
    <x v="5"/>
    <x v="118"/>
    <n v="10"/>
    <n v="1323.55"/>
    <n v="3230.35"/>
    <s v="high"/>
    <n v="2.1999999999999999E-2"/>
    <n v="31592.823"/>
    <n v="13235.5"/>
    <n v="0.58105991351263497"/>
    <s v="M. Rossi"/>
    <n v="18357.323"/>
    <s v="Q2-2024"/>
    <s v="06 2024"/>
    <d v="2024-06-01T00:00:00"/>
    <d v="2023-01-01T00:00:00"/>
    <x v="26"/>
  </r>
  <r>
    <s v="ORD-2025-629393"/>
    <d v="2025-07-21T00:00:00"/>
    <d v="2025-08-07T00:00:00"/>
    <s v="all good"/>
    <n v="17"/>
    <s v="Africa"/>
    <x v="16"/>
    <s v="Lagos"/>
    <s v="Enterprise"/>
    <s v="Direct"/>
    <x v="2"/>
    <x v="119"/>
    <n v="7"/>
    <n v="1204.95"/>
    <n v="2065.73"/>
    <s v="high"/>
    <n v="0.13600000000000001"/>
    <n v="12493.535040000001"/>
    <n v="8434.65"/>
    <n v="0.324878829491001"/>
    <s v="M. Rossi"/>
    <n v="4058.885040000001"/>
    <s v="Q3-2025"/>
    <s v="07 2025"/>
    <d v="2025-07-01T00:00:00"/>
    <d v="2023-01-01T00:00:00"/>
    <x v="20"/>
  </r>
  <r>
    <s v="ORD-2023-340056"/>
    <d v="2023-04-26T00:00:00"/>
    <d v="2023-04-26T00:00:00"/>
    <s v="all good"/>
    <n v="0"/>
    <s v="Europe"/>
    <x v="2"/>
    <s v="Marseille"/>
    <s v="Consumer"/>
    <s v="Direct"/>
    <x v="1"/>
    <x v="120"/>
    <n v="23"/>
    <n v="81.489999999999995"/>
    <n v="113.08"/>
    <s v="low"/>
    <n v="0.121"/>
    <n v="2286.1383599999999"/>
    <n v="1874.27"/>
    <n v="0.18015898215364401"/>
    <s v="M. Rossi"/>
    <n v="411.86835999999994"/>
    <s v="Q2-2023"/>
    <s v="04 2023"/>
    <d v="2023-04-01T00:00:00"/>
    <d v="2023-02-01T00:00:00"/>
    <x v="1"/>
  </r>
  <r>
    <s v="ORD-2025-822030"/>
    <d v="2025-08-07T00:00:00"/>
    <d v="2025-09-06T00:00:00"/>
    <s v="all good"/>
    <n v="30"/>
    <s v="America"/>
    <x v="3"/>
    <s v="Montreal"/>
    <s v="Education"/>
    <s v="Direct"/>
    <x v="5"/>
    <x v="121"/>
    <n v="9"/>
    <n v="833.73"/>
    <n v="1116.5999999999999"/>
    <s v="medium"/>
    <n v="0.17599999999999999"/>
    <n v="8280.7056000000011"/>
    <n v="7503.57"/>
    <n v="9.3848958958280201E-2"/>
    <s v="M. Rossi"/>
    <n v="777.13560000000143"/>
    <s v="Q3-2025"/>
    <s v="08 2025"/>
    <d v="2025-08-01T00:00:00"/>
    <d v="2023-01-01T00:00:00"/>
    <x v="13"/>
  </r>
  <r>
    <s v="ORD-2025-795385"/>
    <d v="2025-06-01T00:00:00"/>
    <d v="2025-06-05T00:00:00"/>
    <s v="all good"/>
    <n v="4"/>
    <s v="Europe"/>
    <x v="0"/>
    <s v="Munich"/>
    <s v="Enterprise"/>
    <s v="Direct"/>
    <x v="1"/>
    <x v="122"/>
    <n v="12"/>
    <n v="1171.42"/>
    <n v="2187.8000000000002"/>
    <s v="high"/>
    <n v="0.23"/>
    <n v="20215.272000000001"/>
    <n v="14057.04"/>
    <n v="0.30463265594447603"/>
    <s v="M. Rossi"/>
    <n v="6158.232"/>
    <s v="Q2-2025"/>
    <s v="06 2025"/>
    <d v="2025-06-01T00:00:00"/>
    <d v="2023-01-01T00:00:00"/>
    <x v="3"/>
  </r>
  <r>
    <s v="ORD-2024-787018"/>
    <d v="2024-06-23T00:00:00"/>
    <d v="2024-06-28T00:00:00"/>
    <s v="all good"/>
    <n v="5"/>
    <s v="Africa"/>
    <x v="11"/>
    <s v="Harcourt"/>
    <s v="Non-Profit"/>
    <s v="Direct"/>
    <x v="2"/>
    <x v="123"/>
    <n v="8"/>
    <n v="242.31"/>
    <n v="587.95000000000005"/>
    <s v="low"/>
    <n v="0.22900000000000001"/>
    <n v="3626.4756000000002"/>
    <n v="1938.48"/>
    <n v="0.46546448568411702"/>
    <s v="M. Rossi"/>
    <n v="1687.9956000000002"/>
    <s v="Q2-2024"/>
    <s v="06 2024"/>
    <d v="2024-06-01T00:00:00"/>
    <d v="2023-05-01T00:00:00"/>
    <x v="23"/>
  </r>
  <r>
    <s v="ORD-2025-474368"/>
    <d v="2025-04-27T00:00:00"/>
    <d v="2025-05-17T00:00:00"/>
    <s v="all good"/>
    <n v="20"/>
    <s v="America"/>
    <x v="13"/>
    <s v="Austin"/>
    <s v="Corporate"/>
    <s v="Direct"/>
    <x v="3"/>
    <x v="124"/>
    <n v="8"/>
    <n v="932.26"/>
    <n v="1624.67"/>
    <s v="medium"/>
    <n v="0.23499999999999999"/>
    <n v="9942.9804000000004"/>
    <n v="7458.08"/>
    <n v="0.24991504559337199"/>
    <s v="N. Brown"/>
    <n v="2484.9004000000004"/>
    <s v="Q2-2025"/>
    <s v="04 2025"/>
    <d v="2025-04-01T00:00:00"/>
    <d v="2023-02-01T00:00:00"/>
    <x v="18"/>
  </r>
  <r>
    <s v="ORD-2023-197661"/>
    <d v="2023-08-08T00:00:00"/>
    <d v="2023-08-22T00:00:00"/>
    <s v="all good"/>
    <n v="14"/>
    <s v="Europe"/>
    <x v="1"/>
    <s v="Birmingham"/>
    <s v="Non-Profit"/>
    <s v="Direct"/>
    <x v="6"/>
    <x v="125"/>
    <n v="14"/>
    <n v="446.69"/>
    <n v="967.25"/>
    <s v="medium"/>
    <n v="9.4E-2"/>
    <n v="12268.599"/>
    <n v="6253.66"/>
    <n v="0.49027105702941298"/>
    <s v="N. Brown"/>
    <n v="6014.9390000000003"/>
    <s v="Q3-2023"/>
    <s v="08 2023"/>
    <d v="2023-08-01T00:00:00"/>
    <d v="2023-01-01T00:00:00"/>
    <x v="9"/>
  </r>
  <r>
    <s v="ORD-2025-269934"/>
    <d v="2025-04-04T00:00:00"/>
    <d v="2025-04-10T00:00:00"/>
    <s v="all good"/>
    <n v="6"/>
    <s v="Europe"/>
    <x v="1"/>
    <s v="Birmingham"/>
    <s v="Non-Profit"/>
    <s v="Direct"/>
    <x v="0"/>
    <x v="126"/>
    <n v="38"/>
    <n v="290.14"/>
    <n v="250.73"/>
    <s v="low"/>
    <n v="3.4000000000000002E-2"/>
    <n v="9203.7968399999991"/>
    <n v="11025.32"/>
    <n v="-0.197909970381311"/>
    <s v="N. Brown"/>
    <n v="-1821.5231600000006"/>
    <s v="Q2-2025"/>
    <s v="04 2025"/>
    <d v="2025-04-01T00:00:00"/>
    <d v="2023-01-01T00:00:00"/>
    <x v="12"/>
  </r>
  <r>
    <s v="ORD-2024-219735"/>
    <d v="2024-04-03T00:00:00"/>
    <d v="2024-04-07T00:00:00"/>
    <s v="all good"/>
    <n v="4"/>
    <s v="America"/>
    <x v="5"/>
    <s v="Brasília"/>
    <s v="Non-Profit"/>
    <s v="Direct"/>
    <x v="3"/>
    <x v="127"/>
    <n v="23"/>
    <n v="1023.27"/>
    <n v="1343.64"/>
    <s v="medium"/>
    <n v="0.13300000000000001"/>
    <n v="26793.525239999999"/>
    <n v="23535.21"/>
    <n v="0.12160830688810099"/>
    <s v="N. Brown"/>
    <n v="3258.3152399999999"/>
    <s v="Q2-2024"/>
    <s v="04 2024"/>
    <d v="2024-04-01T00:00:00"/>
    <d v="2023-01-01T00:00:00"/>
    <x v="30"/>
  </r>
  <r>
    <s v="ORD-2023-713375"/>
    <d v="2023-08-26T00:00:00"/>
    <d v="2023-09-10T00:00:00"/>
    <s v="all good"/>
    <n v="15"/>
    <s v="Africa"/>
    <x v="14"/>
    <s v="Town"/>
    <s v="Non-Profit"/>
    <s v="Direct"/>
    <x v="1"/>
    <x v="128"/>
    <n v="9"/>
    <n v="241.14"/>
    <n v="496.52"/>
    <s v="low"/>
    <n v="9.2999999999999999E-2"/>
    <n v="4053.0927600000005"/>
    <n v="2170.2599999999998"/>
    <n v="0.46454223268257999"/>
    <s v="N. Brown"/>
    <n v="1882.8327600000007"/>
    <s v="Q3-2023"/>
    <s v="08 2023"/>
    <d v="2023-08-01T00:00:00"/>
    <d v="2023-01-01T00:00:00"/>
    <x v="9"/>
  </r>
  <r>
    <s v="ORD-2023-212701"/>
    <d v="2023-12-02T00:00:00"/>
    <d v="2023-12-16T00:00:00"/>
    <s v="all good"/>
    <n v="14"/>
    <s v="Europe"/>
    <x v="0"/>
    <s v="Frankfurt"/>
    <s v="Education"/>
    <s v="Direct"/>
    <x v="6"/>
    <x v="129"/>
    <n v="18"/>
    <n v="879.08"/>
    <n v="1093.3900000000001"/>
    <s v="medium"/>
    <n v="0.113"/>
    <n v="17457.064740000002"/>
    <n v="15823.44"/>
    <n v="9.3579577341935199E-2"/>
    <s v="N. Brown"/>
    <n v="1633.6247400000011"/>
    <s v="Q4-2023"/>
    <s v="12 2023"/>
    <d v="2023-12-01T00:00:00"/>
    <d v="2023-01-01T00:00:00"/>
    <x v="21"/>
  </r>
  <r>
    <s v="ORD-2025-737787"/>
    <d v="2025-09-14T00:00:00"/>
    <d v="2025-09-26T00:00:00"/>
    <s v="all good"/>
    <n v="12"/>
    <s v="Europe"/>
    <x v="1"/>
    <s v="London"/>
    <s v="Small Business"/>
    <s v="Direct"/>
    <x v="5"/>
    <x v="130"/>
    <n v="8"/>
    <n v="425.15"/>
    <n v="885.92"/>
    <s v="medium"/>
    <n v="0.23899999999999999"/>
    <n v="5393.4809599999999"/>
    <n v="3401.2"/>
    <n v="0.36938685327258503"/>
    <s v="N. Brown"/>
    <n v="1992.2809600000001"/>
    <s v="Q3-2025"/>
    <s v="09 2025"/>
    <d v="2025-09-01T00:00:00"/>
    <d v="2023-01-01T00:00:00"/>
    <x v="32"/>
  </r>
  <r>
    <s v="ORD-2023-235230"/>
    <d v="2023-08-30T00:00:00"/>
    <d v="2023-09-01T00:00:00"/>
    <s v="all good"/>
    <n v="2"/>
    <s v="Europe"/>
    <x v="0"/>
    <s v="Munich"/>
    <s v="Corporate"/>
    <s v="Direct"/>
    <x v="5"/>
    <x v="131"/>
    <n v="11"/>
    <n v="44.42"/>
    <n v="41.9"/>
    <s v="low"/>
    <n v="0.14399999999999999"/>
    <n v="394.53039999999999"/>
    <n v="488.62"/>
    <n v="-0.23848504449847199"/>
    <s v="N. Brown"/>
    <n v="-94.089600000000019"/>
    <s v="Q3-2023"/>
    <s v="08 2023"/>
    <d v="2023-08-01T00:00:00"/>
    <d v="2023-01-01T00:00:00"/>
    <x v="9"/>
  </r>
  <r>
    <s v="ORD-2023-573146"/>
    <d v="2023-12-01T00:00:00"/>
    <d v="2023-12-18T00:00:00"/>
    <s v="all good"/>
    <n v="17"/>
    <s v="Asia"/>
    <x v="7"/>
    <s v="Nagoya"/>
    <s v="Small Business"/>
    <s v="Direct"/>
    <x v="4"/>
    <x v="132"/>
    <n v="16"/>
    <n v="1495.79"/>
    <n v="2783.12"/>
    <s v="high"/>
    <n v="0.02"/>
    <n v="43639.321599999996"/>
    <n v="23932.639999999999"/>
    <n v="0.45158084217331201"/>
    <s v="N. Brown"/>
    <n v="19706.681599999996"/>
    <s v="Q4-2023"/>
    <s v="12 2023"/>
    <d v="2023-12-01T00:00:00"/>
    <d v="2023-03-01T00:00:00"/>
    <x v="2"/>
  </r>
  <r>
    <s v="ORD-2025-626047"/>
    <d v="2025-04-28T00:00:00"/>
    <d v="2025-05-15T00:00:00"/>
    <s v="all good"/>
    <n v="17"/>
    <s v="Asia"/>
    <x v="7"/>
    <s v="Nagoya"/>
    <s v="Education"/>
    <s v="Direct"/>
    <x v="5"/>
    <x v="133"/>
    <n v="8"/>
    <n v="691.19"/>
    <n v="1284.3"/>
    <s v="medium"/>
    <n v="7.3999999999999996E-2"/>
    <n v="9514.0944"/>
    <n v="5529.52"/>
    <n v="0.41880753253825198"/>
    <s v="N. Brown"/>
    <n v="3984.5743999999995"/>
    <s v="Q2-2025"/>
    <s v="04 2025"/>
    <d v="2025-04-01T00:00:00"/>
    <d v="2023-03-01T00:00:00"/>
    <x v="31"/>
  </r>
  <r>
    <s v="ORD-2025-646342"/>
    <d v="2025-08-02T00:00:00"/>
    <d v="2025-08-08T00:00:00"/>
    <s v="all good"/>
    <n v="6"/>
    <s v="Asia"/>
    <x v="7"/>
    <s v="Osaka"/>
    <s v="Consumer"/>
    <s v="Direct"/>
    <x v="4"/>
    <x v="134"/>
    <n v="26"/>
    <n v="1225.94"/>
    <n v="1793.08"/>
    <s v="high"/>
    <n v="0.13600000000000001"/>
    <n v="40279.74912"/>
    <n v="31874.440000000002"/>
    <n v="0.20867332353434501"/>
    <s v="N. Brown"/>
    <n v="8405.3091199999981"/>
    <s v="Q3-2025"/>
    <s v="08 2025"/>
    <d v="2025-08-01T00:00:00"/>
    <d v="2023-03-01T00:00:00"/>
    <x v="3"/>
  </r>
  <r>
    <s v="ORD-2025-718992"/>
    <d v="2025-06-24T00:00:00"/>
    <d v="2025-07-10T00:00:00"/>
    <s v="all good"/>
    <n v="16"/>
    <s v="Asia"/>
    <x v="4"/>
    <s v="Shanghai"/>
    <s v="Enterprise"/>
    <s v="Direct"/>
    <x v="1"/>
    <x v="135"/>
    <n v="13"/>
    <n v="757.19"/>
    <n v="1735.41"/>
    <s v="high"/>
    <n v="0.13600000000000001"/>
    <n v="19492.125120000001"/>
    <n v="9843.4700000000012"/>
    <n v="0.49500272856857203"/>
    <s v="N. Brown"/>
    <n v="9648.6551199999994"/>
    <s v="Q2-2025"/>
    <s v="06 2025"/>
    <d v="2025-06-01T00:00:00"/>
    <d v="2023-01-01T00:00:00"/>
    <x v="3"/>
  </r>
  <r>
    <s v="ORD-2025-678328"/>
    <d v="2025-06-24T00:00:00"/>
    <d v="2025-07-14T00:00:00"/>
    <s v="all good"/>
    <n v="20"/>
    <s v="Europe"/>
    <x v="0"/>
    <s v="Berlin"/>
    <s v="Corporate"/>
    <s v="Direct"/>
    <x v="2"/>
    <x v="136"/>
    <n v="6"/>
    <n v="385.08"/>
    <n v="893.19"/>
    <s v="medium"/>
    <n v="0.151"/>
    <n v="4549.9098599999998"/>
    <n v="2310.48"/>
    <n v="0.492192137626217"/>
    <s v="O. Wang"/>
    <n v="2239.4298599999997"/>
    <s v="Q2-2025"/>
    <s v="06 2025"/>
    <d v="2025-06-01T00:00:00"/>
    <d v="2023-01-01T00:00:00"/>
    <x v="3"/>
  </r>
  <r>
    <s v="ORD-2025-484073"/>
    <d v="2025-02-19T00:00:00"/>
    <d v="2025-03-09T00:00:00"/>
    <s v="all good"/>
    <n v="18"/>
    <s v="Asia"/>
    <x v="6"/>
    <s v="Delhi"/>
    <s v="Small Business"/>
    <s v="Direct"/>
    <x v="6"/>
    <x v="137"/>
    <n v="15"/>
    <n v="325.87"/>
    <n v="538.79"/>
    <s v="low"/>
    <n v="0.17399999999999999"/>
    <n v="6675.6081000000004"/>
    <n v="4888.05"/>
    <n v="0.26777457172778002"/>
    <s v="O. Wang"/>
    <n v="1787.5581000000002"/>
    <s v="Q1-2025"/>
    <s v="02 2025"/>
    <d v="2025-02-01T00:00:00"/>
    <d v="2023-01-01T00:00:00"/>
    <x v="31"/>
  </r>
  <r>
    <s v="ORD-2024-211453"/>
    <d v="2024-04-04T00:00:00"/>
    <d v="2024-04-24T00:00:00"/>
    <s v="all good"/>
    <n v="20"/>
    <s v="Europe"/>
    <x v="0"/>
    <s v="Frankfurt"/>
    <s v="Non-Profit"/>
    <s v="Direct"/>
    <x v="2"/>
    <x v="138"/>
    <n v="22"/>
    <n v="683.42"/>
    <n v="951.51"/>
    <s v="medium"/>
    <n v="0"/>
    <n v="20933.22"/>
    <n v="15035.24"/>
    <n v="0.28175216235247103"/>
    <s v="O. Wang"/>
    <n v="5897.9800000000014"/>
    <s v="Q2-2024"/>
    <s v="04 2024"/>
    <d v="2024-04-01T00:00:00"/>
    <d v="2023-01-01T00:00:00"/>
    <x v="30"/>
  </r>
  <r>
    <s v="ORD-2024-948800"/>
    <d v="2024-03-27T00:00:00"/>
    <d v="2024-04-11T00:00:00"/>
    <s v="all good"/>
    <n v="15"/>
    <s v="America"/>
    <x v="12"/>
    <s v="Francisco"/>
    <s v="Small Business"/>
    <s v="Direct"/>
    <x v="5"/>
    <x v="139"/>
    <n v="23"/>
    <n v="1338.35"/>
    <n v="2247.14"/>
    <s v="high"/>
    <n v="0.115"/>
    <n v="45740.534699999997"/>
    <n v="30782.05"/>
    <n v="0.32702907384246199"/>
    <s v="O. Wang"/>
    <n v="14958.484699999997"/>
    <s v="Q1-2024"/>
    <s v="03 2024"/>
    <d v="2024-03-01T00:00:00"/>
    <d v="2023-01-01T00:00:00"/>
    <x v="24"/>
  </r>
  <r>
    <s v="ORD-2024-792137"/>
    <d v="2024-03-02T00:00:00"/>
    <d v="2024-03-16T00:00:00"/>
    <s v="all good"/>
    <n v="14"/>
    <s v="America"/>
    <x v="3"/>
    <s v="Vancouver"/>
    <s v="Non-Profit"/>
    <s v="Direct"/>
    <x v="0"/>
    <x v="140"/>
    <n v="44"/>
    <n v="248.24"/>
    <n v="464.05"/>
    <s v="low"/>
    <n v="0.16900000000000001"/>
    <n v="16967.5242"/>
    <n v="10922.560000000001"/>
    <n v="0.35626672039754598"/>
    <s v="O. Wang"/>
    <n v="6044.9641999999985"/>
    <s v="Q1-2024"/>
    <s v="03 2024"/>
    <d v="2024-03-01T00:00:00"/>
    <d v="2023-01-01T00:00:00"/>
    <x v="24"/>
  </r>
  <r>
    <s v="ORD-2025-262491"/>
    <d v="2025-08-01T00:00:00"/>
    <d v="2025-08-16T00:00:00"/>
    <s v="all good"/>
    <n v="15"/>
    <s v="Asia"/>
    <x v="6"/>
    <s v="Unknown"/>
    <s v="Enterprise"/>
    <s v="Direct"/>
    <x v="6"/>
    <x v="141"/>
    <n v="9"/>
    <n v="24.44"/>
    <n v="28.69"/>
    <s v="low"/>
    <n v="0.14599999999999999"/>
    <n v="220.51134000000002"/>
    <n v="219.96"/>
    <n v="2.50027957745851E-3"/>
    <s v="O. Wang"/>
    <n v="0.55134000000001038"/>
    <s v="Q3-2025"/>
    <s v="08 2025"/>
    <d v="2025-08-01T00:00:00"/>
    <d v="2023-01-01T00:00:00"/>
    <x v="13"/>
  </r>
  <r>
    <s v="ORD-2023-630430"/>
    <d v="2023-08-04T00:00:00"/>
    <d v="2023-08-24T00:00:00"/>
    <s v="all good"/>
    <n v="20"/>
    <s v="America"/>
    <x v="5"/>
    <s v="Brasília"/>
    <s v="Non-Profit"/>
    <s v="Direct"/>
    <x v="5"/>
    <x v="142"/>
    <n v="23"/>
    <n v="582.88"/>
    <n v="1044.1400000000001"/>
    <s v="medium"/>
    <n v="0.216"/>
    <n v="18827.932480000003"/>
    <n v="13406.24"/>
    <n v="0.28796005539956099"/>
    <s v="Unknown"/>
    <n v="5421.6924800000033"/>
    <s v="Q3-2023"/>
    <s v="08 2023"/>
    <d v="2023-08-01T00:00:00"/>
    <d v="2023-01-01T00:00:00"/>
    <x v="9"/>
  </r>
  <r>
    <s v="ORD-2025-184082"/>
    <d v="2025-06-19T00:00:00"/>
    <d v="2025-07-12T00:00:00"/>
    <s v="all good"/>
    <n v="23"/>
    <s v="Europe"/>
    <x v="1"/>
    <s v="Unknown"/>
    <s v="Non-Profit"/>
    <s v="Direct"/>
    <x v="5"/>
    <x v="143"/>
    <n v="9"/>
    <n v="801.24"/>
    <n v="1959.09"/>
    <s v="high"/>
    <n v="0.123"/>
    <n v="15463.097369999998"/>
    <n v="7211.16"/>
    <n v="0.53365358650651795"/>
    <s v="Unknown"/>
    <n v="8251.9373699999978"/>
    <s v="Q2-2025"/>
    <s v="06 2025"/>
    <d v="2025-06-01T00:00:00"/>
    <d v="2023-01-01T00:00:00"/>
    <x v="3"/>
  </r>
  <r>
    <s v="ORD-2025-419532"/>
    <d v="2025-08-06T00:00:00"/>
    <d v="2025-08-23T00:00:00"/>
    <s v="all good"/>
    <n v="17"/>
    <s v="America"/>
    <x v="5"/>
    <s v="Brasília"/>
    <s v="Consumer"/>
    <s v="Distributor"/>
    <x v="6"/>
    <x v="144"/>
    <n v="28"/>
    <n v="86.64"/>
    <n v="213.06"/>
    <s v="low"/>
    <n v="0.21199999999999999"/>
    <n v="4700.9558400000005"/>
    <n v="2425.92"/>
    <n v="0.483951757351543"/>
    <s v="A. Patel"/>
    <n v="2275.0358400000005"/>
    <s v="Q3-2025"/>
    <s v="08 2025"/>
    <d v="2025-08-01T00:00:00"/>
    <d v="2023-01-01T00:00:00"/>
    <x v="13"/>
  </r>
  <r>
    <s v="ORD-2023-974506"/>
    <d v="2023-12-28T00:00:00"/>
    <d v="2024-01-01T00:00:00"/>
    <s v="all good"/>
    <n v="4"/>
    <s v="Africa"/>
    <x v="14"/>
    <s v="Town"/>
    <s v="Education"/>
    <s v="Distributor"/>
    <x v="0"/>
    <x v="145"/>
    <n v="23"/>
    <n v="1141.8"/>
    <n v="2318.7399999999998"/>
    <s v="high"/>
    <n v="0.107"/>
    <n v="47624.600859999999"/>
    <n v="26261.399999999998"/>
    <n v="0.44857490612468298"/>
    <s v="A. Patel"/>
    <n v="21363.200860000001"/>
    <s v="Q4-2023"/>
    <s v="12 2023"/>
    <d v="2023-12-01T00:00:00"/>
    <d v="2023-01-01T00:00:00"/>
    <x v="21"/>
  </r>
  <r>
    <s v="ORD-2024-999607"/>
    <d v="2024-01-12T00:00:00"/>
    <d v="2024-01-29T00:00:00"/>
    <s v="all good"/>
    <n v="17"/>
    <s v="America"/>
    <x v="13"/>
    <s v="Chicago"/>
    <s v="Education"/>
    <s v="Distributor"/>
    <x v="0"/>
    <x v="146"/>
    <n v="6"/>
    <n v="493.76"/>
    <n v="625.04"/>
    <s v="low"/>
    <n v="0.25800000000000001"/>
    <n v="2782.6780799999997"/>
    <n v="2962.56"/>
    <n v="-6.4643453115496699E-2"/>
    <s v="A. Patel"/>
    <n v="-179.88192000000026"/>
    <s v="Q1-2024"/>
    <s v="01 2024"/>
    <d v="2024-01-01T00:00:00"/>
    <d v="2023-02-01T00:00:00"/>
    <x v="21"/>
  </r>
  <r>
    <s v="ORD-2024-939873"/>
    <d v="2024-04-12T00:00:00"/>
    <d v="2024-05-07T00:00:00"/>
    <s v="all good"/>
    <n v="25"/>
    <s v="Africa"/>
    <x v="10"/>
    <s v="Johannesburg"/>
    <s v="Education"/>
    <s v="Distributor"/>
    <x v="4"/>
    <x v="147"/>
    <n v="14"/>
    <n v="1376.51"/>
    <n v="1455.91"/>
    <s v="medium"/>
    <n v="0.185"/>
    <n v="16611.933100000002"/>
    <n v="19271.14"/>
    <n v="-0.160078112763408"/>
    <s v="A. Patel"/>
    <n v="-2659.2068999999974"/>
    <s v="Q2-2024"/>
    <s v="04 2024"/>
    <d v="2024-04-01T00:00:00"/>
    <d v="2023-02-01T00:00:00"/>
    <x v="24"/>
  </r>
  <r>
    <s v="ORD-2024-247032"/>
    <d v="2024-04-21T00:00:00"/>
    <d v="2024-05-19T00:00:00"/>
    <s v="all good"/>
    <n v="28"/>
    <s v="Africa"/>
    <x v="16"/>
    <s v="Lagos"/>
    <s v="Corporate"/>
    <s v="Distributor"/>
    <x v="2"/>
    <x v="148"/>
    <n v="25"/>
    <n v="187.22"/>
    <n v="309.47000000000003"/>
    <s v="low"/>
    <n v="0"/>
    <n v="7736.7500000000009"/>
    <n v="4680.5"/>
    <n v="0.39503021294471202"/>
    <s v="A. Patel"/>
    <n v="3056.2500000000009"/>
    <s v="Q2-2024"/>
    <s v="04 2024"/>
    <d v="2024-04-01T00:00:00"/>
    <d v="2023-01-01T00:00:00"/>
    <x v="30"/>
  </r>
  <r>
    <s v="ORD-2024-961756"/>
    <d v="2024-11-25T00:00:00"/>
    <d v="2024-12-07T00:00:00"/>
    <s v="all good"/>
    <n v="12"/>
    <s v="Asia"/>
    <x v="4"/>
    <s v="Shanghai"/>
    <s v="Corporate"/>
    <s v="Distributor"/>
    <x v="2"/>
    <x v="149"/>
    <n v="18"/>
    <n v="769.9"/>
    <n v="814.36"/>
    <s v="low"/>
    <n v="0"/>
    <n v="14658.48"/>
    <n v="13858.199999999999"/>
    <n v="5.4595019401738797E-2"/>
    <s v="A. Patel"/>
    <n v="800.28000000000065"/>
    <s v="Q4-2024"/>
    <s v="11 2024"/>
    <d v="2024-11-01T00:00:00"/>
    <d v="2023-01-01T00:00:00"/>
    <x v="28"/>
  </r>
  <r>
    <s v="ORD-2024-129345"/>
    <d v="2024-02-18T00:00:00"/>
    <d v="2024-03-03T00:00:00"/>
    <s v="all good"/>
    <n v="14"/>
    <s v="America"/>
    <x v="5"/>
    <s v="Unknown"/>
    <s v="Enterprise"/>
    <s v="Distributor"/>
    <x v="0"/>
    <x v="150"/>
    <n v="16"/>
    <n v="624.23"/>
    <n v="1318.37"/>
    <s v="medium"/>
    <n v="0.21"/>
    <n v="16664.196799999998"/>
    <n v="9987.68"/>
    <n v="0.40065038118128798"/>
    <s v="A. Patel"/>
    <n v="6676.5167999999976"/>
    <s v="Q1-2024"/>
    <s v="02 2024"/>
    <d v="2024-02-01T00:00:00"/>
    <d v="2023-01-01T00:00:00"/>
    <x v="23"/>
  </r>
  <r>
    <s v="ORD-2024-371409"/>
    <d v="2024-11-17T00:00:00"/>
    <d v="2024-11-28T00:00:00"/>
    <s v="all good"/>
    <n v="11"/>
    <s v="America"/>
    <x v="3"/>
    <s v="Unknown"/>
    <s v="Consumer"/>
    <s v="Distributor"/>
    <x v="0"/>
    <x v="151"/>
    <n v="18"/>
    <n v="1008.16"/>
    <n v="2077.5"/>
    <s v="high"/>
    <n v="7.3999999999999996E-2"/>
    <n v="34627.770000000004"/>
    <n v="18146.88"/>
    <n v="0.47594430712690999"/>
    <s v="A. Patel"/>
    <n v="16480.890000000003"/>
    <s v="Q4-2024"/>
    <s v="11 2024"/>
    <d v="2024-11-01T00:00:00"/>
    <d v="2023-01-01T00:00:00"/>
    <x v="28"/>
  </r>
  <r>
    <s v="ORD-2025-983096"/>
    <d v="2025-05-17T00:00:00"/>
    <d v="2025-05-28T00:00:00"/>
    <s v="all good"/>
    <n v="11"/>
    <s v="Asia"/>
    <x v="6"/>
    <s v="Bengaluru"/>
    <s v="Corporate"/>
    <s v="Distributor"/>
    <x v="4"/>
    <x v="152"/>
    <n v="6"/>
    <n v="623.4"/>
    <n v="1100.0899999999999"/>
    <s v="medium"/>
    <n v="0.114"/>
    <n v="5848.0784399999993"/>
    <n v="3740.3999999999996"/>
    <n v="0.36040529579490399"/>
    <s v="B. Chen"/>
    <n v="2107.6784399999997"/>
    <s v="Q2-2025"/>
    <s v="05 2025"/>
    <d v="2025-05-01T00:00:00"/>
    <d v="2023-01-01T00:00:00"/>
    <x v="0"/>
  </r>
  <r>
    <s v="ORD-2025-252117"/>
    <d v="2025-04-28T00:00:00"/>
    <d v="2025-05-19T00:00:00"/>
    <s v="all good"/>
    <n v="21"/>
    <s v="Europe"/>
    <x v="0"/>
    <s v="Berlin"/>
    <s v="Corporate"/>
    <s v="Distributor"/>
    <x v="3"/>
    <x v="153"/>
    <n v="16"/>
    <n v="350.76"/>
    <n v="492.18"/>
    <s v="low"/>
    <n v="5.2999999999999999E-2"/>
    <n v="7457.5113599999995"/>
    <n v="5612.16"/>
    <n v="0.24744868239798401"/>
    <s v="B. Chen"/>
    <n v="1845.3513599999997"/>
    <s v="Q2-2025"/>
    <s v="04 2025"/>
    <d v="2025-04-01T00:00:00"/>
    <d v="2023-01-01T00:00:00"/>
    <x v="12"/>
  </r>
  <r>
    <s v="ORD-2024-510591"/>
    <d v="2024-04-03T00:00:00"/>
    <d v="2024-04-21T00:00:00"/>
    <s v="all good"/>
    <n v="18"/>
    <s v="America"/>
    <x v="5"/>
    <s v="Brasília"/>
    <s v="Small Business"/>
    <s v="Distributor"/>
    <x v="5"/>
    <x v="154"/>
    <n v="10"/>
    <n v="1176.69"/>
    <n v="2201.54"/>
    <s v="high"/>
    <n v="0.17"/>
    <n v="18272.781999999999"/>
    <n v="11766.900000000001"/>
    <n v="0.35604222717701101"/>
    <s v="B. Chen"/>
    <n v="6505.8819999999978"/>
    <s v="Q2-2024"/>
    <s v="04 2024"/>
    <d v="2024-04-01T00:00:00"/>
    <d v="2023-01-01T00:00:00"/>
    <x v="30"/>
  </r>
  <r>
    <s v="ORD-2024-919471"/>
    <d v="2024-06-29T00:00:00"/>
    <d v="2024-07-26T00:00:00"/>
    <s v="all good"/>
    <n v="27"/>
    <s v="Africa"/>
    <x v="10"/>
    <s v="Durban"/>
    <s v="Enterprise"/>
    <s v="Distributor"/>
    <x v="5"/>
    <x v="155"/>
    <n v="19"/>
    <n v="5.36"/>
    <n v="4.37"/>
    <s v="low"/>
    <n v="0.11799999999999999"/>
    <n v="73.232460000000003"/>
    <n v="101.84"/>
    <n v="-0.390640161480305"/>
    <s v="B. Chen"/>
    <n v="-28.60754"/>
    <s v="Q2-2024"/>
    <s v="06 2024"/>
    <d v="2024-06-01T00:00:00"/>
    <d v="2023-02-01T00:00:00"/>
    <x v="25"/>
  </r>
  <r>
    <s v="ORD-2025-678688"/>
    <d v="2025-07-16T00:00:00"/>
    <d v="2025-07-17T00:00:00"/>
    <s v="all good"/>
    <n v="1"/>
    <s v="Africa"/>
    <x v="10"/>
    <s v="Durban"/>
    <s v="Small Business"/>
    <s v="Distributor"/>
    <x v="5"/>
    <x v="156"/>
    <n v="5"/>
    <n v="1198.9000000000001"/>
    <n v="2941.2"/>
    <s v="high"/>
    <n v="5.0999999999999997E-2"/>
    <n v="13955.993999999999"/>
    <n v="5994.5"/>
    <n v="0.57047129713583999"/>
    <s v="B. Chen"/>
    <n v="7961.4939999999988"/>
    <s v="Q3-2025"/>
    <s v="07 2025"/>
    <d v="2025-07-01T00:00:00"/>
    <d v="2023-02-01T00:00:00"/>
    <x v="3"/>
  </r>
  <r>
    <s v="ORD-2024-266562"/>
    <d v="2024-11-27T00:00:00"/>
    <d v="2024-12-24T00:00:00"/>
    <s v="all good"/>
    <n v="27"/>
    <s v="Africa"/>
    <x v="8"/>
    <s v="Mombasa"/>
    <s v="Corporate"/>
    <s v="Distributor"/>
    <x v="0"/>
    <x v="157"/>
    <n v="15"/>
    <n v="143.33000000000001"/>
    <n v="233.51"/>
    <s v="low"/>
    <n v="0.16300000000000001"/>
    <n v="2931.7180499999995"/>
    <n v="2149.9500000000003"/>
    <n v="0.26665867476580801"/>
    <s v="B. Chen"/>
    <n v="781.76804999999922"/>
    <s v="Q4-2024"/>
    <s v="11 2024"/>
    <d v="2024-11-01T00:00:00"/>
    <d v="2023-01-01T00:00:00"/>
    <x v="28"/>
  </r>
  <r>
    <s v="ORD-2024-862371"/>
    <d v="2024-09-07T00:00:00"/>
    <d v="2024-09-07T00:00:00"/>
    <s v="all good"/>
    <n v="0"/>
    <s v="Asia"/>
    <x v="6"/>
    <s v="Mumbai"/>
    <s v="Education"/>
    <s v="Distributor"/>
    <x v="5"/>
    <x v="158"/>
    <n v="6"/>
    <n v="1066.6500000000001"/>
    <n v="2569.77"/>
    <s v="high"/>
    <n v="0.13400000000000001"/>
    <n v="13352.52492"/>
    <n v="6399.9000000000005"/>
    <n v="0.52069739331368303"/>
    <s v="B. Chen"/>
    <n v="6952.6249199999993"/>
    <s v="Q3-2024"/>
    <s v="09 2024"/>
    <d v="2024-09-01T00:00:00"/>
    <d v="2023-01-01T00:00:00"/>
    <x v="27"/>
  </r>
  <r>
    <s v="ORD-2025-931538"/>
    <d v="2025-02-09T00:00:00"/>
    <d v="2025-03-01T00:00:00"/>
    <s v="all good"/>
    <n v="20"/>
    <s v="America"/>
    <x v="9"/>
    <s v="Paulo"/>
    <s v="Corporate"/>
    <s v="Distributor"/>
    <x v="4"/>
    <x v="159"/>
    <n v="14"/>
    <n v="1154.6400000000001"/>
    <n v="2794.13"/>
    <s v="high"/>
    <n v="3.5000000000000003E-2"/>
    <n v="37748.696299999996"/>
    <n v="16164.960000000001"/>
    <n v="0.57177435025749501"/>
    <s v="B. Chen"/>
    <n v="21583.736299999997"/>
    <s v="Q1-2025"/>
    <s v="02 2025"/>
    <d v="2025-02-01T00:00:00"/>
    <d v="2023-02-01T00:00:00"/>
    <x v="14"/>
  </r>
  <r>
    <s v="ORD-2025-532859"/>
    <d v="2025-03-11T00:00:00"/>
    <d v="2025-03-27T00:00:00"/>
    <s v="all good"/>
    <n v="16"/>
    <s v="Asia"/>
    <x v="7"/>
    <s v="Tokyo"/>
    <s v="Enterprise"/>
    <s v="Distributor"/>
    <x v="0"/>
    <x v="160"/>
    <n v="50"/>
    <n v="1317.58"/>
    <n v="1897.74"/>
    <s v="high"/>
    <n v="8.1000000000000003E-2"/>
    <n v="87201.153000000006"/>
    <n v="65879"/>
    <n v="0.244516870092303"/>
    <s v="B. Chen"/>
    <n v="21322.153000000006"/>
    <s v="Q1-2025"/>
    <s v="03 2025"/>
    <d v="2025-03-01T00:00:00"/>
    <d v="2023-03-01T00:00:00"/>
    <x v="14"/>
  </r>
  <r>
    <s v="ORD-2023-723587"/>
    <d v="2023-01-02T00:00:00"/>
    <d v="2023-01-05T00:00:00"/>
    <s v="all good"/>
    <n v="3"/>
    <s v="America"/>
    <x v="3"/>
    <s v="Toronto"/>
    <s v="Corporate"/>
    <s v="Distributor"/>
    <x v="4"/>
    <x v="161"/>
    <n v="5"/>
    <n v="315.87"/>
    <n v="591.67999999999995"/>
    <s v="low"/>
    <n v="0"/>
    <n v="2958.3999999999996"/>
    <n v="1579.35"/>
    <n v="0.46614724175229799"/>
    <s v="B. Chen"/>
    <n v="1379.0499999999997"/>
    <s v="Q1-2023"/>
    <s v="01 2023"/>
    <d v="2023-01-01T00:00:00"/>
    <d v="2023-01-01T00:00:00"/>
    <x v="19"/>
  </r>
  <r>
    <s v="ORD-2023-913592"/>
    <d v="2023-05-10T00:00:00"/>
    <d v="2023-05-14T00:00:00"/>
    <s v="all good"/>
    <n v="4"/>
    <s v="Asia"/>
    <x v="6"/>
    <s v="Delhi"/>
    <s v="Non-Profit"/>
    <s v="Distributor"/>
    <x v="6"/>
    <x v="162"/>
    <n v="7"/>
    <n v="622.6"/>
    <n v="833.69"/>
    <s v="medium"/>
    <n v="0.20899999999999999"/>
    <n v="4616.1415299999999"/>
    <n v="4358.2"/>
    <n v="5.5878167582959701E-2"/>
    <s v="C. Otieno"/>
    <n v="257.94153000000006"/>
    <s v="Q2-2023"/>
    <s v="05 2023"/>
    <d v="2023-05-01T00:00:00"/>
    <d v="2023-01-01T00:00:00"/>
    <x v="29"/>
  </r>
  <r>
    <s v="ORD-2025-460466"/>
    <d v="2025-02-07T00:00:00"/>
    <d v="2025-02-16T00:00:00"/>
    <s v="all good"/>
    <n v="9"/>
    <s v="Africa"/>
    <x v="16"/>
    <s v="Lagos"/>
    <s v="Small Business"/>
    <s v="Distributor"/>
    <x v="0"/>
    <x v="163"/>
    <n v="47"/>
    <n v="90.68"/>
    <n v="118.17"/>
    <s v="low"/>
    <n v="0.13500000000000001"/>
    <n v="4804.2013499999994"/>
    <n v="4261.96"/>
    <n v="0.11286815653552899"/>
    <s v="C. Otieno"/>
    <n v="542.24134999999933"/>
    <s v="Q1-2025"/>
    <s v="02 2025"/>
    <d v="2025-02-01T00:00:00"/>
    <d v="2023-01-01T00:00:00"/>
    <x v="31"/>
  </r>
  <r>
    <s v="ORD-2024-508213"/>
    <d v="2024-11-22T00:00:00"/>
    <d v="2024-12-15T00:00:00"/>
    <s v="all good"/>
    <n v="23"/>
    <s v="Africa"/>
    <x v="8"/>
    <s v="Mombasa"/>
    <s v="Non-Profit"/>
    <s v="Distributor"/>
    <x v="1"/>
    <x v="164"/>
    <n v="8"/>
    <n v="1335.76"/>
    <n v="2665.91"/>
    <s v="high"/>
    <n v="0.21099999999999999"/>
    <n v="16827.22392"/>
    <n v="10686.08"/>
    <n v="0.36495288522909197"/>
    <s v="C. Otieno"/>
    <n v="6141.1439200000004"/>
    <s v="Q4-2024"/>
    <s v="11 2024"/>
    <d v="2024-11-01T00:00:00"/>
    <d v="2023-01-01T00:00:00"/>
    <x v="28"/>
  </r>
  <r>
    <s v="ORD-2024-347736"/>
    <d v="2024-05-22T00:00:00"/>
    <d v="2024-06-06T00:00:00"/>
    <s v="all good"/>
    <n v="15"/>
    <s v="Asia"/>
    <x v="7"/>
    <s v="Nagoya"/>
    <s v="Corporate"/>
    <s v="Distributor"/>
    <x v="6"/>
    <x v="165"/>
    <n v="44"/>
    <n v="673.88"/>
    <n v="1228.01"/>
    <s v="medium"/>
    <n v="0.105"/>
    <n v="48359.033800000005"/>
    <n v="29650.720000000001"/>
    <n v="0.38686285332690001"/>
    <s v="C. Otieno"/>
    <n v="18708.313800000004"/>
    <s v="Q2-2024"/>
    <s v="05 2024"/>
    <d v="2024-05-01T00:00:00"/>
    <d v="2023-03-01T00:00:00"/>
    <x v="24"/>
  </r>
  <r>
    <s v="ORD-2025-233883"/>
    <d v="2025-09-08T00:00:00"/>
    <d v="2025-09-16T00:00:00"/>
    <s v="all good"/>
    <n v="8"/>
    <s v="Asia"/>
    <x v="7"/>
    <s v="Osaka"/>
    <s v="Corporate"/>
    <s v="Distributor"/>
    <x v="3"/>
    <x v="166"/>
    <n v="46"/>
    <n v="1225.57"/>
    <n v="2705.57"/>
    <s v="high"/>
    <n v="0.183"/>
    <n v="101680.73173999999"/>
    <n v="56376.219999999994"/>
    <n v="0.44555650775453398"/>
    <s v="C. Otieno"/>
    <n v="45304.511739999994"/>
    <s v="Q3-2025"/>
    <s v="09 2025"/>
    <d v="2025-09-01T00:00:00"/>
    <d v="2023-03-01T00:00:00"/>
    <x v="20"/>
  </r>
  <r>
    <s v="ORD-2023-597666"/>
    <d v="2023-10-25T00:00:00"/>
    <d v="2023-11-24T00:00:00"/>
    <s v="all good"/>
    <n v="30"/>
    <s v="Europe"/>
    <x v="2"/>
    <s v="Paris"/>
    <s v="Enterprise"/>
    <s v="Distributor"/>
    <x v="3"/>
    <x v="167"/>
    <n v="9"/>
    <n v="287.85000000000002"/>
    <n v="602.91999999999996"/>
    <s v="low"/>
    <n v="0.222"/>
    <n v="4221.6458400000001"/>
    <n v="2590.65"/>
    <n v="0.38634122847216401"/>
    <s v="C. Otieno"/>
    <n v="1630.99584"/>
    <s v="Q4-2023"/>
    <s v="10 2023"/>
    <d v="2023-10-01T00:00:00"/>
    <d v="2023-02-01T00:00:00"/>
    <x v="5"/>
  </r>
  <r>
    <s v="ORD-2024-550400"/>
    <d v="2024-08-19T00:00:00"/>
    <d v="2024-09-02T00:00:00"/>
    <s v="all good"/>
    <n v="14"/>
    <s v="America"/>
    <x v="3"/>
    <s v="Toronto"/>
    <s v="Consumer"/>
    <s v="Distributor"/>
    <x v="0"/>
    <x v="168"/>
    <n v="6"/>
    <n v="1337.01"/>
    <n v="1269.78"/>
    <s v="medium"/>
    <n v="0.16"/>
    <n v="6399.6912000000002"/>
    <n v="8022.0599999999995"/>
    <n v="-0.253507356729962"/>
    <s v="C. Otieno"/>
    <n v="-1622.3687999999993"/>
    <s v="Q3-2024"/>
    <s v="08 2024"/>
    <d v="2024-08-01T00:00:00"/>
    <d v="2023-02-01T00:00:00"/>
    <x v="22"/>
  </r>
  <r>
    <s v="ORD-2024-921935"/>
    <d v="2024-01-01T00:00:00"/>
    <d v="2024-01-27T00:00:00"/>
    <s v="all good"/>
    <n v="26"/>
    <s v="Europe"/>
    <x v="1"/>
    <s v="Manchester"/>
    <s v="Education"/>
    <s v="Distributor"/>
    <x v="2"/>
    <x v="169"/>
    <n v="5"/>
    <n v="657.45"/>
    <n v="1325.96"/>
    <s v="medium"/>
    <n v="0.16700000000000001"/>
    <n v="5522.6233999999995"/>
    <n v="3287.25"/>
    <n v="0.40476658249048802"/>
    <s v="D. Smith"/>
    <n v="2235.3733999999995"/>
    <s v="Q1-2024"/>
    <s v="01 2024"/>
    <d v="2024-01-01T00:00:00"/>
    <d v="2023-01-01T00:00:00"/>
    <x v="4"/>
  </r>
  <r>
    <s v="ORD-2023-728177"/>
    <d v="2023-12-18T00:00:00"/>
    <d v="2024-01-14T00:00:00"/>
    <s v="all good"/>
    <n v="27"/>
    <s v="Asia"/>
    <x v="6"/>
    <s v="Mumbai"/>
    <s v="Consumer"/>
    <s v="Distributor"/>
    <x v="5"/>
    <x v="170"/>
    <n v="16"/>
    <n v="1408.3"/>
    <n v="2193.13"/>
    <s v="high"/>
    <n v="7.0999999999999994E-2"/>
    <n v="32598.684320000004"/>
    <n v="22532.799999999999"/>
    <n v="0.30878191957656298"/>
    <s v="D. Smith"/>
    <n v="10065.884320000005"/>
    <s v="Q4-2023"/>
    <s v="12 2023"/>
    <d v="2023-12-01T00:00:00"/>
    <d v="2023-01-01T00:00:00"/>
    <x v="21"/>
  </r>
  <r>
    <s v="ORD-2024-713332"/>
    <d v="2024-06-05T00:00:00"/>
    <d v="2024-06-23T00:00:00"/>
    <s v="all good"/>
    <n v="18"/>
    <s v="Africa"/>
    <x v="8"/>
    <s v="Nairobi"/>
    <s v="Consumer"/>
    <s v="Distributor"/>
    <x v="4"/>
    <x v="171"/>
    <n v="5"/>
    <n v="1208.74"/>
    <n v="1594.78"/>
    <s v="medium"/>
    <n v="5.8999999999999997E-2"/>
    <n v="7503.4399000000003"/>
    <n v="6043.7"/>
    <n v="0.194542758981784"/>
    <s v="D. Smith"/>
    <n v="1459.7399000000005"/>
    <s v="Q2-2024"/>
    <s v="06 2024"/>
    <d v="2024-06-01T00:00:00"/>
    <d v="2023-01-01T00:00:00"/>
    <x v="26"/>
  </r>
  <r>
    <s v="ORD-2024-569164"/>
    <d v="2024-09-05T00:00:00"/>
    <d v="2024-09-25T00:00:00"/>
    <s v="all good"/>
    <n v="20"/>
    <s v="Asia"/>
    <x v="7"/>
    <s v="Osaka"/>
    <s v="Enterprise"/>
    <s v="Distributor"/>
    <x v="6"/>
    <x v="172"/>
    <n v="10"/>
    <n v="195.54"/>
    <n v="405.97"/>
    <s v="low"/>
    <n v="0.187"/>
    <n v="3300.5360999999998"/>
    <n v="1955.3999999999999"/>
    <n v="0.40755079152141399"/>
    <s v="D. Smith"/>
    <n v="1345.1360999999999"/>
    <s v="Q3-2024"/>
    <s v="09 2024"/>
    <d v="2024-09-01T00:00:00"/>
    <d v="2023-03-01T00:00:00"/>
    <x v="22"/>
  </r>
  <r>
    <s v="ORD-2024-468501"/>
    <d v="2024-11-06T00:00:00"/>
    <d v="2024-11-22T00:00:00"/>
    <s v="all good"/>
    <n v="16"/>
    <s v="America"/>
    <x v="3"/>
    <s v="Toronto"/>
    <s v="Non-Profit"/>
    <s v="Distributor"/>
    <x v="2"/>
    <x v="173"/>
    <n v="15"/>
    <n v="1454.11"/>
    <n v="2629.75"/>
    <s v="high"/>
    <n v="0.29199999999999998"/>
    <n v="27927.945"/>
    <n v="21811.649999999998"/>
    <n v="0.219002687093519"/>
    <s v="D. Smith"/>
    <n v="6116.2950000000019"/>
    <s v="Q4-2024"/>
    <s v="11 2024"/>
    <d v="2024-11-01T00:00:00"/>
    <d v="2023-02-01T00:00:00"/>
    <x v="6"/>
  </r>
  <r>
    <s v="ORD-2025-222035"/>
    <d v="2025-03-14T00:00:00"/>
    <d v="2025-04-08T00:00:00"/>
    <s v="all good"/>
    <n v="25"/>
    <s v="Asia"/>
    <x v="4"/>
    <s v="Unknown"/>
    <s v="Corporate"/>
    <s v="Distributor"/>
    <x v="0"/>
    <x v="174"/>
    <n v="8"/>
    <n v="80.59"/>
    <n v="157.82"/>
    <s v="low"/>
    <n v="0.217"/>
    <n v="988.58447999999999"/>
    <n v="644.72"/>
    <n v="0.34783519967863502"/>
    <s v="D. Smith"/>
    <n v="343.86447999999996"/>
    <s v="Q1-2025"/>
    <s v="03 2025"/>
    <d v="2025-03-01T00:00:00"/>
    <d v="2023-01-01T00:00:00"/>
    <x v="18"/>
  </r>
  <r>
    <s v="ORD-2023-961864"/>
    <d v="2023-12-07T00:00:00"/>
    <d v="2024-01-02T00:00:00"/>
    <s v="all good"/>
    <n v="26"/>
    <s v="Europe"/>
    <x v="0"/>
    <s v="Frankfurt"/>
    <s v="Enterprise"/>
    <s v="Distributor"/>
    <x v="1"/>
    <x v="175"/>
    <n v="38"/>
    <n v="1071.99"/>
    <n v="2397.3000000000002"/>
    <s v="high"/>
    <n v="6.2E-2"/>
    <n v="85449.361199999999"/>
    <n v="40735.620000000003"/>
    <n v="0.52327765324476205"/>
    <s v="E. Garcia"/>
    <n v="44713.741199999997"/>
    <s v="Q4-2023"/>
    <s v="12 2023"/>
    <d v="2023-12-01T00:00:00"/>
    <d v="2023-01-01T00:00:00"/>
    <x v="21"/>
  </r>
  <r>
    <s v="ORD-2024-749242"/>
    <d v="2024-01-16T00:00:00"/>
    <d v="2024-02-11T00:00:00"/>
    <s v="all good"/>
    <n v="26"/>
    <s v="Europe"/>
    <x v="0"/>
    <s v="Frankfurt"/>
    <s v="Non-Profit"/>
    <s v="Distributor"/>
    <x v="6"/>
    <x v="176"/>
    <n v="9"/>
    <n v="504.93"/>
    <n v="819.06"/>
    <s v="medium"/>
    <n v="0.22600000000000001"/>
    <n v="5705.5719599999993"/>
    <n v="4544.37"/>
    <n v="0.203520693129598"/>
    <s v="E. Garcia"/>
    <n v="1161.2019599999994"/>
    <s v="Q1-2024"/>
    <s v="01 2024"/>
    <d v="2024-01-01T00:00:00"/>
    <d v="2023-01-01T00:00:00"/>
    <x v="4"/>
  </r>
  <r>
    <s v="ORD-2024-811752"/>
    <d v="2024-02-25T00:00:00"/>
    <d v="2024-03-09T00:00:00"/>
    <s v="all good"/>
    <n v="13"/>
    <s v="Europe"/>
    <x v="2"/>
    <s v="Marseille"/>
    <s v="Small Business"/>
    <s v="Distributor"/>
    <x v="6"/>
    <x v="177"/>
    <n v="13"/>
    <n v="322.44"/>
    <n v="395.61"/>
    <s v="low"/>
    <n v="0"/>
    <n v="5142.93"/>
    <n v="4191.72"/>
    <n v="0.184954879805869"/>
    <s v="E. Garcia"/>
    <n v="951.21"/>
    <s v="Q1-2024"/>
    <s v="02 2024"/>
    <d v="2024-02-01T00:00:00"/>
    <d v="2023-02-01T00:00:00"/>
    <x v="4"/>
  </r>
  <r>
    <s v="ORD-2023-356427"/>
    <d v="2023-04-13T00:00:00"/>
    <d v="2023-05-02T00:00:00"/>
    <s v="all good"/>
    <n v="19"/>
    <s v="America"/>
    <x v="3"/>
    <s v="Montreal"/>
    <s v="Consumer"/>
    <s v="Distributor"/>
    <x v="6"/>
    <x v="178"/>
    <n v="15"/>
    <n v="671.05"/>
    <n v="1645.48"/>
    <s v="high"/>
    <n v="0.13700000000000001"/>
    <n v="21300.738600000001"/>
    <n v="10065.75"/>
    <n v="0.52744596377517206"/>
    <s v="E. Garcia"/>
    <n v="11234.988600000001"/>
    <s v="Q2-2023"/>
    <s v="04 2023"/>
    <d v="2023-04-01T00:00:00"/>
    <d v="2023-02-01T00:00:00"/>
    <x v="1"/>
  </r>
  <r>
    <s v="ORD-2025-398335"/>
    <d v="2025-06-01T00:00:00"/>
    <d v="2025-06-27T00:00:00"/>
    <s v="all good"/>
    <n v="26"/>
    <s v="Europe"/>
    <x v="0"/>
    <s v="Munich"/>
    <s v="Consumer"/>
    <s v="Distributor"/>
    <x v="4"/>
    <x v="179"/>
    <n v="13"/>
    <n v="1362.31"/>
    <n v="3294.57"/>
    <s v="high"/>
    <n v="0.113"/>
    <n v="37989.686670000003"/>
    <n v="17710.03"/>
    <n v="0.53382005611577199"/>
    <s v="E. Garcia"/>
    <n v="20279.656670000004"/>
    <s v="Q2-2025"/>
    <s v="06 2025"/>
    <d v="2025-06-01T00:00:00"/>
    <d v="2023-01-01T00:00:00"/>
    <x v="3"/>
  </r>
  <r>
    <s v="ORD-2023-638181"/>
    <d v="2023-05-20T00:00:00"/>
    <d v="2023-06-07T00:00:00"/>
    <s v="all good"/>
    <n v="18"/>
    <s v="Africa"/>
    <x v="11"/>
    <s v="Harcourt"/>
    <s v="Enterprise"/>
    <s v="Distributor"/>
    <x v="1"/>
    <x v="180"/>
    <n v="4"/>
    <n v="1120.06"/>
    <n v="2068.21"/>
    <s v="high"/>
    <n v="7.8E-2"/>
    <n v="7627.5584800000006"/>
    <n v="4480.24"/>
    <n v="0.41262462795303301"/>
    <s v="E. Garcia"/>
    <n v="3147.3184800000008"/>
    <s v="Q2-2023"/>
    <s v="05 2023"/>
    <d v="2023-05-01T00:00:00"/>
    <d v="2023-05-01T00:00:00"/>
    <x v="19"/>
  </r>
  <r>
    <s v="ORD-2023-603650"/>
    <d v="2023-05-23T00:00:00"/>
    <d v="2023-06-10T00:00:00"/>
    <s v="all good"/>
    <n v="18"/>
    <s v="Asia"/>
    <x v="4"/>
    <s v="Shanghai"/>
    <s v="Corporate"/>
    <s v="Distributor"/>
    <x v="1"/>
    <x v="181"/>
    <n v="20"/>
    <n v="54.62"/>
    <n v="48.94"/>
    <s v="low"/>
    <n v="0.14799999999999999"/>
    <n v="833.93759999999997"/>
    <n v="1092.3999999999999"/>
    <n v="-0.30993014345437803"/>
    <s v="E. Garcia"/>
    <n v="-258.46239999999989"/>
    <s v="Q2-2023"/>
    <s v="05 2023"/>
    <d v="2023-05-01T00:00:00"/>
    <d v="2023-01-01T00:00:00"/>
    <x v="29"/>
  </r>
  <r>
    <s v="ORD-2025-125517"/>
    <d v="2025-03-21T00:00:00"/>
    <d v="2025-04-09T00:00:00"/>
    <s v="all good"/>
    <n v="19"/>
    <s v="Asia"/>
    <x v="7"/>
    <s v="Tokyo"/>
    <s v="Small Business"/>
    <s v="Distributor"/>
    <x v="1"/>
    <x v="182"/>
    <n v="5"/>
    <n v="1055.45"/>
    <n v="1210.04"/>
    <s v="medium"/>
    <n v="8.9999999999999993E-3"/>
    <n v="5995.7482"/>
    <n v="5277.25"/>
    <n v="0.11983461880537299"/>
    <s v="E. Garcia"/>
    <n v="718.4982"/>
    <s v="Q1-2025"/>
    <s v="03 2025"/>
    <d v="2025-03-01T00:00:00"/>
    <d v="2023-03-01T00:00:00"/>
    <x v="14"/>
  </r>
  <r>
    <s v="ORD-2024-997336"/>
    <d v="2024-10-04T00:00:00"/>
    <d v="2024-11-02T00:00:00"/>
    <s v="all good"/>
    <n v="29"/>
    <s v="Africa"/>
    <x v="16"/>
    <s v="Abuja"/>
    <s v="Corporate"/>
    <s v="Distributor"/>
    <x v="2"/>
    <x v="183"/>
    <n v="7"/>
    <n v="412.09"/>
    <n v="968.94"/>
    <s v="medium"/>
    <n v="9.9000000000000005E-2"/>
    <n v="6111.1045800000002"/>
    <n v="2884.6299999999997"/>
    <n v="0.52796913189137396"/>
    <s v="F. Müller"/>
    <n v="3226.4745800000005"/>
    <s v="Q4-2024"/>
    <s v="10 2024"/>
    <d v="2024-10-01T00:00:00"/>
    <d v="2023-01-01T00:00:00"/>
    <x v="6"/>
  </r>
  <r>
    <s v="ORD-2023-497686"/>
    <d v="2023-07-03T00:00:00"/>
    <d v="2023-07-23T00:00:00"/>
    <s v="all good"/>
    <n v="20"/>
    <s v="Africa"/>
    <x v="10"/>
    <s v="Johannesburg"/>
    <s v="Small Business"/>
    <s v="Distributor"/>
    <x v="4"/>
    <x v="184"/>
    <n v="23"/>
    <n v="1001.96"/>
    <n v="1254.95"/>
    <s v="medium"/>
    <n v="4.4999999999999998E-2"/>
    <n v="27564.976750000002"/>
    <n v="23045.08"/>
    <n v="0.16397244920585699"/>
    <s v="F. Müller"/>
    <n v="4519.8967499999999"/>
    <s v="Q3-2023"/>
    <s v="07 2023"/>
    <d v="2023-07-01T00:00:00"/>
    <d v="2023-02-01T00:00:00"/>
    <x v="15"/>
  </r>
  <r>
    <s v="ORD-2024-970848"/>
    <d v="2024-05-23T00:00:00"/>
    <d v="2024-06-03T00:00:00"/>
    <s v="all good"/>
    <n v="11"/>
    <s v="Africa"/>
    <x v="10"/>
    <s v="Johannesburg"/>
    <s v="Small Business"/>
    <s v="Distributor"/>
    <x v="0"/>
    <x v="185"/>
    <n v="12"/>
    <n v="180.89"/>
    <n v="249.57"/>
    <s v="low"/>
    <n v="2.1999999999999999E-2"/>
    <n v="2928.95352"/>
    <n v="2170.6799999999998"/>
    <n v="0.25888888806948401"/>
    <s v="F. Müller"/>
    <n v="758.27352000000019"/>
    <s v="Q2-2024"/>
    <s v="05 2024"/>
    <d v="2024-05-01T00:00:00"/>
    <d v="2023-02-01T00:00:00"/>
    <x v="30"/>
  </r>
  <r>
    <s v="ORD-2025-828263"/>
    <d v="2025-05-17T00:00:00"/>
    <d v="2025-05-30T00:00:00"/>
    <s v="all good"/>
    <n v="13"/>
    <s v="Africa"/>
    <x v="16"/>
    <s v="Lagos"/>
    <s v="Consumer"/>
    <s v="Distributor"/>
    <x v="2"/>
    <x v="186"/>
    <n v="6"/>
    <n v="66.400000000000006"/>
    <n v="141.43"/>
    <s v="low"/>
    <n v="0.107"/>
    <n v="757.78194000000008"/>
    <n v="398.40000000000003"/>
    <n v="0.47425508715607601"/>
    <s v="F. Müller"/>
    <n v="359.38194000000004"/>
    <s v="Q2-2025"/>
    <s v="05 2025"/>
    <d v="2025-05-01T00:00:00"/>
    <d v="2023-01-01T00:00:00"/>
    <x v="0"/>
  </r>
  <r>
    <s v="ORD-2023-931633"/>
    <d v="2023-05-14T00:00:00"/>
    <d v="2023-05-22T00:00:00"/>
    <s v="all good"/>
    <n v="8"/>
    <s v="Africa"/>
    <x v="8"/>
    <s v="Mombasa"/>
    <s v="Small Business"/>
    <s v="Distributor"/>
    <x v="0"/>
    <x v="187"/>
    <n v="25"/>
    <n v="432.01"/>
    <n v="913.78"/>
    <s v="medium"/>
    <n v="4.9000000000000002E-2"/>
    <n v="21725.119500000001"/>
    <n v="10800.25"/>
    <n v="0.50286809699711899"/>
    <s v="F. Müller"/>
    <n v="10924.869500000001"/>
    <s v="Q2-2023"/>
    <s v="05 2023"/>
    <d v="2023-05-01T00:00:00"/>
    <d v="2023-01-01T00:00:00"/>
    <x v="29"/>
  </r>
  <r>
    <s v="ORD-2023-603238"/>
    <d v="2023-08-21T00:00:00"/>
    <d v="2023-09-04T00:00:00"/>
    <s v="all good"/>
    <n v="14"/>
    <s v="America"/>
    <x v="3"/>
    <s v="Montreal"/>
    <s v="Education"/>
    <s v="Distributor"/>
    <x v="1"/>
    <x v="188"/>
    <n v="14"/>
    <n v="178.19"/>
    <n v="284.43"/>
    <s v="low"/>
    <n v="8.8999999999999996E-2"/>
    <n v="3627.6202200000002"/>
    <n v="2494.66"/>
    <n v="0.31231500302972698"/>
    <s v="F. Müller"/>
    <n v="1132.9602200000004"/>
    <s v="Q3-2023"/>
    <s v="08 2023"/>
    <d v="2023-08-01T00:00:00"/>
    <d v="2023-02-01T00:00:00"/>
    <x v="7"/>
  </r>
  <r>
    <s v="ORD-2025-515515"/>
    <d v="2025-01-03T00:00:00"/>
    <d v="2025-01-23T00:00:00"/>
    <s v="all good"/>
    <n v="20"/>
    <s v="Asia"/>
    <x v="7"/>
    <s v="Osaka"/>
    <s v="Corporate"/>
    <s v="Distributor"/>
    <x v="3"/>
    <x v="189"/>
    <n v="7"/>
    <n v="908.6"/>
    <n v="691.37"/>
    <s v="low"/>
    <n v="0.25"/>
    <n v="3629.6925000000001"/>
    <n v="6360.2"/>
    <n v="-0.75226964818645103"/>
    <s v="F. Müller"/>
    <n v="-2730.5074999999997"/>
    <s v="Q1-2025"/>
    <s v="01 2025"/>
    <d v="2025-01-01T00:00:00"/>
    <d v="2023-03-01T00:00:00"/>
    <x v="28"/>
  </r>
  <r>
    <s v="ORD-2024-756884"/>
    <d v="2024-10-13T00:00:00"/>
    <d v="2024-10-24T00:00:00"/>
    <s v="all good"/>
    <n v="11"/>
    <s v="Europe"/>
    <x v="2"/>
    <s v="Paris"/>
    <s v="Education"/>
    <s v="Distributor"/>
    <x v="1"/>
    <x v="190"/>
    <n v="19"/>
    <n v="816.7"/>
    <n v="1010.75"/>
    <s v="medium"/>
    <n v="4.7E-2"/>
    <n v="18301.650249999999"/>
    <n v="15517.300000000001"/>
    <n v="0.152136567575375"/>
    <s v="F. Müller"/>
    <n v="2784.3502499999977"/>
    <s v="Q4-2024"/>
    <s v="10 2024"/>
    <d v="2024-10-01T00:00:00"/>
    <d v="2023-02-01T00:00:00"/>
    <x v="27"/>
  </r>
  <r>
    <s v="ORD-2025-915869"/>
    <d v="2025-02-06T00:00:00"/>
    <d v="2025-02-15T00:00:00"/>
    <s v="all good"/>
    <n v="9"/>
    <s v="America"/>
    <x v="9"/>
    <s v="Paulo"/>
    <s v="Non-Profit"/>
    <s v="Distributor"/>
    <x v="5"/>
    <x v="191"/>
    <n v="10"/>
    <n v="837.39"/>
    <n v="1905.42"/>
    <s v="high"/>
    <n v="3.2000000000000001E-2"/>
    <n v="18444.4656"/>
    <n v="8373.9"/>
    <n v="0.54599389423350897"/>
    <s v="F. Müller"/>
    <n v="10070.5656"/>
    <s v="Q1-2025"/>
    <s v="02 2025"/>
    <d v="2025-02-01T00:00:00"/>
    <d v="2023-02-01T00:00:00"/>
    <x v="14"/>
  </r>
  <r>
    <s v="ORD-2024-572312"/>
    <d v="2024-06-16T00:00:00"/>
    <d v="2024-06-21T00:00:00"/>
    <s v="all good"/>
    <n v="5"/>
    <s v="Asia"/>
    <x v="7"/>
    <s v="Tokyo"/>
    <s v="Small Business"/>
    <s v="Distributor"/>
    <x v="3"/>
    <x v="192"/>
    <n v="36"/>
    <n v="1367.13"/>
    <n v="3062.01"/>
    <s v="high"/>
    <n v="0.10299999999999999"/>
    <n v="98878.426920000013"/>
    <n v="49216.680000000008"/>
    <n v="0.50225057645971705"/>
    <s v="F. Müller"/>
    <n v="49661.746920000005"/>
    <s v="Q2-2024"/>
    <s v="06 2024"/>
    <d v="2024-06-01T00:00:00"/>
    <d v="2023-03-01T00:00:00"/>
    <x v="30"/>
  </r>
  <r>
    <s v="ORD-2024-868223"/>
    <d v="2024-03-03T00:00:00"/>
    <d v="2024-03-19T00:00:00"/>
    <s v="all good"/>
    <n v="16"/>
    <s v="Asia"/>
    <x v="4"/>
    <s v="Beijing"/>
    <s v="Consumer"/>
    <s v="Distributor"/>
    <x v="3"/>
    <x v="193"/>
    <n v="6"/>
    <n v="988.83"/>
    <n v="1206.04"/>
    <s v="medium"/>
    <n v="6.3E-2"/>
    <n v="6780.3568800000003"/>
    <n v="5932.9800000000005"/>
    <n v="0.124975262364066"/>
    <s v="G. Dubois"/>
    <n v="847.3768799999998"/>
    <s v="Q1-2024"/>
    <s v="03 2024"/>
    <d v="2024-03-01T00:00:00"/>
    <d v="2023-01-01T00:00:00"/>
    <x v="24"/>
  </r>
  <r>
    <s v="ORD-2024-170313"/>
    <d v="2024-12-27T00:00:00"/>
    <d v="2025-01-15T00:00:00"/>
    <s v="all good"/>
    <n v="19"/>
    <s v="Asia"/>
    <x v="6"/>
    <s v="Delhi"/>
    <s v="Non-Profit"/>
    <s v="Distributor"/>
    <x v="1"/>
    <x v="194"/>
    <n v="12"/>
    <n v="495.59"/>
    <n v="631.78"/>
    <s v="low"/>
    <n v="8.6999999999999994E-2"/>
    <n v="6921.7816800000001"/>
    <n v="5947.08"/>
    <n v="0.14081658813601899"/>
    <s v="G. Dubois"/>
    <n v="974.70168000000012"/>
    <s v="Q4-2024"/>
    <s v="12 2024"/>
    <d v="2024-12-01T00:00:00"/>
    <d v="2023-01-01T00:00:00"/>
    <x v="10"/>
  </r>
  <r>
    <s v="ORD-2025-944081"/>
    <d v="2025-03-25T00:00:00"/>
    <d v="2025-03-26T00:00:00"/>
    <s v="all good"/>
    <n v="1"/>
    <s v="Africa"/>
    <x v="16"/>
    <s v="Lagos"/>
    <s v="Education"/>
    <s v="Distributor"/>
    <x v="2"/>
    <x v="195"/>
    <n v="19"/>
    <n v="1450.43"/>
    <n v="1994.67"/>
    <s v="high"/>
    <n v="0.1"/>
    <n v="34108.857000000004"/>
    <n v="27558.170000000002"/>
    <n v="0.192052375135291"/>
    <s v="G. Dubois"/>
    <n v="6550.6870000000017"/>
    <s v="Q1-2025"/>
    <s v="03 2025"/>
    <d v="2025-03-01T00:00:00"/>
    <d v="2023-01-01T00:00:00"/>
    <x v="18"/>
  </r>
  <r>
    <s v="ORD-2023-780206"/>
    <d v="2023-01-19T00:00:00"/>
    <d v="2023-02-03T00:00:00"/>
    <s v="all good"/>
    <n v="15"/>
    <s v="Europe"/>
    <x v="1"/>
    <s v="London"/>
    <s v="Enterprise"/>
    <s v="Distributor"/>
    <x v="2"/>
    <x v="196"/>
    <n v="17"/>
    <n v="873.06"/>
    <n v="2101.5500000000002"/>
    <s v="high"/>
    <n v="6.6000000000000003E-2"/>
    <n v="33368.410900000003"/>
    <n v="14842.019999999999"/>
    <n v="0.55520746719167302"/>
    <s v="G. Dubois"/>
    <n v="18526.390900000006"/>
    <s v="Q1-2023"/>
    <s v="01 2023"/>
    <d v="2023-01-01T00:00:00"/>
    <d v="2023-01-01T00:00:00"/>
    <x v="19"/>
  </r>
  <r>
    <s v="ORD-2025-231184"/>
    <d v="2025-06-01T00:00:00"/>
    <d v="2025-06-06T00:00:00"/>
    <s v="all good"/>
    <n v="5"/>
    <s v="Europe"/>
    <x v="2"/>
    <s v="Paris"/>
    <s v="Consumer"/>
    <s v="Distributor"/>
    <x v="1"/>
    <x v="197"/>
    <n v="14"/>
    <n v="379.45"/>
    <n v="742.23"/>
    <s v="low"/>
    <n v="0.09"/>
    <n v="9456.0102000000006"/>
    <n v="5312.3"/>
    <n v="0.43820915083192302"/>
    <s v="G. Dubois"/>
    <n v="4143.7102000000004"/>
    <s v="Q2-2025"/>
    <s v="06 2025"/>
    <d v="2025-06-01T00:00:00"/>
    <d v="2023-02-01T00:00:00"/>
    <x v="0"/>
  </r>
  <r>
    <s v="ORD-2024-331408"/>
    <d v="2024-02-01T00:00:00"/>
    <d v="2024-02-01T00:00:00"/>
    <s v="all good"/>
    <n v="0"/>
    <s v="America"/>
    <x v="13"/>
    <s v="Austin"/>
    <s v="Consumer"/>
    <s v="Distributor"/>
    <x v="0"/>
    <x v="198"/>
    <n v="7"/>
    <n v="714.43"/>
    <n v="1595.52"/>
    <s v="medium"/>
    <n v="0.19400000000000001"/>
    <n v="9001.9238399999995"/>
    <n v="5001.0099999999993"/>
    <n v="0.44445097638151099"/>
    <s v="H. Kim"/>
    <n v="4000.9138400000002"/>
    <s v="Q1-2024"/>
    <s v="02 2024"/>
    <d v="2024-02-01T00:00:00"/>
    <d v="2023-02-01T00:00:00"/>
    <x v="4"/>
  </r>
  <r>
    <s v="ORD-2025-653781"/>
    <d v="2025-01-11T00:00:00"/>
    <d v="2025-01-23T00:00:00"/>
    <s v="all good"/>
    <n v="12"/>
    <s v="America"/>
    <x v="13"/>
    <s v="Austin"/>
    <s v="Consumer"/>
    <s v="Distributor"/>
    <x v="3"/>
    <x v="199"/>
    <n v="25"/>
    <n v="100.69"/>
    <n v="226.14"/>
    <s v="low"/>
    <n v="6.5000000000000002E-2"/>
    <n v="5286.0225"/>
    <n v="2517.25"/>
    <n v="0.523791281629997"/>
    <s v="H. Kim"/>
    <n v="2768.7725"/>
    <s v="Q1-2025"/>
    <s v="01 2025"/>
    <d v="2025-01-01T00:00:00"/>
    <d v="2023-02-01T00:00:00"/>
    <x v="10"/>
  </r>
  <r>
    <s v="ORD-2024-427031"/>
    <d v="2024-06-08T00:00:00"/>
    <d v="2024-06-24T00:00:00"/>
    <s v="all good"/>
    <n v="16"/>
    <s v="Africa"/>
    <x v="10"/>
    <s v="Durban"/>
    <s v="Education"/>
    <s v="Distributor"/>
    <x v="6"/>
    <x v="200"/>
    <n v="18"/>
    <n v="597.85"/>
    <n v="741.92"/>
    <s v="low"/>
    <n v="3.1E-2"/>
    <n v="12940.56864"/>
    <n v="10761.300000000001"/>
    <n v="0.16840594108544499"/>
    <s v="H. Kim"/>
    <n v="2179.2686399999984"/>
    <s v="Q2-2024"/>
    <s v="06 2024"/>
    <d v="2024-06-01T00:00:00"/>
    <d v="2023-02-01T00:00:00"/>
    <x v="25"/>
  </r>
  <r>
    <s v="ORD-2025-138578"/>
    <d v="2025-04-09T00:00:00"/>
    <d v="2025-04-12T00:00:00"/>
    <s v="all good"/>
    <n v="3"/>
    <s v="Europe"/>
    <x v="2"/>
    <s v="Lyon"/>
    <s v="Small Business"/>
    <s v="Distributor"/>
    <x v="6"/>
    <x v="201"/>
    <n v="10"/>
    <n v="86.68"/>
    <n v="213.32"/>
    <s v="low"/>
    <n v="3.7999999999999999E-2"/>
    <n v="2052.1383999999998"/>
    <n v="866.80000000000007"/>
    <n v="0.577611334596146"/>
    <s v="H. Kim"/>
    <n v="1185.3383999999996"/>
    <s v="Q2-2025"/>
    <s v="04 2025"/>
    <d v="2025-04-01T00:00:00"/>
    <d v="2023-02-01T00:00:00"/>
    <x v="18"/>
  </r>
  <r>
    <s v="ORD-2024-212990"/>
    <d v="2024-08-12T00:00:00"/>
    <d v="2024-09-03T00:00:00"/>
    <s v="all good"/>
    <n v="22"/>
    <s v="America"/>
    <x v="13"/>
    <s v="Austin"/>
    <s v="Consumer"/>
    <s v="Distributor"/>
    <x v="4"/>
    <x v="202"/>
    <n v="26"/>
    <n v="797.8"/>
    <n v="886.22"/>
    <s v="medium"/>
    <n v="0.23599999999999999"/>
    <n v="17603.874080000001"/>
    <n v="20742.8"/>
    <n v="-0.17830881462428599"/>
    <s v="I. Johnson"/>
    <n v="-3138.9259199999979"/>
    <s v="Q3-2024"/>
    <s v="08 2024"/>
    <d v="2024-08-01T00:00:00"/>
    <d v="2023-02-01T00:00:00"/>
    <x v="22"/>
  </r>
  <r>
    <s v="ORD-2023-868734"/>
    <d v="2023-04-06T00:00:00"/>
    <d v="2023-04-27T00:00:00"/>
    <s v="all good"/>
    <n v="21"/>
    <s v="Europe"/>
    <x v="1"/>
    <s v="Manchester"/>
    <s v="Enterprise"/>
    <s v="Distributor"/>
    <x v="0"/>
    <x v="203"/>
    <n v="41"/>
    <n v="1084.79"/>
    <n v="2484.9899999999998"/>
    <s v="high"/>
    <n v="3.4000000000000002E-2"/>
    <n v="98420.51393999999"/>
    <n v="44476.39"/>
    <n v="0.54809837685755103"/>
    <s v="I. Johnson"/>
    <n v="53944.12393999999"/>
    <s v="Q2-2023"/>
    <s v="04 2023"/>
    <d v="2023-04-01T00:00:00"/>
    <d v="2023-01-01T00:00:00"/>
    <x v="11"/>
  </r>
  <r>
    <s v="ORD-2023-276806"/>
    <d v="2023-03-04T00:00:00"/>
    <d v="2023-03-24T00:00:00"/>
    <s v="all good"/>
    <n v="20"/>
    <s v="America"/>
    <x v="3"/>
    <s v="Montreal"/>
    <s v="Consumer"/>
    <s v="Distributor"/>
    <x v="4"/>
    <x v="204"/>
    <n v="12"/>
    <n v="481.71"/>
    <n v="912.45"/>
    <s v="medium"/>
    <n v="0.20300000000000001"/>
    <n v="8726.6718000000001"/>
    <n v="5780.5199999999995"/>
    <n v="0.337603139836197"/>
    <s v="I. Johnson"/>
    <n v="2946.1518000000005"/>
    <s v="Q1-2023"/>
    <s v="03 2023"/>
    <d v="2023-03-01T00:00:00"/>
    <d v="2023-02-01T00:00:00"/>
    <x v="17"/>
  </r>
  <r>
    <s v="ORD-2023-240507"/>
    <d v="2023-03-25T00:00:00"/>
    <d v="2023-03-26T00:00:00"/>
    <s v="all good"/>
    <n v="1"/>
    <s v="Asia"/>
    <x v="7"/>
    <s v="Osaka"/>
    <s v="Small Business"/>
    <s v="Distributor"/>
    <x v="6"/>
    <x v="205"/>
    <n v="11"/>
    <n v="135.12"/>
    <n v="301.7"/>
    <s v="low"/>
    <n v="0.14000000000000001"/>
    <n v="2854.0819999999999"/>
    <n v="1486.3200000000002"/>
    <n v="0.47923009920527898"/>
    <s v="I. Johnson"/>
    <n v="1367.7619999999997"/>
    <s v="Q1-2023"/>
    <s v="03 2023"/>
    <d v="2023-03-01T00:00:00"/>
    <d v="2023-03-01T00:00:00"/>
    <x v="19"/>
  </r>
  <r>
    <s v="ORD-2023-660608"/>
    <d v="2023-07-25T00:00:00"/>
    <d v="2023-08-10T00:00:00"/>
    <s v="all good"/>
    <n v="16"/>
    <s v="Africa"/>
    <x v="11"/>
    <s v="Harcourt"/>
    <s v="Corporate"/>
    <s v="Distributor"/>
    <x v="2"/>
    <x v="206"/>
    <n v="37"/>
    <n v="506.83"/>
    <n v="441.74"/>
    <s v="low"/>
    <n v="0.24"/>
    <n v="12421.728800000001"/>
    <n v="18752.71"/>
    <n v="-0.50966989393618001"/>
    <s v="I. Johnson"/>
    <n v="-6330.9811999999984"/>
    <s v="Q3-2023"/>
    <s v="07 2023"/>
    <d v="2023-07-01T00:00:00"/>
    <d v="2023-05-01T00:00:00"/>
    <x v="1"/>
  </r>
  <r>
    <s v="ORD-2024-732543"/>
    <d v="2024-10-24T00:00:00"/>
    <d v="2024-10-28T00:00:00"/>
    <s v="all good"/>
    <n v="4"/>
    <s v="Asia"/>
    <x v="4"/>
    <s v="Shanghai"/>
    <s v="Small Business"/>
    <s v="Distributor"/>
    <x v="5"/>
    <x v="207"/>
    <n v="13"/>
    <n v="1331.77"/>
    <n v="2606.11"/>
    <s v="high"/>
    <n v="0.02"/>
    <n v="33201.841399999998"/>
    <n v="17313.009999999998"/>
    <n v="0.47855271665745602"/>
    <s v="I. Johnson"/>
    <n v="15888.831399999999"/>
    <s v="Q4-2024"/>
    <s v="10 2024"/>
    <d v="2024-10-01T00:00:00"/>
    <d v="2023-01-01T00:00:00"/>
    <x v="6"/>
  </r>
  <r>
    <s v="ORD-2025-956101"/>
    <d v="2025-07-09T00:00:00"/>
    <d v="2025-07-18T00:00:00"/>
    <s v="all good"/>
    <n v="9"/>
    <s v="America"/>
    <x v="3"/>
    <s v="Vancouver"/>
    <s v="Education"/>
    <s v="Distributor"/>
    <x v="4"/>
    <x v="208"/>
    <n v="11"/>
    <n v="57.96"/>
    <n v="88.51"/>
    <s v="low"/>
    <n v="4.2999999999999997E-2"/>
    <n v="931.74477000000002"/>
    <n v="637.56000000000006"/>
    <n v="0.31573535958779803"/>
    <s v="I. Johnson"/>
    <n v="294.18476999999996"/>
    <s v="Q3-2025"/>
    <s v="07 2025"/>
    <d v="2025-07-01T00:00:00"/>
    <d v="2023-02-01T00:00:00"/>
    <x v="3"/>
  </r>
  <r>
    <s v="ORD-2023-659070"/>
    <d v="2023-10-21T00:00:00"/>
    <d v="2023-10-21T00:00:00"/>
    <s v="all good"/>
    <n v="0"/>
    <s v="Europe"/>
    <x v="1"/>
    <s v="Manchester"/>
    <s v="Enterprise"/>
    <s v="Distributor"/>
    <x v="6"/>
    <x v="209"/>
    <n v="10"/>
    <n v="384.19"/>
    <n v="278.35000000000002"/>
    <s v="low"/>
    <n v="5.6000000000000001E-2"/>
    <n v="2627.6239999999998"/>
    <n v="3841.9"/>
    <n v="-0.46211938998882701"/>
    <s v="J. Njeri"/>
    <n v="-1214.2760000000003"/>
    <s v="Q4-2023"/>
    <s v="10 2023"/>
    <d v="2023-10-01T00:00:00"/>
    <d v="2023-01-01T00:00:00"/>
    <x v="2"/>
  </r>
  <r>
    <s v="ORD-2024-942981"/>
    <d v="2024-10-09T00:00:00"/>
    <d v="2024-11-08T00:00:00"/>
    <s v="all good"/>
    <n v="30"/>
    <s v="Europe"/>
    <x v="1"/>
    <s v="Manchester"/>
    <s v="Small Business"/>
    <s v="Distributor"/>
    <x v="1"/>
    <x v="210"/>
    <n v="9"/>
    <n v="343.85"/>
    <n v="538.04"/>
    <s v="low"/>
    <n v="0.13900000000000001"/>
    <n v="4169.27196"/>
    <n v="3094.65"/>
    <n v="0.25774810813732602"/>
    <s v="J. Njeri"/>
    <n v="1074.6219599999999"/>
    <s v="Q4-2024"/>
    <s v="10 2024"/>
    <d v="2024-10-01T00:00:00"/>
    <d v="2023-01-01T00:00:00"/>
    <x v="6"/>
  </r>
  <r>
    <s v="ORD-2025-244832"/>
    <d v="2025-09-11T00:00:00"/>
    <d v="2025-09-28T00:00:00"/>
    <s v="all good"/>
    <n v="17"/>
    <s v="Africa"/>
    <x v="8"/>
    <s v="Nairobi"/>
    <s v="Non-Profit"/>
    <s v="Distributor"/>
    <x v="4"/>
    <x v="211"/>
    <n v="15"/>
    <n v="891.46"/>
    <n v="728.61"/>
    <s v="low"/>
    <n v="0.185"/>
    <n v="8907.2572499999987"/>
    <n v="13371.900000000001"/>
    <n v="-0.501236533838742"/>
    <s v="J. Njeri"/>
    <n v="-4464.6427500000027"/>
    <s v="Q3-2025"/>
    <s v="09 2025"/>
    <d v="2025-09-01T00:00:00"/>
    <d v="2023-01-01T00:00:00"/>
    <x v="32"/>
  </r>
  <r>
    <s v="ORD-2023-195665"/>
    <d v="2023-12-19T00:00:00"/>
    <d v="2023-12-20T00:00:00"/>
    <s v="all good"/>
    <n v="1"/>
    <s v="America"/>
    <x v="15"/>
    <s v="Janeiro"/>
    <s v="Consumer"/>
    <s v="Distributor"/>
    <x v="3"/>
    <x v="212"/>
    <n v="6"/>
    <n v="1080.43"/>
    <n v="2529.15"/>
    <s v="high"/>
    <n v="0.14699999999999999"/>
    <n v="12944.189700000001"/>
    <n v="6482.58"/>
    <n v="0.49918997247081398"/>
    <s v="J. Njeri"/>
    <n v="6461.6097000000009"/>
    <s v="Q4-2023"/>
    <s v="12 2023"/>
    <d v="2023-12-01T00:00:00"/>
    <d v="2023-04-01T00:00:00"/>
    <x v="5"/>
  </r>
  <r>
    <s v="ORD-2024-225829"/>
    <d v="2024-11-07T00:00:00"/>
    <d v="2024-11-26T00:00:00"/>
    <s v="all good"/>
    <n v="19"/>
    <s v="America"/>
    <x v="15"/>
    <s v="Janeiro"/>
    <s v="Non-Profit"/>
    <s v="Distributor"/>
    <x v="0"/>
    <x v="213"/>
    <n v="9"/>
    <n v="55.35"/>
    <n v="128.68"/>
    <s v="low"/>
    <n v="0.128"/>
    <n v="1009.8806400000001"/>
    <n v="498.15000000000003"/>
    <n v="0.50672388372550603"/>
    <s v="J. Njeri"/>
    <n v="511.73064000000005"/>
    <s v="Q4-2024"/>
    <s v="11 2024"/>
    <d v="2024-11-01T00:00:00"/>
    <d v="2023-04-01T00:00:00"/>
    <x v="8"/>
  </r>
  <r>
    <s v="ORD-2023-925146"/>
    <d v="2023-10-15T00:00:00"/>
    <d v="2023-11-13T00:00:00"/>
    <s v="all good"/>
    <n v="29"/>
    <s v="Asia"/>
    <x v="4"/>
    <s v="Shenzhen"/>
    <s v="Non-Profit"/>
    <s v="Distributor"/>
    <x v="0"/>
    <x v="214"/>
    <n v="12"/>
    <n v="986.44"/>
    <n v="790.61"/>
    <s v="low"/>
    <n v="7.1999999999999995E-2"/>
    <n v="8804.2329599999994"/>
    <n v="11837.28"/>
    <n v="-0.34449872621271499"/>
    <s v="J. Njeri"/>
    <n v="-3033.0470400000013"/>
    <s v="Q4-2023"/>
    <s v="10 2023"/>
    <d v="2023-10-01T00:00:00"/>
    <d v="2023-01-01T00:00:00"/>
    <x v="2"/>
  </r>
  <r>
    <s v="ORD-2023-744942"/>
    <d v="2023-02-23T00:00:00"/>
    <d v="2023-03-18T00:00:00"/>
    <s v="all good"/>
    <n v="23"/>
    <s v="Asia"/>
    <x v="4"/>
    <s v="Beijing"/>
    <s v="Education"/>
    <s v="Distributor"/>
    <x v="0"/>
    <x v="215"/>
    <n v="60"/>
    <n v="770.11"/>
    <n v="1667.82"/>
    <s v="high"/>
    <n v="6.9000000000000006E-2"/>
    <n v="93164.425199999998"/>
    <n v="46206.6"/>
    <n v="0.50403171703355298"/>
    <s v="K. Singh"/>
    <n v="46957.825199999999"/>
    <s v="Q1-2023"/>
    <s v="02 2023"/>
    <d v="2023-02-01T00:00:00"/>
    <d v="2023-01-01T00:00:00"/>
    <x v="17"/>
  </r>
  <r>
    <s v="ORD-2025-512310"/>
    <d v="2025-03-08T00:00:00"/>
    <d v="2025-03-15T00:00:00"/>
    <s v="all good"/>
    <n v="7"/>
    <s v="Asia"/>
    <x v="6"/>
    <s v="Bengaluru"/>
    <s v="Corporate"/>
    <s v="Distributor"/>
    <x v="4"/>
    <x v="216"/>
    <n v="7"/>
    <n v="475.66"/>
    <n v="529.14"/>
    <s v="low"/>
    <n v="0.19600000000000001"/>
    <n v="2977.9999200000002"/>
    <n v="3329.6200000000003"/>
    <n v="-0.118072561936133"/>
    <s v="K. Singh"/>
    <n v="-351.62008000000014"/>
    <s v="Q1-2025"/>
    <s v="03 2025"/>
    <d v="2025-03-01T00:00:00"/>
    <d v="2023-01-01T00:00:00"/>
    <x v="18"/>
  </r>
  <r>
    <s v="ORD-2023-946143"/>
    <d v="2023-03-14T00:00:00"/>
    <d v="2023-03-30T00:00:00"/>
    <s v="all good"/>
    <n v="16"/>
    <s v="Africa"/>
    <x v="14"/>
    <s v="Town"/>
    <s v="Consumer"/>
    <s v="Distributor"/>
    <x v="1"/>
    <x v="217"/>
    <n v="8"/>
    <n v="1309.77"/>
    <n v="1589.07"/>
    <s v="medium"/>
    <n v="0.10199999999999999"/>
    <n v="11415.87888"/>
    <n v="10478.16"/>
    <n v="8.2141628328137997E-2"/>
    <s v="K. Singh"/>
    <n v="937.71888000000035"/>
    <s v="Q1-2023"/>
    <s v="03 2023"/>
    <d v="2023-03-01T00:00:00"/>
    <d v="2023-01-01T00:00:00"/>
    <x v="1"/>
  </r>
  <r>
    <s v="ORD-2023-144816"/>
    <d v="2023-05-07T00:00:00"/>
    <d v="2023-05-29T00:00:00"/>
    <s v="all good"/>
    <n v="22"/>
    <s v="Africa"/>
    <x v="10"/>
    <s v="Durban"/>
    <s v="Education"/>
    <s v="Distributor"/>
    <x v="2"/>
    <x v="218"/>
    <n v="13"/>
    <n v="653.86"/>
    <n v="931.84"/>
    <s v="medium"/>
    <n v="0.121"/>
    <n v="10648.135679999999"/>
    <n v="8500.18"/>
    <n v="0.201721291365063"/>
    <s v="K. Singh"/>
    <n v="2147.9556799999991"/>
    <s v="Q2-2023"/>
    <s v="05 2023"/>
    <d v="2023-05-01T00:00:00"/>
    <d v="2023-02-01T00:00:00"/>
    <x v="11"/>
  </r>
  <r>
    <s v="ORD-2025-246470"/>
    <d v="2025-04-16T00:00:00"/>
    <d v="2025-05-16T00:00:00"/>
    <s v="all good"/>
    <n v="30"/>
    <s v="America"/>
    <x v="3"/>
    <s v="Montreal"/>
    <s v="Enterprise"/>
    <s v="Distributor"/>
    <x v="0"/>
    <x v="219"/>
    <n v="41"/>
    <n v="763.32"/>
    <n v="568.29"/>
    <s v="low"/>
    <n v="0.13100000000000001"/>
    <n v="20247.60441"/>
    <n v="31296.120000000003"/>
    <n v="-0.54567026134426599"/>
    <s v="K. Singh"/>
    <n v="-11048.515590000003"/>
    <s v="Q2-2025"/>
    <s v="04 2025"/>
    <d v="2025-04-01T00:00:00"/>
    <d v="2023-02-01T00:00:00"/>
    <x v="18"/>
  </r>
  <r>
    <s v="ORD-2024-243988"/>
    <d v="2024-03-13T00:00:00"/>
    <d v="2024-04-06T00:00:00"/>
    <s v="all good"/>
    <n v="24"/>
    <s v="Africa"/>
    <x v="16"/>
    <s v="Abuja"/>
    <s v="Consumer"/>
    <s v="Distributor"/>
    <x v="1"/>
    <x v="220"/>
    <n v="11"/>
    <n v="1232.78"/>
    <n v="1731.75"/>
    <s v="high"/>
    <n v="9.2999999999999999E-2"/>
    <n v="17277.669750000001"/>
    <n v="13560.58"/>
    <n v="0.21513837246483999"/>
    <s v="L. Okafor"/>
    <n v="3717.089750000001"/>
    <s v="Q1-2024"/>
    <s v="03 2024"/>
    <d v="2024-03-01T00:00:00"/>
    <d v="2023-01-01T00:00:00"/>
    <x v="24"/>
  </r>
  <r>
    <s v="ORD-2024-527858"/>
    <d v="2024-05-07T00:00:00"/>
    <d v="2024-05-12T00:00:00"/>
    <s v="all good"/>
    <n v="5"/>
    <s v="Africa"/>
    <x v="16"/>
    <s v="Abuja"/>
    <s v="Non-Profit"/>
    <s v="Distributor"/>
    <x v="4"/>
    <x v="221"/>
    <n v="5"/>
    <n v="1163.99"/>
    <n v="1617.85"/>
    <s v="medium"/>
    <n v="0.127"/>
    <n v="7061.91525"/>
    <n v="5819.95"/>
    <n v="0.175868047977495"/>
    <s v="L. Okafor"/>
    <n v="1241.9652500000002"/>
    <s v="Q2-2024"/>
    <s v="05 2024"/>
    <d v="2024-05-01T00:00:00"/>
    <d v="2023-01-01T00:00:00"/>
    <x v="25"/>
  </r>
  <r>
    <s v="ORD-2023-855675"/>
    <d v="2023-02-05T00:00:00"/>
    <d v="2023-02-28T00:00:00"/>
    <s v="all good"/>
    <n v="23"/>
    <s v="America"/>
    <x v="13"/>
    <s v="Austin"/>
    <s v="Non-Profit"/>
    <s v="Distributor"/>
    <x v="3"/>
    <x v="222"/>
    <n v="10"/>
    <n v="1214.49"/>
    <n v="1533.95"/>
    <s v="medium"/>
    <n v="0"/>
    <n v="15339.5"/>
    <n v="12144.9"/>
    <n v="0.208259721633691"/>
    <s v="L. Okafor"/>
    <n v="3194.6000000000004"/>
    <s v="Q1-2023"/>
    <s v="02 2023"/>
    <d v="2023-02-01T00:00:00"/>
    <d v="2023-02-01T00:00:00"/>
    <x v="19"/>
  </r>
  <r>
    <s v="ORD-2024-232632"/>
    <d v="2024-02-14T00:00:00"/>
    <d v="2024-02-14T00:00:00"/>
    <s v="all good"/>
    <n v="0"/>
    <s v="Asia"/>
    <x v="4"/>
    <s v="Beijing"/>
    <s v="Corporate"/>
    <s v="Distributor"/>
    <x v="2"/>
    <x v="223"/>
    <n v="24"/>
    <n v="65.930000000000007"/>
    <n v="84.9"/>
    <s v="low"/>
    <n v="0.25900000000000001"/>
    <n v="1509.8616000000002"/>
    <n v="1582.3200000000002"/>
    <n v="-4.7990093926489702E-2"/>
    <s v="L. Okafor"/>
    <n v="-72.458399999999983"/>
    <s v="Q1-2024"/>
    <s v="02 2024"/>
    <d v="2024-02-01T00:00:00"/>
    <d v="2023-01-01T00:00:00"/>
    <x v="23"/>
  </r>
  <r>
    <s v="ORD-2023-406606"/>
    <d v="2023-10-25T00:00:00"/>
    <d v="2023-10-28T00:00:00"/>
    <s v="all good"/>
    <n v="3"/>
    <s v="America"/>
    <x v="5"/>
    <s v="Brasília"/>
    <s v="Corporate"/>
    <s v="Distributor"/>
    <x v="2"/>
    <x v="224"/>
    <n v="15"/>
    <n v="509.31"/>
    <n v="1145.9000000000001"/>
    <s v="medium"/>
    <n v="5.7000000000000002E-2"/>
    <n v="16208.755499999999"/>
    <n v="7639.65"/>
    <n v="0.52867140231709997"/>
    <s v="L. Okafor"/>
    <n v="8569.1054999999997"/>
    <s v="Q4-2023"/>
    <s v="10 2023"/>
    <d v="2023-10-01T00:00:00"/>
    <d v="2023-01-01T00:00:00"/>
    <x v="2"/>
  </r>
  <r>
    <s v="ORD-2024-892173"/>
    <d v="2024-01-18T00:00:00"/>
    <d v="2024-02-03T00:00:00"/>
    <s v="all good"/>
    <n v="16"/>
    <s v="Africa"/>
    <x v="14"/>
    <s v="Town"/>
    <s v="Non-Profit"/>
    <s v="Distributor"/>
    <x v="0"/>
    <x v="225"/>
    <n v="10"/>
    <n v="666.23"/>
    <n v="1382.91"/>
    <s v="medium"/>
    <n v="0.17599999999999999"/>
    <n v="11395.178400000001"/>
    <n v="6662.3"/>
    <n v="0.41534043907552998"/>
    <s v="L. Okafor"/>
    <n v="4732.8784000000005"/>
    <s v="Q1-2024"/>
    <s v="01 2024"/>
    <d v="2024-01-01T00:00:00"/>
    <d v="2023-01-01T00:00:00"/>
    <x v="4"/>
  </r>
  <r>
    <s v="ORD-2024-353078"/>
    <d v="2024-08-16T00:00:00"/>
    <d v="2024-08-26T00:00:00"/>
    <s v="all good"/>
    <n v="10"/>
    <s v="America"/>
    <x v="13"/>
    <s v="Chicago"/>
    <s v="Corporate"/>
    <s v="Distributor"/>
    <x v="4"/>
    <x v="226"/>
    <n v="13"/>
    <n v="1291.7"/>
    <n v="2657.84"/>
    <s v="high"/>
    <n v="8.6999999999999994E-2"/>
    <n v="31545.902959999999"/>
    <n v="16792.100000000002"/>
    <n v="0.46769315745083401"/>
    <s v="L. Okafor"/>
    <n v="14753.802959999997"/>
    <s v="Q3-2024"/>
    <s v="08 2024"/>
    <d v="2024-08-01T00:00:00"/>
    <d v="2023-04-01T00:00:00"/>
    <x v="25"/>
  </r>
  <r>
    <s v="ORD-2024-964950"/>
    <d v="2024-10-10T00:00:00"/>
    <d v="2024-10-11T00:00:00"/>
    <s v="all good"/>
    <n v="1"/>
    <s v="Europe"/>
    <x v="1"/>
    <s v="Manchester"/>
    <s v="Non-Profit"/>
    <s v="Distributor"/>
    <x v="1"/>
    <x v="227"/>
    <n v="4"/>
    <n v="1389.46"/>
    <n v="1784.7"/>
    <s v="high"/>
    <n v="0.14599999999999999"/>
    <n v="6096.5352000000003"/>
    <n v="5557.84"/>
    <n v="8.83608775030119E-2"/>
    <s v="L. Okafor"/>
    <n v="538.69520000000011"/>
    <s v="Q4-2024"/>
    <s v="10 2024"/>
    <d v="2024-10-01T00:00:00"/>
    <d v="2023-01-01T00:00:00"/>
    <x v="6"/>
  </r>
  <r>
    <s v="ORD-2025-898843"/>
    <d v="2025-02-02T00:00:00"/>
    <d v="2025-03-04T00:00:00"/>
    <s v="all good"/>
    <n v="30"/>
    <s v="Asia"/>
    <x v="7"/>
    <s v="Osaka"/>
    <s v="Education"/>
    <s v="Distributor"/>
    <x v="2"/>
    <x v="228"/>
    <n v="13"/>
    <n v="766.59"/>
    <n v="1912.8"/>
    <s v="high"/>
    <n v="0.19600000000000001"/>
    <n v="19992.585599999999"/>
    <n v="9965.67"/>
    <n v="0.501531707834728"/>
    <s v="L. Okafor"/>
    <n v="10026.915599999998"/>
    <s v="Q1-2025"/>
    <s v="02 2025"/>
    <d v="2025-02-01T00:00:00"/>
    <d v="2023-03-01T00:00:00"/>
    <x v="10"/>
  </r>
  <r>
    <s v="ORD-2025-246692"/>
    <d v="2025-04-17T00:00:00"/>
    <d v="2025-04-17T00:00:00"/>
    <s v="all good"/>
    <n v="0"/>
    <s v="America"/>
    <x v="9"/>
    <s v="Paulo"/>
    <s v="Corporate"/>
    <s v="Distributor"/>
    <x v="3"/>
    <x v="229"/>
    <n v="10"/>
    <n v="719.41"/>
    <n v="1125.99"/>
    <s v="medium"/>
    <n v="4.1000000000000002E-2"/>
    <n v="10798.2441"/>
    <n v="7194.0999999999995"/>
    <n v="0.33377131194876403"/>
    <s v="L. Okafor"/>
    <n v="3604.1441000000004"/>
    <s v="Q2-2025"/>
    <s v="04 2025"/>
    <d v="2025-04-01T00:00:00"/>
    <d v="2023-02-01T00:00:00"/>
    <x v="18"/>
  </r>
  <r>
    <s v="ORD-2025-415018"/>
    <d v="2025-01-22T00:00:00"/>
    <d v="2025-02-04T00:00:00"/>
    <s v="all good"/>
    <n v="13"/>
    <s v="Asia"/>
    <x v="7"/>
    <s v="Tokyo"/>
    <s v="Small Business"/>
    <s v="Distributor"/>
    <x v="0"/>
    <x v="230"/>
    <n v="16"/>
    <n v="122.29"/>
    <n v="224.95"/>
    <s v="low"/>
    <n v="0.153"/>
    <n v="3048.5223999999998"/>
    <n v="1956.64"/>
    <n v="0.35816774710266203"/>
    <s v="L. Okafor"/>
    <n v="1091.8823999999997"/>
    <s v="Q1-2025"/>
    <s v="01 2025"/>
    <d v="2025-01-01T00:00:00"/>
    <d v="2023-03-01T00:00:00"/>
    <x v="28"/>
  </r>
  <r>
    <s v="ORD-2024-389102"/>
    <d v="2024-06-15T00:00:00"/>
    <d v="2024-07-06T00:00:00"/>
    <s v="all good"/>
    <n v="21"/>
    <s v="America"/>
    <x v="3"/>
    <s v="Toronto"/>
    <s v="Enterprise"/>
    <s v="Distributor"/>
    <x v="0"/>
    <x v="231"/>
    <n v="7"/>
    <n v="817.23"/>
    <n v="1467.17"/>
    <s v="medium"/>
    <n v="0.245"/>
    <n v="7753.9934500000008"/>
    <n v="5720.6100000000006"/>
    <n v="0.26223693160328898"/>
    <s v="L. Okafor"/>
    <n v="2033.3834500000003"/>
    <s v="Q2-2024"/>
    <s v="06 2024"/>
    <d v="2024-06-01T00:00:00"/>
    <d v="2023-02-01T00:00:00"/>
    <x v="25"/>
  </r>
  <r>
    <s v="ORD-2023-184577"/>
    <d v="2023-05-17T00:00:00"/>
    <d v="2023-06-03T00:00:00"/>
    <s v="all good"/>
    <n v="17"/>
    <s v="Asia"/>
    <x v="4"/>
    <s v="Beijing"/>
    <s v="Non-Profit"/>
    <s v="Distributor"/>
    <x v="0"/>
    <x v="232"/>
    <n v="10"/>
    <n v="979.59"/>
    <n v="2210.94"/>
    <s v="high"/>
    <n v="0.15"/>
    <n v="18792.990000000002"/>
    <n v="9795.9"/>
    <n v="0.47874712858358398"/>
    <s v="M. Rossi"/>
    <n v="8997.090000000002"/>
    <s v="Q2-2023"/>
    <s v="05 2023"/>
    <d v="2023-05-01T00:00:00"/>
    <d v="2023-01-01T00:00:00"/>
    <x v="29"/>
  </r>
  <r>
    <s v="ORD-2023-848013"/>
    <d v="2023-02-20T00:00:00"/>
    <d v="2023-03-04T00:00:00"/>
    <s v="all good"/>
    <n v="12"/>
    <s v="Asia"/>
    <x v="6"/>
    <s v="Delhi"/>
    <s v="Consumer"/>
    <s v="Distributor"/>
    <x v="6"/>
    <x v="233"/>
    <n v="16"/>
    <n v="299.75"/>
    <n v="523.01"/>
    <s v="low"/>
    <n v="0.157"/>
    <n v="7054.3588799999998"/>
    <n v="4796"/>
    <n v="0.32013665854210099"/>
    <s v="M. Rossi"/>
    <n v="2258.3588799999998"/>
    <s v="Q1-2023"/>
    <s v="02 2023"/>
    <d v="2023-02-01T00:00:00"/>
    <d v="2023-01-01T00:00:00"/>
    <x v="17"/>
  </r>
  <r>
    <s v="ORD-2025-526752"/>
    <d v="2025-06-09T00:00:00"/>
    <d v="2025-06-25T00:00:00"/>
    <s v="all good"/>
    <n v="16"/>
    <s v="Asia"/>
    <x v="6"/>
    <s v="Hyderabad"/>
    <s v="Enterprise"/>
    <s v="Distributor"/>
    <x v="3"/>
    <x v="234"/>
    <n v="10"/>
    <n v="527.33000000000004"/>
    <n v="911.72"/>
    <s v="medium"/>
    <n v="0.14399999999999999"/>
    <n v="7804.3232000000007"/>
    <n v="5273.3"/>
    <n v="0.32431040272653"/>
    <s v="M. Rossi"/>
    <n v="2531.0232000000005"/>
    <s v="Q2-2025"/>
    <s v="06 2025"/>
    <d v="2025-06-01T00:00:00"/>
    <d v="2023-01-01T00:00:00"/>
    <x v="3"/>
  </r>
  <r>
    <s v="ORD-2024-419248"/>
    <d v="2024-03-04T00:00:00"/>
    <d v="2024-03-16T00:00:00"/>
    <s v="all good"/>
    <n v="12"/>
    <s v="Africa"/>
    <x v="10"/>
    <s v="Johannesburg"/>
    <s v="Enterprise"/>
    <s v="Distributor"/>
    <x v="6"/>
    <x v="235"/>
    <n v="13"/>
    <n v="441.08"/>
    <n v="1054.29"/>
    <s v="medium"/>
    <n v="0.23699999999999999"/>
    <n v="10457.50251"/>
    <n v="5734.04"/>
    <n v="0.45168169985932899"/>
    <s v="M. Rossi"/>
    <n v="4723.4625100000003"/>
    <s v="Q1-2024"/>
    <s v="03 2024"/>
    <d v="2024-03-01T00:00:00"/>
    <d v="2023-02-01T00:00:00"/>
    <x v="23"/>
  </r>
  <r>
    <s v="ORD-2023-261081"/>
    <d v="2023-07-24T00:00:00"/>
    <d v="2023-08-19T00:00:00"/>
    <s v="all good"/>
    <n v="26"/>
    <s v="Africa"/>
    <x v="8"/>
    <s v="Nairobi"/>
    <s v="Enterprise"/>
    <s v="Distributor"/>
    <x v="2"/>
    <x v="236"/>
    <n v="24"/>
    <n v="661.45"/>
    <n v="1634.86"/>
    <s v="medium"/>
    <n v="0.56499999999999995"/>
    <n v="17067.938400000003"/>
    <n v="15874.800000000001"/>
    <n v="6.9905244092045807E-2"/>
    <s v="M. Rossi"/>
    <n v="1193.1384000000016"/>
    <s v="Q3-2023"/>
    <s v="07 2023"/>
    <d v="2023-07-01T00:00:00"/>
    <d v="2023-01-01T00:00:00"/>
    <x v="7"/>
  </r>
  <r>
    <s v="ORD-2024-333192"/>
    <d v="2024-10-29T00:00:00"/>
    <d v="2024-11-04T00:00:00"/>
    <s v="all good"/>
    <n v="6"/>
    <s v="Africa"/>
    <x v="8"/>
    <s v="Nairobi"/>
    <s v="Corporate"/>
    <s v="Distributor"/>
    <x v="0"/>
    <x v="237"/>
    <n v="61"/>
    <n v="805.81"/>
    <n v="1823.04"/>
    <s v="high"/>
    <n v="0"/>
    <n v="111205.44"/>
    <n v="49154.409999999996"/>
    <n v="0.55798556257679499"/>
    <s v="M. Rossi"/>
    <n v="62051.030000000006"/>
    <s v="Q4-2024"/>
    <s v="10 2024"/>
    <d v="2024-10-01T00:00:00"/>
    <d v="2023-01-01T00:00:00"/>
    <x v="6"/>
  </r>
  <r>
    <s v="ORD-2024-640340"/>
    <d v="2024-10-22T00:00:00"/>
    <d v="2024-10-29T00:00:00"/>
    <s v="all good"/>
    <n v="7"/>
    <s v="Africa"/>
    <x v="11"/>
    <s v="Harcourt"/>
    <s v="Enterprise"/>
    <s v="Distributor"/>
    <x v="6"/>
    <x v="238"/>
    <n v="10"/>
    <n v="1023.06"/>
    <n v="1355.61"/>
    <s v="medium"/>
    <n v="0.153"/>
    <n v="11482.016699999998"/>
    <n v="10230.599999999999"/>
    <n v="0.10898927711888801"/>
    <s v="M. Rossi"/>
    <n v="1251.4166999999998"/>
    <s v="Q4-2024"/>
    <s v="10 2024"/>
    <d v="2024-10-01T00:00:00"/>
    <d v="2023-05-01T00:00:00"/>
    <x v="26"/>
  </r>
  <r>
    <s v="ORD-2023-747341"/>
    <d v="2023-04-19T00:00:00"/>
    <d v="2023-04-28T00:00:00"/>
    <s v="all good"/>
    <n v="9"/>
    <s v="America"/>
    <x v="15"/>
    <s v="Janeiro"/>
    <s v="Corporate"/>
    <s v="Distributor"/>
    <x v="3"/>
    <x v="239"/>
    <n v="17"/>
    <n v="1013.54"/>
    <n v="927.93"/>
    <s v="medium"/>
    <n v="0.17499999999999999"/>
    <n v="13014.218249999998"/>
    <n v="17230.18"/>
    <n v="-0.32395044166406201"/>
    <s v="M. Rossi"/>
    <n v="-4215.9617500000022"/>
    <s v="Q2-2023"/>
    <s v="04 2023"/>
    <d v="2023-04-01T00:00:00"/>
    <d v="2023-04-01T00:00:00"/>
    <x v="19"/>
  </r>
  <r>
    <s v="ORD-2025-898022"/>
    <d v="2025-09-02T00:00:00"/>
    <d v="2025-09-11T00:00:00"/>
    <s v="all good"/>
    <n v="9"/>
    <s v="America"/>
    <x v="3"/>
    <s v="Toronto"/>
    <s v="Corporate"/>
    <s v="Distributor"/>
    <x v="0"/>
    <x v="240"/>
    <n v="8"/>
    <n v="1207.6300000000001"/>
    <n v="921.68"/>
    <s v="medium"/>
    <n v="0.19600000000000001"/>
    <n v="5928.2457599999998"/>
    <n v="9661.0400000000009"/>
    <n v="-0.62966253274897999"/>
    <s v="M. Rossi"/>
    <n v="-3732.7942400000011"/>
    <s v="Q3-2025"/>
    <s v="09 2025"/>
    <d v="2025-09-01T00:00:00"/>
    <d v="2023-02-01T00:00:00"/>
    <x v="13"/>
  </r>
  <r>
    <s v="ORD-2025-908258"/>
    <d v="2025-06-21T00:00:00"/>
    <d v="2025-06-27T00:00:00"/>
    <s v="all good"/>
    <n v="6"/>
    <s v="Africa"/>
    <x v="10"/>
    <s v="Durban"/>
    <s v="Enterprise"/>
    <s v="Distributor"/>
    <x v="3"/>
    <x v="241"/>
    <n v="8"/>
    <n v="93.91"/>
    <n v="99.04"/>
    <s v="low"/>
    <n v="5.7000000000000002E-2"/>
    <n v="747.15776000000005"/>
    <n v="751.28"/>
    <n v="-5.5172283829320297E-3"/>
    <s v="N. Brown"/>
    <n v="-4.1222399999999197"/>
    <s v="Q2-2025"/>
    <s v="06 2025"/>
    <d v="2025-06-01T00:00:00"/>
    <d v="2023-02-01T00:00:00"/>
    <x v="0"/>
  </r>
  <r>
    <s v="ORD-2023-453699"/>
    <d v="2023-07-01T00:00:00"/>
    <d v="2023-07-08T00:00:00"/>
    <s v="all good"/>
    <n v="7"/>
    <s v="Europe"/>
    <x v="0"/>
    <s v="Frankfurt"/>
    <s v="Small Business"/>
    <s v="Distributor"/>
    <x v="4"/>
    <x v="242"/>
    <n v="22"/>
    <n v="460.21"/>
    <n v="1139.1500000000001"/>
    <s v="medium"/>
    <n v="0.115"/>
    <n v="22179.250500000002"/>
    <n v="10124.619999999999"/>
    <n v="0.54350937151821299"/>
    <s v="N. Brown"/>
    <n v="12054.630500000003"/>
    <s v="Q3-2023"/>
    <s v="07 2023"/>
    <d v="2023-07-01T00:00:00"/>
    <d v="2023-01-01T00:00:00"/>
    <x v="7"/>
  </r>
  <r>
    <s v="ORD-2025-635337"/>
    <d v="2025-08-05T00:00:00"/>
    <d v="2025-08-28T00:00:00"/>
    <s v="all good"/>
    <n v="23"/>
    <s v="Asia"/>
    <x v="6"/>
    <s v="Mumbai"/>
    <s v="Non-Profit"/>
    <s v="Distributor"/>
    <x v="4"/>
    <x v="243"/>
    <n v="8"/>
    <n v="638.54"/>
    <n v="987.24"/>
    <s v="medium"/>
    <n v="0"/>
    <n v="7897.92"/>
    <n v="5108.32"/>
    <n v="0.353206920303067"/>
    <s v="N. Brown"/>
    <n v="2789.6000000000004"/>
    <s v="Q3-2025"/>
    <s v="08 2025"/>
    <d v="2025-08-01T00:00:00"/>
    <d v="2023-01-01T00:00:00"/>
    <x v="13"/>
  </r>
  <r>
    <s v="ORD-2024-250862"/>
    <d v="2024-10-25T00:00:00"/>
    <d v="2024-11-05T00:00:00"/>
    <s v="all good"/>
    <n v="11"/>
    <s v="America"/>
    <x v="17"/>
    <s v="York"/>
    <s v="Corporate"/>
    <s v="Distributor"/>
    <x v="1"/>
    <x v="244"/>
    <n v="16"/>
    <n v="446.66"/>
    <n v="527.64"/>
    <s v="low"/>
    <n v="0.14499999999999999"/>
    <n v="7218.1151999999993"/>
    <n v="7146.56"/>
    <n v="9.9132804087137399E-3"/>
    <s v="N. Brown"/>
    <n v="71.555199999998877"/>
    <s v="Q4-2024"/>
    <s v="10 2024"/>
    <d v="2024-10-01T00:00:00"/>
    <d v="2023-02-01T00:00:00"/>
    <x v="27"/>
  </r>
  <r>
    <s v="ORD-2025-728935"/>
    <d v="2025-02-28T00:00:00"/>
    <d v="2025-03-10T00:00:00"/>
    <s v="all good"/>
    <n v="10"/>
    <s v="Asia"/>
    <x v="7"/>
    <s v="Osaka"/>
    <s v="Education"/>
    <s v="Distributor"/>
    <x v="4"/>
    <x v="245"/>
    <n v="23"/>
    <n v="51.86"/>
    <n v="45.98"/>
    <s v="low"/>
    <n v="0.17299999999999999"/>
    <n v="874.58557999999994"/>
    <n v="1192.78"/>
    <n v="-0.36382308064123398"/>
    <s v="N. Brown"/>
    <n v="-318.19442000000004"/>
    <s v="Q1-2025"/>
    <s v="02 2025"/>
    <d v="2025-02-01T00:00:00"/>
    <d v="2023-03-01T00:00:00"/>
    <x v="10"/>
  </r>
  <r>
    <s v="ORD-2023-548934"/>
    <d v="2023-08-03T00:00:00"/>
    <d v="2023-08-30T00:00:00"/>
    <s v="all good"/>
    <n v="27"/>
    <s v="Asia"/>
    <x v="4"/>
    <s v="Shanghai"/>
    <s v="Consumer"/>
    <s v="Distributor"/>
    <x v="6"/>
    <x v="246"/>
    <n v="6"/>
    <n v="226.04"/>
    <n v="545.72"/>
    <s v="low"/>
    <n v="0.151"/>
    <n v="2779.89768"/>
    <n v="1356.24"/>
    <n v="0.51212592831834003"/>
    <s v="N. Brown"/>
    <n v="1423.65768"/>
    <s v="Q3-2023"/>
    <s v="08 2023"/>
    <d v="2023-08-01T00:00:00"/>
    <d v="2023-01-01T00:00:00"/>
    <x v="9"/>
  </r>
  <r>
    <s v="ORD-2023-539967"/>
    <d v="2023-07-09T00:00:00"/>
    <d v="2023-07-19T00:00:00"/>
    <s v="all good"/>
    <n v="10"/>
    <s v="Asia"/>
    <x v="7"/>
    <s v="Tokyo"/>
    <s v="Enterprise"/>
    <s v="Distributor"/>
    <x v="1"/>
    <x v="247"/>
    <n v="18"/>
    <n v="141.26"/>
    <n v="206.88"/>
    <s v="low"/>
    <n v="0.107"/>
    <n v="3325.3891200000003"/>
    <n v="2542.6799999999998"/>
    <n v="0.23537369365062499"/>
    <s v="N. Brown"/>
    <n v="782.70912000000044"/>
    <s v="Q3-2023"/>
    <s v="07 2023"/>
    <d v="2023-07-01T00:00:00"/>
    <d v="2023-03-01T00:00:00"/>
    <x v="29"/>
  </r>
  <r>
    <s v="ORD-2024-207792"/>
    <d v="2024-09-03T00:00:00"/>
    <d v="2024-09-07T00:00:00"/>
    <s v="all good"/>
    <n v="4"/>
    <s v="Asia"/>
    <x v="7"/>
    <s v="Tokyo"/>
    <s v="Small Business"/>
    <s v="Distributor"/>
    <x v="0"/>
    <x v="248"/>
    <n v="4"/>
    <n v="43.23"/>
    <n v="94.78"/>
    <s v="low"/>
    <n v="9.0999999999999998E-2"/>
    <n v="344.62008000000003"/>
    <n v="172.92"/>
    <n v="0.49823005090127098"/>
    <s v="N. Brown"/>
    <n v="171.70008000000004"/>
    <s v="Q3-2024"/>
    <s v="09 2024"/>
    <d v="2024-09-01T00:00:00"/>
    <d v="2023-03-01T00:00:00"/>
    <x v="22"/>
  </r>
  <r>
    <s v="ORD-2023-664790"/>
    <d v="2023-04-16T00:00:00"/>
    <d v="2023-04-23T00:00:00"/>
    <s v="all good"/>
    <n v="7"/>
    <s v="America"/>
    <x v="13"/>
    <s v="Austin"/>
    <s v="Corporate"/>
    <s v="Distributor"/>
    <x v="0"/>
    <x v="249"/>
    <n v="8"/>
    <n v="1099.1500000000001"/>
    <n v="1431.37"/>
    <s v="medium"/>
    <n v="0.104"/>
    <n v="10260.060159999999"/>
    <n v="8793.2000000000007"/>
    <n v="0.14296798821109399"/>
    <s v="O. Wang"/>
    <n v="1466.8601599999984"/>
    <s v="Q2-2023"/>
    <s v="04 2023"/>
    <d v="2023-04-01T00:00:00"/>
    <d v="2023-04-01T00:00:00"/>
    <x v="19"/>
  </r>
  <r>
    <s v="ORD-2024-581530"/>
    <d v="2024-09-07T00:00:00"/>
    <d v="2024-09-18T00:00:00"/>
    <s v="all good"/>
    <n v="11"/>
    <s v="Asia"/>
    <x v="4"/>
    <s v="Beijing"/>
    <s v="Consumer"/>
    <s v="Distributor"/>
    <x v="5"/>
    <x v="250"/>
    <n v="14"/>
    <n v="181.74"/>
    <n v="190.84"/>
    <s v="low"/>
    <n v="0.214"/>
    <n v="2100.0033600000002"/>
    <n v="2544.36"/>
    <n v="-0.211598061443102"/>
    <s v="O. Wang"/>
    <n v="-444.35663999999997"/>
    <s v="Q3-2024"/>
    <s v="09 2024"/>
    <d v="2024-09-01T00:00:00"/>
    <d v="2023-01-01T00:00:00"/>
    <x v="27"/>
  </r>
  <r>
    <s v="ORD-2024-260775"/>
    <d v="2024-10-17T00:00:00"/>
    <d v="2024-11-06T00:00:00"/>
    <s v="all good"/>
    <n v="20"/>
    <s v="Asia"/>
    <x v="6"/>
    <s v="Bengaluru"/>
    <s v="Enterprise"/>
    <s v="Distributor"/>
    <x v="6"/>
    <x v="251"/>
    <n v="24"/>
    <n v="72.94"/>
    <n v="106.3"/>
    <s v="low"/>
    <n v="0.29499999999999998"/>
    <n v="1798.596"/>
    <n v="1750.56"/>
    <n v="2.6707498515508798E-2"/>
    <s v="O. Wang"/>
    <n v="48.036000000000058"/>
    <s v="Q4-2024"/>
    <s v="10 2024"/>
    <d v="2024-10-01T00:00:00"/>
    <d v="2023-01-01T00:00:00"/>
    <x v="6"/>
  </r>
  <r>
    <s v="ORD-2023-375011"/>
    <d v="2023-08-23T00:00:00"/>
    <d v="2023-09-22T00:00:00"/>
    <s v="all good"/>
    <n v="30"/>
    <s v="Europe"/>
    <x v="1"/>
    <s v="London"/>
    <s v="Consumer"/>
    <s v="Distributor"/>
    <x v="2"/>
    <x v="252"/>
    <n v="28"/>
    <n v="209.81"/>
    <n v="523"/>
    <s v="low"/>
    <n v="5.8999999999999997E-2"/>
    <n v="13780.004000000001"/>
    <n v="5874.68"/>
    <n v="0.57368082041195401"/>
    <s v="O. Wang"/>
    <n v="7905.3240000000005"/>
    <s v="Q3-2023"/>
    <s v="08 2023"/>
    <d v="2023-08-01T00:00:00"/>
    <d v="2023-01-01T00:00:00"/>
    <x v="9"/>
  </r>
  <r>
    <s v="ORD-2025-578007"/>
    <d v="2025-01-21T00:00:00"/>
    <d v="2025-02-16T00:00:00"/>
    <s v="all good"/>
    <n v="26"/>
    <s v="Europe"/>
    <x v="2"/>
    <s v="Lyon"/>
    <s v="Corporate"/>
    <s v="Distributor"/>
    <x v="4"/>
    <x v="253"/>
    <n v="16"/>
    <n v="204.11"/>
    <n v="236.87"/>
    <s v="low"/>
    <n v="0.182"/>
    <n v="3100.1545600000004"/>
    <n v="3265.76"/>
    <n v="-5.3418446337075501E-2"/>
    <s v="O. Wang"/>
    <n v="-165.60543999999982"/>
    <s v="Q1-2025"/>
    <s v="01 2025"/>
    <d v="2025-01-01T00:00:00"/>
    <d v="2023-02-01T00:00:00"/>
    <x v="10"/>
  </r>
  <r>
    <s v="ORD-2025-281413"/>
    <d v="2025-08-03T00:00:00"/>
    <d v="2025-08-16T00:00:00"/>
    <s v="all good"/>
    <n v="13"/>
    <s v="America"/>
    <x v="3"/>
    <s v="Montreal"/>
    <s v="Enterprise"/>
    <s v="Distributor"/>
    <x v="5"/>
    <x v="254"/>
    <n v="9"/>
    <n v="698.66"/>
    <n v="868.62"/>
    <s v="medium"/>
    <n v="7.1999999999999995E-2"/>
    <n v="7254.7142400000002"/>
    <n v="6287.94"/>
    <n v="0.13326151906432601"/>
    <s v="O. Wang"/>
    <n v="966.77424000000065"/>
    <s v="Q3-2025"/>
    <s v="08 2025"/>
    <d v="2025-08-01T00:00:00"/>
    <d v="2023-02-01T00:00:00"/>
    <x v="20"/>
  </r>
  <r>
    <s v="ORD-2024-247979"/>
    <d v="2024-11-02T00:00:00"/>
    <d v="2024-11-18T00:00:00"/>
    <s v="all good"/>
    <n v="16"/>
    <s v="Asia"/>
    <x v="6"/>
    <s v="Mumbai"/>
    <s v="Small Business"/>
    <s v="Distributor"/>
    <x v="6"/>
    <x v="255"/>
    <n v="15"/>
    <n v="1233.58"/>
    <n v="1912.51"/>
    <s v="high"/>
    <n v="0.255"/>
    <n v="21372.29925"/>
    <n v="18503.699999999997"/>
    <n v="0.134220432553601"/>
    <s v="O. Wang"/>
    <n v="2868.5992500000029"/>
    <s v="Q4-2024"/>
    <s v="11 2024"/>
    <d v="2024-11-01T00:00:00"/>
    <d v="2023-01-01T00:00:00"/>
    <x v="28"/>
  </r>
  <r>
    <s v="ORD-2023-302041"/>
    <d v="2023-10-04T00:00:00"/>
    <d v="2023-10-29T00:00:00"/>
    <s v="all good"/>
    <n v="25"/>
    <s v="America"/>
    <x v="12"/>
    <s v="Francisco"/>
    <s v="Small Business"/>
    <s v="Distributor"/>
    <x v="2"/>
    <x v="256"/>
    <n v="9"/>
    <n v="1239.8399999999999"/>
    <n v="1482.75"/>
    <s v="medium"/>
    <n v="6.7000000000000004E-2"/>
    <n v="12450.651750000001"/>
    <n v="11158.56"/>
    <n v="0.103777037214136"/>
    <s v="O. Wang"/>
    <n v="1292.0917500000014"/>
    <s v="Q4-2023"/>
    <s v="10 2023"/>
    <d v="2023-10-01T00:00:00"/>
    <d v="2023-01-01T00:00:00"/>
    <x v="2"/>
  </r>
  <r>
    <s v="ORD-2023-715175"/>
    <d v="2023-06-15T00:00:00"/>
    <d v="2023-06-23T00:00:00"/>
    <s v="all good"/>
    <n v="8"/>
    <s v="America"/>
    <x v="12"/>
    <s v="Francisco"/>
    <s v="Consumer"/>
    <s v="Distributor"/>
    <x v="6"/>
    <x v="257"/>
    <n v="4"/>
    <n v="1097.0899999999999"/>
    <n v="2182.31"/>
    <s v="high"/>
    <n v="0.112"/>
    <n v="7751.5651200000002"/>
    <n v="4388.3599999999997"/>
    <n v="0.43387432962699501"/>
    <s v="O. Wang"/>
    <n v="3363.2051200000005"/>
    <s v="Q2-2023"/>
    <s v="06 2023"/>
    <d v="2023-06-01T00:00:00"/>
    <d v="2023-01-01T00:00:00"/>
    <x v="15"/>
  </r>
  <r>
    <s v="ORD-2025-698069"/>
    <d v="2025-06-03T00:00:00"/>
    <d v="2025-06-10T00:00:00"/>
    <s v="all good"/>
    <n v="7"/>
    <s v="America"/>
    <x v="3"/>
    <s v="Toronto"/>
    <s v="Consumer"/>
    <s v="Distributor"/>
    <x v="0"/>
    <x v="258"/>
    <n v="8"/>
    <n v="75.180000000000007"/>
    <n v="53.45"/>
    <s v="low"/>
    <n v="0.157"/>
    <n v="360.46680000000003"/>
    <n v="601.44000000000005"/>
    <n v="-0.668503174217431"/>
    <s v="O. Wang"/>
    <n v="-240.97320000000002"/>
    <s v="Q2-2025"/>
    <s v="06 2025"/>
    <d v="2025-06-01T00:00:00"/>
    <d v="2023-02-01T00:00:00"/>
    <x v="0"/>
  </r>
  <r>
    <s v="ORD-2023-888140"/>
    <d v="2023-10-11T00:00:00"/>
    <d v="2023-10-13T00:00:00"/>
    <s v="all good"/>
    <n v="2"/>
    <s v="America"/>
    <x v="5"/>
    <s v="Brasília"/>
    <s v="Consumer"/>
    <s v="Distributor"/>
    <x v="2"/>
    <x v="259"/>
    <n v="16"/>
    <n v="715.94"/>
    <n v="550.07000000000005"/>
    <s v="low"/>
    <n v="0.14000000000000001"/>
    <n v="7568.9632000000001"/>
    <n v="11455.04"/>
    <n v="-0.51342260456491595"/>
    <s v="Unknown"/>
    <n v="-3886.0768000000007"/>
    <s v="Q4-2023"/>
    <s v="10 2023"/>
    <d v="2023-10-01T00:00:00"/>
    <d v="2023-01-01T00:00:00"/>
    <x v="2"/>
  </r>
  <r>
    <s v="ORD-2023-244375"/>
    <d v="2023-06-03T00:00:00"/>
    <d v="2023-07-01T00:00:00"/>
    <s v="all good"/>
    <n v="28"/>
    <s v="America"/>
    <x v="5"/>
    <s v="Brasília"/>
    <s v="Small Business"/>
    <s v="Marketplace"/>
    <x v="1"/>
    <x v="260"/>
    <n v="12"/>
    <n v="860.4"/>
    <n v="2066.6"/>
    <s v="high"/>
    <n v="0.01"/>
    <n v="24551.207999999995"/>
    <n v="10324.799999999999"/>
    <n v="0.57945857491004105"/>
    <s v="A. Patel"/>
    <n v="14226.407999999996"/>
    <s v="Q2-2023"/>
    <s v="06 2023"/>
    <d v="2023-06-01T00:00:00"/>
    <d v="2023-01-01T00:00:00"/>
    <x v="15"/>
  </r>
  <r>
    <s v="ORD-2024-686712"/>
    <d v="2024-10-02T00:00:00"/>
    <d v="2024-10-23T00:00:00"/>
    <s v="all good"/>
    <n v="21"/>
    <s v="Africa"/>
    <x v="10"/>
    <s v="Durban"/>
    <s v="Corporate"/>
    <s v="Marketplace"/>
    <x v="1"/>
    <x v="261"/>
    <n v="7"/>
    <n v="1095.6099999999999"/>
    <n v="2366.5100000000002"/>
    <s v="high"/>
    <n v="0.152"/>
    <n v="14047.603359999999"/>
    <n v="7669.2699999999995"/>
    <n v="0.45405135641585997"/>
    <s v="A. Patel"/>
    <n v="6378.3333599999996"/>
    <s v="Q4-2024"/>
    <s v="10 2024"/>
    <d v="2024-10-01T00:00:00"/>
    <d v="2023-02-01T00:00:00"/>
    <x v="27"/>
  </r>
  <r>
    <s v="ORD-2024-166150"/>
    <d v="2024-06-02T00:00:00"/>
    <d v="2024-06-08T00:00:00"/>
    <s v="all good"/>
    <n v="6"/>
    <s v="Africa"/>
    <x v="8"/>
    <s v="Kisumu"/>
    <s v="Consumer"/>
    <s v="Marketplace"/>
    <x v="2"/>
    <x v="262"/>
    <n v="10"/>
    <n v="292.94"/>
    <n v="356.55"/>
    <s v="low"/>
    <n v="0.22900000000000001"/>
    <n v="2749.0005000000001"/>
    <n v="2929.4"/>
    <n v="-6.5623669402751994E-2"/>
    <s v="A. Patel"/>
    <n v="-180.39949999999999"/>
    <s v="Q2-2024"/>
    <s v="06 2024"/>
    <d v="2024-06-01T00:00:00"/>
    <d v="2023-01-01T00:00:00"/>
    <x v="26"/>
  </r>
  <r>
    <s v="ORD-2024-202166"/>
    <d v="2024-05-05T00:00:00"/>
    <d v="2024-05-18T00:00:00"/>
    <s v="all good"/>
    <n v="13"/>
    <s v="Europe"/>
    <x v="2"/>
    <s v="Marseille"/>
    <s v="Corporate"/>
    <s v="Marketplace"/>
    <x v="1"/>
    <x v="263"/>
    <n v="6"/>
    <n v="1264.04"/>
    <n v="1870.89"/>
    <s v="high"/>
    <n v="0"/>
    <n v="11225.34"/>
    <n v="7584.24"/>
    <n v="0.32436433996654002"/>
    <s v="A. Patel"/>
    <n v="3641.1000000000004"/>
    <s v="Q2-2024"/>
    <s v="05 2024"/>
    <d v="2024-05-01T00:00:00"/>
    <d v="2023-02-01T00:00:00"/>
    <x v="30"/>
  </r>
  <r>
    <s v="ORD-2023-290237"/>
    <d v="2023-07-30T00:00:00"/>
    <d v="2023-08-07T00:00:00"/>
    <s v="all good"/>
    <n v="8"/>
    <s v="Asia"/>
    <x v="7"/>
    <s v="Nagoya"/>
    <s v="Education"/>
    <s v="Marketplace"/>
    <x v="5"/>
    <x v="264"/>
    <n v="23"/>
    <n v="1352.44"/>
    <n v="2698.01"/>
    <s v="high"/>
    <n v="0.13100000000000001"/>
    <n v="53925.125870000003"/>
    <n v="31106.120000000003"/>
    <n v="0.42316091992090898"/>
    <s v="A. Patel"/>
    <n v="22819.005870000001"/>
    <s v="Q3-2023"/>
    <s v="07 2023"/>
    <d v="2023-07-01T00:00:00"/>
    <d v="2023-03-01T00:00:00"/>
    <x v="29"/>
  </r>
  <r>
    <s v="ORD-2024-764468"/>
    <d v="2024-02-01T00:00:00"/>
    <d v="2024-02-21T00:00:00"/>
    <s v="all good"/>
    <n v="20"/>
    <s v="Europe"/>
    <x v="2"/>
    <s v="Paris"/>
    <s v="Small Business"/>
    <s v="Marketplace"/>
    <x v="5"/>
    <x v="265"/>
    <n v="17"/>
    <n v="656.2"/>
    <n v="1467.17"/>
    <s v="medium"/>
    <n v="1.7999999999999999E-2"/>
    <n v="24492.935979999998"/>
    <n v="11155.400000000001"/>
    <n v="0.54454623124360901"/>
    <s v="A. Patel"/>
    <n v="13337.535979999997"/>
    <s v="Q1-2024"/>
    <s v="02 2024"/>
    <d v="2024-02-01T00:00:00"/>
    <d v="2023-02-01T00:00:00"/>
    <x v="4"/>
  </r>
  <r>
    <s v="ORD-2023-621393"/>
    <d v="2023-07-07T00:00:00"/>
    <d v="2023-07-13T00:00:00"/>
    <s v="all good"/>
    <n v="6"/>
    <s v="Africa"/>
    <x v="14"/>
    <s v="Town"/>
    <s v="Small Business"/>
    <s v="Marketplace"/>
    <x v="2"/>
    <x v="266"/>
    <n v="19"/>
    <n v="612.59"/>
    <n v="1424.74"/>
    <s v="medium"/>
    <n v="4.3999999999999997E-2"/>
    <n v="25878.977360000001"/>
    <n v="11639.210000000001"/>
    <n v="0.55024459281802196"/>
    <s v="B. Chen"/>
    <n v="14239.76736"/>
    <s v="Q3-2023"/>
    <s v="07 2023"/>
    <d v="2023-07-01T00:00:00"/>
    <d v="2023-01-01T00:00:00"/>
    <x v="7"/>
  </r>
  <r>
    <s v="ORD-2024-866535"/>
    <d v="2024-12-04T00:00:00"/>
    <d v="2024-12-12T00:00:00"/>
    <s v="all good"/>
    <n v="8"/>
    <s v="Europe"/>
    <x v="0"/>
    <s v="Frankfurt"/>
    <s v="Enterprise"/>
    <s v="Marketplace"/>
    <x v="0"/>
    <x v="267"/>
    <n v="8"/>
    <n v="72.06"/>
    <n v="122.74"/>
    <s v="low"/>
    <n v="0.23799999999999999"/>
    <n v="748.22303999999997"/>
    <n v="576.48"/>
    <n v="0.229534551622468"/>
    <s v="B. Chen"/>
    <n v="171.74303999999995"/>
    <s v="Q4-2024"/>
    <s v="12 2024"/>
    <d v="2024-12-01T00:00:00"/>
    <d v="2023-01-01T00:00:00"/>
    <x v="10"/>
  </r>
  <r>
    <s v="ORD-2023-292714"/>
    <d v="2023-07-10T00:00:00"/>
    <d v="2023-08-01T00:00:00"/>
    <s v="all good"/>
    <n v="22"/>
    <s v="Europe"/>
    <x v="2"/>
    <s v="Marseille"/>
    <s v="Consumer"/>
    <s v="Marketplace"/>
    <x v="0"/>
    <x v="268"/>
    <n v="14"/>
    <n v="1303.56"/>
    <n v="1791.37"/>
    <s v="high"/>
    <n v="0.126"/>
    <n v="21919.203320000001"/>
    <n v="18249.84"/>
    <n v="0.167404045960554"/>
    <s v="B. Chen"/>
    <n v="3669.3633200000004"/>
    <s v="Q3-2023"/>
    <s v="07 2023"/>
    <d v="2023-07-01T00:00:00"/>
    <d v="2023-02-01T00:00:00"/>
    <x v="15"/>
  </r>
  <r>
    <s v="ORD-2025-703623"/>
    <d v="2025-07-23T00:00:00"/>
    <d v="2025-08-19T00:00:00"/>
    <s v="all good"/>
    <n v="27"/>
    <s v="Asia"/>
    <x v="7"/>
    <s v="Nagoya"/>
    <s v="Consumer"/>
    <s v="Marketplace"/>
    <x v="2"/>
    <x v="269"/>
    <n v="10"/>
    <n v="896.09"/>
    <n v="744.27"/>
    <s v="low"/>
    <n v="8.3000000000000004E-2"/>
    <n v="6824.9558999999999"/>
    <n v="8960.9"/>
    <n v="-0.31296086469950701"/>
    <s v="B. Chen"/>
    <n v="-2135.9440999999997"/>
    <s v="Q3-2025"/>
    <s v="07 2025"/>
    <d v="2025-07-01T00:00:00"/>
    <d v="2023-03-01T00:00:00"/>
    <x v="0"/>
  </r>
  <r>
    <s v="ORD-2023-419187"/>
    <d v="2023-03-31T00:00:00"/>
    <d v="2023-04-05T00:00:00"/>
    <s v="all good"/>
    <n v="5"/>
    <s v="Africa"/>
    <x v="8"/>
    <s v="Nakuru"/>
    <s v="Education"/>
    <s v="Marketplace"/>
    <x v="4"/>
    <x v="270"/>
    <n v="25"/>
    <n v="533.26"/>
    <n v="385.72"/>
    <s v="low"/>
    <n v="0"/>
    <n v="9643"/>
    <n v="13331.5"/>
    <n v="-0.38250544436378697"/>
    <s v="B. Chen"/>
    <n v="-3688.5"/>
    <s v="Q1-2023"/>
    <s v="03 2023"/>
    <d v="2023-03-01T00:00:00"/>
    <d v="2023-01-01T00:00:00"/>
    <x v="1"/>
  </r>
  <r>
    <s v="ORD-2023-363031"/>
    <d v="2023-05-06T00:00:00"/>
    <d v="2023-05-14T00:00:00"/>
    <s v="all good"/>
    <n v="8"/>
    <s v="Asia"/>
    <x v="7"/>
    <s v="Osaka"/>
    <s v="Enterprise"/>
    <s v="Marketplace"/>
    <x v="3"/>
    <x v="271"/>
    <n v="16"/>
    <n v="291.18"/>
    <n v="479.54"/>
    <s v="low"/>
    <n v="0.14099999999999999"/>
    <n v="6590.7977600000004"/>
    <n v="4658.88"/>
    <n v="0.29312350801066001"/>
    <s v="B. Chen"/>
    <n v="1931.9177600000003"/>
    <s v="Q2-2023"/>
    <s v="05 2023"/>
    <d v="2023-05-01T00:00:00"/>
    <d v="2023-03-01T00:00:00"/>
    <x v="1"/>
  </r>
  <r>
    <s v="ORD-2025-946490"/>
    <d v="2025-04-22T00:00:00"/>
    <d v="2025-05-02T00:00:00"/>
    <s v="all good"/>
    <n v="10"/>
    <s v="Europe"/>
    <x v="0"/>
    <s v="Berlin"/>
    <s v="Corporate"/>
    <s v="Marketplace"/>
    <x v="6"/>
    <x v="272"/>
    <n v="28"/>
    <n v="20.149999999999999"/>
    <n v="39.74"/>
    <s v="low"/>
    <n v="0.151"/>
    <n v="944.69928000000004"/>
    <n v="564.19999999999993"/>
    <n v="0.402772912031859"/>
    <s v="C. Otieno"/>
    <n v="380.49928000000011"/>
    <s v="Q2-2025"/>
    <s v="04 2025"/>
    <d v="2025-04-01T00:00:00"/>
    <d v="2023-01-01T00:00:00"/>
    <x v="12"/>
  </r>
  <r>
    <s v="ORD-2024-855600"/>
    <d v="2024-04-29T00:00:00"/>
    <d v="2024-05-19T00:00:00"/>
    <s v="all good"/>
    <n v="20"/>
    <s v="Europe"/>
    <x v="0"/>
    <s v="Frankfurt"/>
    <s v="Enterprise"/>
    <s v="Marketplace"/>
    <x v="4"/>
    <x v="273"/>
    <n v="20"/>
    <n v="668.97"/>
    <n v="1667.44"/>
    <s v="high"/>
    <n v="3.4000000000000002E-2"/>
    <n v="32214.9408"/>
    <n v="13379.400000000001"/>
    <n v="0.58468339013679005"/>
    <s v="C. Otieno"/>
    <n v="18835.540799999999"/>
    <s v="Q2-2024"/>
    <s v="04 2024"/>
    <d v="2024-04-01T00:00:00"/>
    <d v="2023-01-01T00:00:00"/>
    <x v="30"/>
  </r>
  <r>
    <s v="ORD-2024-993481"/>
    <d v="2024-08-18T00:00:00"/>
    <d v="2024-09-12T00:00:00"/>
    <s v="all good"/>
    <n v="25"/>
    <s v="Asia"/>
    <x v="6"/>
    <s v="Mumbai"/>
    <s v="Consumer"/>
    <s v="Marketplace"/>
    <x v="3"/>
    <x v="274"/>
    <n v="21"/>
    <n v="1154.03"/>
    <n v="1590.36"/>
    <s v="medium"/>
    <n v="0.314"/>
    <n v="22910.726159999995"/>
    <n v="24234.63"/>
    <n v="-5.7785328616577002E-2"/>
    <s v="C. Otieno"/>
    <n v="-1323.9038400000063"/>
    <s v="Q3-2024"/>
    <s v="08 2024"/>
    <d v="2024-08-01T00:00:00"/>
    <d v="2023-01-01T00:00:00"/>
    <x v="8"/>
  </r>
  <r>
    <s v="ORD-2023-368449"/>
    <d v="2023-10-09T00:00:00"/>
    <d v="2023-10-26T00:00:00"/>
    <s v="all good"/>
    <n v="17"/>
    <s v="Asia"/>
    <x v="4"/>
    <s v="Shanghai"/>
    <s v="Consumer"/>
    <s v="Marketplace"/>
    <x v="1"/>
    <x v="275"/>
    <n v="6"/>
    <n v="1132.03"/>
    <n v="2137.21"/>
    <s v="high"/>
    <n v="0.35699999999999998"/>
    <n v="8245.3561800000007"/>
    <n v="6792.18"/>
    <n v="0.17624177152284001"/>
    <s v="C. Otieno"/>
    <n v="1453.1761800000004"/>
    <s v="Q4-2023"/>
    <s v="10 2023"/>
    <d v="2023-10-01T00:00:00"/>
    <d v="2023-01-01T00:00:00"/>
    <x v="2"/>
  </r>
  <r>
    <s v="ORD-2024-257550"/>
    <d v="2024-12-27T00:00:00"/>
    <d v="2024-12-29T00:00:00"/>
    <s v="all good"/>
    <n v="2"/>
    <s v="America"/>
    <x v="3"/>
    <s v="Vancouver"/>
    <s v="Enterprise"/>
    <s v="Marketplace"/>
    <x v="2"/>
    <x v="276"/>
    <n v="40"/>
    <n v="1146.72"/>
    <n v="2074.34"/>
    <s v="high"/>
    <n v="0.111"/>
    <n v="73763.530400000003"/>
    <n v="45868.800000000003"/>
    <n v="0.37816425337472698"/>
    <s v="C. Otieno"/>
    <n v="27894.7304"/>
    <s v="Q4-2024"/>
    <s v="12 2024"/>
    <d v="2024-12-01T00:00:00"/>
    <d v="2023-02-01T00:00:00"/>
    <x v="28"/>
  </r>
  <r>
    <s v="ORD-2024-972318"/>
    <d v="2024-12-24T00:00:00"/>
    <d v="2025-01-13T00:00:00"/>
    <s v="all good"/>
    <n v="20"/>
    <s v="Asia"/>
    <x v="6"/>
    <s v="Bengaluru"/>
    <s v="Corporate"/>
    <s v="Marketplace"/>
    <x v="5"/>
    <x v="277"/>
    <n v="8"/>
    <n v="126.15"/>
    <n v="284.23"/>
    <s v="low"/>
    <n v="0.113"/>
    <n v="2016.8960800000002"/>
    <n v="1009.2"/>
    <n v="0.49962716968541099"/>
    <s v="D. Smith"/>
    <n v="1007.6960800000002"/>
    <s v="Q4-2024"/>
    <s v="12 2024"/>
    <d v="2024-12-01T00:00:00"/>
    <d v="2023-01-01T00:00:00"/>
    <x v="10"/>
  </r>
  <r>
    <s v="ORD-2025-591006"/>
    <d v="2025-06-25T00:00:00"/>
    <d v="2025-07-10T00:00:00"/>
    <s v="all good"/>
    <n v="15"/>
    <s v="Europe"/>
    <x v="1"/>
    <s v="Birmingham"/>
    <s v="Non-Profit"/>
    <s v="Marketplace"/>
    <x v="3"/>
    <x v="278"/>
    <n v="17"/>
    <n v="546.83000000000004"/>
    <n v="400.84"/>
    <s v="low"/>
    <n v="7.8E-2"/>
    <n v="6282.7661600000001"/>
    <n v="9296.11"/>
    <n v="-0.47962056254533603"/>
    <s v="D. Smith"/>
    <n v="-3013.3438400000005"/>
    <s v="Q2-2025"/>
    <s v="06 2025"/>
    <d v="2025-06-01T00:00:00"/>
    <d v="2023-01-01T00:00:00"/>
    <x v="3"/>
  </r>
  <r>
    <s v="ORD-2025-964661"/>
    <d v="2025-02-04T00:00:00"/>
    <d v="2025-02-25T00:00:00"/>
    <s v="all good"/>
    <n v="21"/>
    <s v="Europe"/>
    <x v="1"/>
    <s v="Birmingham"/>
    <s v="Corporate"/>
    <s v="Marketplace"/>
    <x v="6"/>
    <x v="279"/>
    <n v="5"/>
    <n v="1016.32"/>
    <n v="2253.42"/>
    <s v="high"/>
    <n v="5.5E-2"/>
    <n v="10647.4095"/>
    <n v="5081.6000000000004"/>
    <n v="0.52273837124419797"/>
    <s v="D. Smith"/>
    <n v="5565.8094999999994"/>
    <s v="Q1-2025"/>
    <s v="02 2025"/>
    <d v="2025-02-01T00:00:00"/>
    <d v="2023-01-01T00:00:00"/>
    <x v="31"/>
  </r>
  <r>
    <s v="ORD-2023-856322"/>
    <d v="2023-01-29T00:00:00"/>
    <d v="2023-02-06T00:00:00"/>
    <s v="all good"/>
    <n v="8"/>
    <s v="America"/>
    <x v="5"/>
    <s v="Brasília"/>
    <s v="Corporate"/>
    <s v="Marketplace"/>
    <x v="6"/>
    <x v="280"/>
    <n v="9"/>
    <n v="41.84"/>
    <n v="86.2"/>
    <s v="low"/>
    <n v="0.22600000000000001"/>
    <n v="600.46920000000011"/>
    <n v="376.56000000000006"/>
    <n v="0.37289039970742899"/>
    <s v="D. Smith"/>
    <n v="223.90920000000006"/>
    <s v="Q1-2023"/>
    <s v="01 2023"/>
    <d v="2023-01-01T00:00:00"/>
    <d v="2023-01-01T00:00:00"/>
    <x v="19"/>
  </r>
  <r>
    <s v="ORD-2023-841426"/>
    <d v="2023-12-22T00:00:00"/>
    <d v="2023-12-23T00:00:00"/>
    <s v="all good"/>
    <n v="1"/>
    <s v="Africa"/>
    <x v="14"/>
    <s v="Town"/>
    <s v="Non-Profit"/>
    <s v="Marketplace"/>
    <x v="1"/>
    <x v="281"/>
    <n v="7"/>
    <n v="1186.18"/>
    <n v="1285.0899999999999"/>
    <s v="medium"/>
    <n v="7.0000000000000007E-2"/>
    <n v="8365.9358999999986"/>
    <n v="8303.26"/>
    <n v="7.4917977796122503E-3"/>
    <s v="D. Smith"/>
    <n v="62.675899999998364"/>
    <s v="Q4-2023"/>
    <s v="12 2023"/>
    <d v="2023-12-01T00:00:00"/>
    <d v="2023-01-01T00:00:00"/>
    <x v="21"/>
  </r>
  <r>
    <s v="ORD-2024-972999"/>
    <d v="2024-09-06T00:00:00"/>
    <d v="2024-10-04T00:00:00"/>
    <s v="all good"/>
    <n v="28"/>
    <s v="Africa"/>
    <x v="14"/>
    <s v="Town"/>
    <s v="Corporate"/>
    <s v="Marketplace"/>
    <x v="6"/>
    <x v="282"/>
    <n v="6"/>
    <n v="1174.17"/>
    <n v="1641.61"/>
    <s v="high"/>
    <n v="0.122"/>
    <n v="8648.001479999999"/>
    <n v="7045.02"/>
    <n v="0.185358603800794"/>
    <s v="D. Smith"/>
    <n v="1602.9814799999986"/>
    <s v="Q3-2024"/>
    <s v="09 2024"/>
    <d v="2024-09-01T00:00:00"/>
    <d v="2023-01-01T00:00:00"/>
    <x v="27"/>
  </r>
  <r>
    <s v="ORD-2024-626750"/>
    <d v="2024-08-12T00:00:00"/>
    <d v="2024-08-15T00:00:00"/>
    <s v="all good"/>
    <n v="3"/>
    <s v="America"/>
    <x v="13"/>
    <s v="Chicago"/>
    <s v="Corporate"/>
    <s v="Marketplace"/>
    <x v="0"/>
    <x v="283"/>
    <n v="12"/>
    <n v="850.7"/>
    <n v="1118.56"/>
    <s v="medium"/>
    <n v="0.18"/>
    <n v="11006.6304"/>
    <n v="10208.400000000001"/>
    <n v="7.2522685962090494E-2"/>
    <s v="D. Smith"/>
    <n v="798.23039999999855"/>
    <s v="Q3-2024"/>
    <s v="08 2024"/>
    <d v="2024-08-01T00:00:00"/>
    <d v="2023-05-01T00:00:00"/>
    <x v="30"/>
  </r>
  <r>
    <s v="ORD-2023-472078"/>
    <d v="2023-02-28T00:00:00"/>
    <d v="2023-03-06T00:00:00"/>
    <s v="all good"/>
    <n v="6"/>
    <s v="Europe"/>
    <x v="0"/>
    <s v="Frankfurt"/>
    <s v="Small Business"/>
    <s v="Marketplace"/>
    <x v="0"/>
    <x v="284"/>
    <n v="12"/>
    <n v="880.02"/>
    <n v="1251.21"/>
    <s v="medium"/>
    <n v="0.123"/>
    <n v="13167.734040000001"/>
    <n v="10560.24"/>
    <n v="0.198021469151727"/>
    <s v="D. Smith"/>
    <n v="2607.4940400000014"/>
    <s v="Q1-2023"/>
    <s v="02 2023"/>
    <d v="2023-02-01T00:00:00"/>
    <d v="2023-01-01T00:00:00"/>
    <x v="17"/>
  </r>
  <r>
    <s v="ORD-2025-474710"/>
    <d v="2025-07-24T00:00:00"/>
    <d v="2025-08-06T00:00:00"/>
    <s v="all good"/>
    <n v="13"/>
    <s v="Africa"/>
    <x v="10"/>
    <s v="Johannesburg"/>
    <s v="Education"/>
    <s v="Marketplace"/>
    <x v="5"/>
    <x v="285"/>
    <n v="7"/>
    <n v="1463.9"/>
    <n v="2633.02"/>
    <s v="high"/>
    <n v="8.4000000000000005E-2"/>
    <n v="16882.92424"/>
    <n v="10247.300000000001"/>
    <n v="0.39303761277791499"/>
    <s v="D. Smith"/>
    <n v="6635.6242399999992"/>
    <s v="Q3-2025"/>
    <s v="07 2025"/>
    <d v="2025-07-01T00:00:00"/>
    <d v="2023-02-01T00:00:00"/>
    <x v="3"/>
  </r>
  <r>
    <s v="ORD-2024-375848"/>
    <d v="2024-05-18T00:00:00"/>
    <d v="2024-05-21T00:00:00"/>
    <s v="all good"/>
    <n v="3"/>
    <s v="Europe"/>
    <x v="2"/>
    <s v="Marseille"/>
    <s v="Non-Profit"/>
    <s v="Marketplace"/>
    <x v="0"/>
    <x v="286"/>
    <n v="14"/>
    <n v="663.66"/>
    <n v="824.26"/>
    <s v="medium"/>
    <n v="0.23899999999999999"/>
    <n v="8781.6660400000001"/>
    <n v="9291.24"/>
    <n v="-5.8027025587049003E-2"/>
    <s v="D. Smith"/>
    <n v="-509.57395999999972"/>
    <s v="Q2-2024"/>
    <s v="05 2024"/>
    <d v="2024-05-01T00:00:00"/>
    <d v="2023-02-01T00:00:00"/>
    <x v="30"/>
  </r>
  <r>
    <s v="ORD-2023-949710"/>
    <d v="2023-03-07T00:00:00"/>
    <d v="2023-04-01T00:00:00"/>
    <s v="all good"/>
    <n v="25"/>
    <s v="Africa"/>
    <x v="8"/>
    <s v="Nairobi"/>
    <s v="Consumer"/>
    <s v="Marketplace"/>
    <x v="0"/>
    <x v="287"/>
    <n v="9"/>
    <n v="1024.0999999999999"/>
    <n v="918.19"/>
    <s v="medium"/>
    <n v="0.189"/>
    <n v="6701.8688099999999"/>
    <n v="9216.9"/>
    <n v="-0.37527311579827799"/>
    <s v="D. Smith"/>
    <n v="-2515.0311899999997"/>
    <s v="Q1-2023"/>
    <s v="03 2023"/>
    <d v="2023-03-01T00:00:00"/>
    <d v="2023-01-01T00:00:00"/>
    <x v="1"/>
  </r>
  <r>
    <s v="ORD-2024-336584"/>
    <d v="2024-12-27T00:00:00"/>
    <d v="2025-01-14T00:00:00"/>
    <s v="all good"/>
    <n v="18"/>
    <s v="Asia"/>
    <x v="6"/>
    <s v="Bengaluru"/>
    <s v="Small Business"/>
    <s v="Marketplace"/>
    <x v="6"/>
    <x v="288"/>
    <n v="18"/>
    <n v="586.07000000000005"/>
    <n v="845.97"/>
    <s v="medium"/>
    <n v="0.14699999999999999"/>
    <n v="12989.023380000001"/>
    <n v="10549.26"/>
    <n v="0.18783270370862901"/>
    <s v="E. Garcia"/>
    <n v="2439.7633800000003"/>
    <s v="Q4-2024"/>
    <s v="12 2024"/>
    <d v="2024-12-01T00:00:00"/>
    <d v="2023-01-01T00:00:00"/>
    <x v="10"/>
  </r>
  <r>
    <s v="ORD-2025-803803"/>
    <d v="2025-08-28T00:00:00"/>
    <d v="2025-09-05T00:00:00"/>
    <s v="all good"/>
    <n v="8"/>
    <s v="Africa"/>
    <x v="11"/>
    <s v="Harcourt"/>
    <s v="Small Business"/>
    <s v="Marketplace"/>
    <x v="4"/>
    <x v="289"/>
    <n v="13"/>
    <n v="1271.0999999999999"/>
    <n v="1932.42"/>
    <s v="high"/>
    <n v="0.25"/>
    <n v="18841.095000000001"/>
    <n v="16524.3"/>
    <n v="0.122964986907608"/>
    <s v="E. Garcia"/>
    <n v="2316.7950000000019"/>
    <s v="Q3-2025"/>
    <s v="08 2025"/>
    <d v="2025-08-01T00:00:00"/>
    <d v="2023-05-01T00:00:00"/>
    <x v="12"/>
  </r>
  <r>
    <s v="ORD-2023-867836"/>
    <d v="2023-05-11T00:00:00"/>
    <d v="2023-05-28T00:00:00"/>
    <s v="all good"/>
    <n v="17"/>
    <s v="Asia"/>
    <x v="4"/>
    <s v="Shenzhen"/>
    <s v="Enterprise"/>
    <s v="Marketplace"/>
    <x v="5"/>
    <x v="290"/>
    <n v="18"/>
    <n v="1331.19"/>
    <n v="2903.09"/>
    <s v="high"/>
    <n v="0.14299999999999999"/>
    <n v="44783.066340000005"/>
    <n v="23961.420000000002"/>
    <n v="0.46494463290920801"/>
    <s v="E. Garcia"/>
    <n v="20821.646340000003"/>
    <s v="Q2-2023"/>
    <s v="05 2023"/>
    <d v="2023-05-01T00:00:00"/>
    <d v="2023-01-01T00:00:00"/>
    <x v="29"/>
  </r>
  <r>
    <s v="ORD-2025-640677"/>
    <d v="2025-04-09T00:00:00"/>
    <d v="2025-05-06T00:00:00"/>
    <s v="all good"/>
    <n v="27"/>
    <s v="America"/>
    <x v="5"/>
    <s v="Brasília"/>
    <s v="Enterprise"/>
    <s v="Marketplace"/>
    <x v="4"/>
    <x v="291"/>
    <n v="11"/>
    <n v="264.19"/>
    <n v="620.92999999999995"/>
    <s v="low"/>
    <n v="0.14199999999999999"/>
    <n v="5860.3373399999991"/>
    <n v="2906.09"/>
    <n v="0.50410875152794499"/>
    <s v="F. Müller"/>
    <n v="2954.247339999999"/>
    <s v="Q2-2025"/>
    <s v="04 2025"/>
    <d v="2025-04-01T00:00:00"/>
    <d v="2023-11-01T00:00:00"/>
    <x v="26"/>
  </r>
  <r>
    <s v="ORD-2025-909340"/>
    <d v="2025-01-20T00:00:00"/>
    <d v="2025-02-03T00:00:00"/>
    <s v="all good"/>
    <n v="14"/>
    <s v="America"/>
    <x v="5"/>
    <s v="Brasília"/>
    <s v="Enterprise"/>
    <s v="Marketplace"/>
    <x v="1"/>
    <x v="292"/>
    <n v="14"/>
    <n v="974.11"/>
    <n v="880.99"/>
    <s v="medium"/>
    <n v="0.111"/>
    <n v="10964.80154"/>
    <n v="13637.54"/>
    <n v="-0.24375620938051201"/>
    <s v="F. Müller"/>
    <n v="-2672.7384600000005"/>
    <s v="Q1-2025"/>
    <s v="01 2025"/>
    <d v="2025-01-01T00:00:00"/>
    <d v="2023-11-01T00:00:00"/>
    <x v="24"/>
  </r>
  <r>
    <s v="ORD-2024-647473"/>
    <d v="2024-02-17T00:00:00"/>
    <d v="2024-03-04T00:00:00"/>
    <s v="all good"/>
    <n v="16"/>
    <s v="Asia"/>
    <x v="6"/>
    <s v="Delhi"/>
    <s v="Small Business"/>
    <s v="Marketplace"/>
    <x v="3"/>
    <x v="293"/>
    <n v="15"/>
    <n v="1231.8"/>
    <n v="2015.99"/>
    <s v="high"/>
    <n v="0.26100000000000001"/>
    <n v="22347.24915"/>
    <n v="18477"/>
    <n v="0.17318682599464399"/>
    <s v="F. Müller"/>
    <n v="3870.2491499999996"/>
    <s v="Q1-2024"/>
    <s v="02 2024"/>
    <d v="2024-02-01T00:00:00"/>
    <d v="2023-01-01T00:00:00"/>
    <x v="23"/>
  </r>
  <r>
    <s v="ORD-2024-580808"/>
    <d v="2024-06-16T00:00:00"/>
    <d v="2024-07-03T00:00:00"/>
    <s v="all good"/>
    <n v="17"/>
    <s v="Africa"/>
    <x v="10"/>
    <s v="Johannesburg"/>
    <s v="Enterprise"/>
    <s v="Marketplace"/>
    <x v="3"/>
    <x v="294"/>
    <n v="9"/>
    <n v="1173.83"/>
    <n v="2328.9"/>
    <s v="high"/>
    <n v="0.12"/>
    <n v="18444.888000000003"/>
    <n v="10564.47"/>
    <n v="0.42724130393201598"/>
    <s v="F. Müller"/>
    <n v="7880.4180000000033"/>
    <s v="Q2-2024"/>
    <s v="06 2024"/>
    <d v="2024-06-01T00:00:00"/>
    <d v="2023-02-01T00:00:00"/>
    <x v="25"/>
  </r>
  <r>
    <s v="ORD-2025-608069"/>
    <d v="2025-04-12T00:00:00"/>
    <d v="2025-04-30T00:00:00"/>
    <s v="all good"/>
    <n v="18"/>
    <s v="Africa"/>
    <x v="8"/>
    <s v="Kisumu"/>
    <s v="Corporate"/>
    <s v="Marketplace"/>
    <x v="5"/>
    <x v="295"/>
    <n v="7"/>
    <n v="1119.04"/>
    <n v="1299.02"/>
    <s v="medium"/>
    <n v="2.5000000000000001E-2"/>
    <n v="8865.8114999999998"/>
    <n v="7833.28"/>
    <n v="0.11646215352085899"/>
    <s v="F. Müller"/>
    <n v="1032.5315000000001"/>
    <s v="Q2-2025"/>
    <s v="04 2025"/>
    <d v="2025-04-01T00:00:00"/>
    <d v="2023-01-01T00:00:00"/>
    <x v="12"/>
  </r>
  <r>
    <s v="ORD-2024-728474"/>
    <d v="2024-09-09T00:00:00"/>
    <d v="2024-09-13T00:00:00"/>
    <s v="all good"/>
    <n v="4"/>
    <s v="Europe"/>
    <x v="1"/>
    <s v="London"/>
    <s v="Consumer"/>
    <s v="Marketplace"/>
    <x v="5"/>
    <x v="296"/>
    <n v="11"/>
    <n v="1133.08"/>
    <n v="976.17"/>
    <s v="medium"/>
    <n v="4.2000000000000003E-2"/>
    <n v="10286.879459999998"/>
    <n v="12463.88"/>
    <n v="-0.21162885678452401"/>
    <s v="F. Müller"/>
    <n v="-2177.0005400000009"/>
    <s v="Q3-2024"/>
    <s v="09 2024"/>
    <d v="2024-09-01T00:00:00"/>
    <d v="2023-01-01T00:00:00"/>
    <x v="27"/>
  </r>
  <r>
    <s v="ORD-2024-788105"/>
    <d v="2024-11-30T00:00:00"/>
    <d v="2024-12-30T00:00:00"/>
    <s v="all good"/>
    <n v="30"/>
    <s v="Europe"/>
    <x v="2"/>
    <s v="Marseille"/>
    <s v="Consumer"/>
    <s v="Marketplace"/>
    <x v="0"/>
    <x v="297"/>
    <n v="7"/>
    <n v="117.64"/>
    <n v="175.67"/>
    <s v="low"/>
    <n v="0"/>
    <n v="1229.6899999999998"/>
    <n v="823.48"/>
    <n v="0.33033528775545001"/>
    <s v="F. Müller"/>
    <n v="406.20999999999981"/>
    <s v="Q4-2024"/>
    <s v="11 2024"/>
    <d v="2024-11-01T00:00:00"/>
    <d v="2023-02-01T00:00:00"/>
    <x v="6"/>
  </r>
  <r>
    <s v="ORD-2025-541048"/>
    <d v="2025-04-04T00:00:00"/>
    <d v="2025-04-13T00:00:00"/>
    <s v="all good"/>
    <n v="9"/>
    <s v="Europe"/>
    <x v="0"/>
    <s v="Munich"/>
    <s v="Consumer"/>
    <s v="Marketplace"/>
    <x v="3"/>
    <x v="298"/>
    <n v="18"/>
    <n v="7.02"/>
    <n v="6.28"/>
    <s v="low"/>
    <n v="0.13400000000000001"/>
    <n v="97.89264"/>
    <n v="126.35999999999999"/>
    <n v="-0.29080184169106099"/>
    <s v="F. Müller"/>
    <n v="-28.467359999999985"/>
    <s v="Q2-2025"/>
    <s v="04 2025"/>
    <d v="2025-04-01T00:00:00"/>
    <d v="2023-01-01T00:00:00"/>
    <x v="12"/>
  </r>
  <r>
    <s v="ORD-2023-258768"/>
    <d v="2023-06-29T00:00:00"/>
    <d v="2023-07-02T00:00:00"/>
    <s v="all good"/>
    <n v="3"/>
    <s v="Asia"/>
    <x v="7"/>
    <s v="Nagoya"/>
    <s v="Education"/>
    <s v="Marketplace"/>
    <x v="6"/>
    <x v="299"/>
    <n v="22"/>
    <n v="55.65"/>
    <n v="83.57"/>
    <s v="low"/>
    <n v="6.6000000000000003E-2"/>
    <n v="1717.1963599999999"/>
    <n v="1224.3"/>
    <n v="0.28703552574500002"/>
    <s v="F. Müller"/>
    <n v="492.89635999999996"/>
    <s v="Q2-2023"/>
    <s v="06 2023"/>
    <d v="2023-06-01T00:00:00"/>
    <d v="2023-03-01T00:00:00"/>
    <x v="11"/>
  </r>
  <r>
    <s v="ORD-2025-248586"/>
    <d v="2025-09-12T00:00:00"/>
    <d v="2025-09-30T00:00:00"/>
    <s v="all good"/>
    <n v="18"/>
    <s v="Asia"/>
    <x v="7"/>
    <s v="Nagoya"/>
    <s v="Non-Profit"/>
    <s v="Marketplace"/>
    <x v="6"/>
    <x v="300"/>
    <n v="19"/>
    <n v="1212.99"/>
    <n v="1653.64"/>
    <s v="high"/>
    <n v="0.107"/>
    <n v="28057.309880000004"/>
    <n v="23046.81"/>
    <n v="0.17858090819931499"/>
    <s v="F. Müller"/>
    <n v="5010.499880000003"/>
    <s v="Q3-2025"/>
    <s v="09 2025"/>
    <d v="2025-09-01T00:00:00"/>
    <d v="2023-03-01T00:00:00"/>
    <x v="20"/>
  </r>
  <r>
    <s v="ORD-2025-440093"/>
    <d v="2025-04-16T00:00:00"/>
    <d v="2025-04-26T00:00:00"/>
    <s v="all good"/>
    <n v="10"/>
    <s v="Africa"/>
    <x v="11"/>
    <s v="Harcourt"/>
    <s v="Enterprise"/>
    <s v="Marketplace"/>
    <x v="4"/>
    <x v="301"/>
    <n v="9"/>
    <n v="1457.44"/>
    <n v="1996.81"/>
    <s v="high"/>
    <n v="0.126"/>
    <n v="15706.90746"/>
    <n v="13116.960000000001"/>
    <n v="0.164892259446724"/>
    <s v="F. Müller"/>
    <n v="2589.9474599999994"/>
    <s v="Q2-2025"/>
    <s v="04 2025"/>
    <d v="2025-04-01T00:00:00"/>
    <d v="2023-05-01T00:00:00"/>
    <x v="10"/>
  </r>
  <r>
    <s v="ORD-2024-947056"/>
    <d v="2024-07-31T00:00:00"/>
    <d v="2024-08-15T00:00:00"/>
    <s v="all good"/>
    <n v="15"/>
    <s v="Asia"/>
    <x v="7"/>
    <s v="Tokyo"/>
    <s v="Corporate"/>
    <s v="Marketplace"/>
    <x v="6"/>
    <x v="302"/>
    <n v="22"/>
    <n v="1252.52"/>
    <n v="1417.24"/>
    <s v="medium"/>
    <n v="0.192"/>
    <n v="25192.858240000001"/>
    <n v="27555.439999999999"/>
    <n v="-9.3779821943696898E-2"/>
    <s v="F. Müller"/>
    <n v="-2362.5817599999973"/>
    <s v="Q3-2024"/>
    <s v="07 2024"/>
    <d v="2024-07-01T00:00:00"/>
    <d v="2023-03-01T00:00:00"/>
    <x v="25"/>
  </r>
  <r>
    <s v="ORD-2023-172095"/>
    <d v="2023-05-24T00:00:00"/>
    <d v="2023-06-21T00:00:00"/>
    <s v="all good"/>
    <n v="28"/>
    <s v="America"/>
    <x v="13"/>
    <s v="Austin"/>
    <s v="Small Business"/>
    <s v="Marketplace"/>
    <x v="6"/>
    <x v="303"/>
    <n v="10"/>
    <n v="813.97"/>
    <n v="1568.83"/>
    <s v="medium"/>
    <n v="1.7000000000000001E-2"/>
    <n v="15421.598899999999"/>
    <n v="8139.7000000000007"/>
    <n v="0.47218832153649098"/>
    <s v="G. Dubois"/>
    <n v="7281.8988999999983"/>
    <s v="Q2-2023"/>
    <s v="05 2023"/>
    <d v="2023-05-01T00:00:00"/>
    <d v="2023-05-01T00:00:00"/>
    <x v="19"/>
  </r>
  <r>
    <s v="ORD-2025-843974"/>
    <d v="2025-07-20T00:00:00"/>
    <d v="2025-08-05T00:00:00"/>
    <s v="all good"/>
    <n v="16"/>
    <s v="America"/>
    <x v="5"/>
    <s v="Brasília"/>
    <s v="Enterprise"/>
    <s v="Marketplace"/>
    <x v="2"/>
    <x v="304"/>
    <n v="12"/>
    <n v="1068.17"/>
    <n v="2375.37"/>
    <s v="high"/>
    <n v="0.109"/>
    <n v="25397.456040000001"/>
    <n v="12818.04"/>
    <n v="0.49530220744108799"/>
    <s v="G. Dubois"/>
    <n v="12579.41604"/>
    <s v="Q3-2025"/>
    <s v="07 2025"/>
    <d v="2025-07-01T00:00:00"/>
    <d v="2023-11-01T00:00:00"/>
    <x v="27"/>
  </r>
  <r>
    <s v="ORD-2025-866565"/>
    <d v="2025-05-12T00:00:00"/>
    <d v="2025-05-26T00:00:00"/>
    <s v="all good"/>
    <n v="14"/>
    <s v="Asia"/>
    <x v="6"/>
    <s v="Hyderabad"/>
    <s v="Corporate"/>
    <s v="Marketplace"/>
    <x v="0"/>
    <x v="305"/>
    <n v="8"/>
    <n v="320.12"/>
    <n v="594.41999999999996"/>
    <s v="low"/>
    <n v="0.104"/>
    <n v="4260.8025600000001"/>
    <n v="2560.96"/>
    <n v="0.39894891538931099"/>
    <s v="G. Dubois"/>
    <n v="1699.84256"/>
    <s v="Q2-2025"/>
    <s v="05 2025"/>
    <d v="2025-05-01T00:00:00"/>
    <d v="2023-01-01T00:00:00"/>
    <x v="0"/>
  </r>
  <r>
    <s v="ORD-2025-168148"/>
    <d v="2025-03-29T00:00:00"/>
    <d v="2025-04-02T00:00:00"/>
    <s v="all good"/>
    <n v="4"/>
    <s v="Africa"/>
    <x v="16"/>
    <s v="Lagos"/>
    <s v="Non-Profit"/>
    <s v="Marketplace"/>
    <x v="3"/>
    <x v="306"/>
    <n v="24"/>
    <n v="259.93"/>
    <n v="255.94"/>
    <s v="low"/>
    <n v="7.1999999999999995E-2"/>
    <n v="5700.2956800000002"/>
    <n v="6238.32"/>
    <n v="-9.4385335463861297E-2"/>
    <s v="G. Dubois"/>
    <n v="-538.02431999999953"/>
    <s v="Q1-2025"/>
    <s v="03 2025"/>
    <d v="2025-03-01T00:00:00"/>
    <d v="2023-01-01T00:00:00"/>
    <x v="18"/>
  </r>
  <r>
    <s v="ORD-2024-515105"/>
    <d v="2024-02-27T00:00:00"/>
    <d v="2024-03-26T00:00:00"/>
    <s v="all good"/>
    <n v="28"/>
    <s v="Asia"/>
    <x v="6"/>
    <s v="Mumbai"/>
    <s v="Education"/>
    <s v="Marketplace"/>
    <x v="4"/>
    <x v="307"/>
    <n v="8"/>
    <n v="1035.19"/>
    <n v="2322.6999999999998"/>
    <s v="high"/>
    <n v="0.17299999999999999"/>
    <n v="15366.983199999999"/>
    <n v="8281.52"/>
    <n v="0.46108355217047398"/>
    <s v="G. Dubois"/>
    <n v="7085.4631999999983"/>
    <s v="Q1-2024"/>
    <s v="02 2024"/>
    <d v="2024-02-01T00:00:00"/>
    <d v="2023-01-01T00:00:00"/>
    <x v="23"/>
  </r>
  <r>
    <s v="ORD-2023-575584"/>
    <d v="2023-01-30T00:00:00"/>
    <d v="2023-02-21T00:00:00"/>
    <s v="all good"/>
    <n v="22"/>
    <s v="Europe"/>
    <x v="0"/>
    <s v="Munich"/>
    <s v="Small Business"/>
    <s v="Marketplace"/>
    <x v="5"/>
    <x v="308"/>
    <n v="28"/>
    <n v="1142.8800000000001"/>
    <n v="1465.29"/>
    <s v="medium"/>
    <n v="0.186"/>
    <n v="33396.88968"/>
    <n v="32000.640000000003"/>
    <n v="4.1807775915017401E-2"/>
    <s v="G. Dubois"/>
    <n v="1396.2496799999972"/>
    <s v="Q1-2023"/>
    <s v="01 2023"/>
    <d v="2023-01-01T00:00:00"/>
    <d v="2023-01-01T00:00:00"/>
    <x v="19"/>
  </r>
  <r>
    <s v="ORD-2024-105586"/>
    <d v="2024-01-02T00:00:00"/>
    <d v="2024-01-15T00:00:00"/>
    <s v="all good"/>
    <n v="13"/>
    <s v="Asia"/>
    <x v="7"/>
    <s v="Nagoya"/>
    <s v="Small Business"/>
    <s v="Marketplace"/>
    <x v="5"/>
    <x v="309"/>
    <n v="14"/>
    <n v="1219.06"/>
    <n v="2738.69"/>
    <s v="high"/>
    <n v="7.5999999999999998E-2"/>
    <n v="35427.693840000007"/>
    <n v="17066.84"/>
    <n v="0.51826274447673704"/>
    <s v="G. Dubois"/>
    <n v="18360.853840000007"/>
    <s v="Q1-2024"/>
    <s v="01 2024"/>
    <d v="2024-01-01T00:00:00"/>
    <d v="2023-03-01T00:00:00"/>
    <x v="16"/>
  </r>
  <r>
    <s v="ORD-2023-451931"/>
    <d v="2023-07-30T00:00:00"/>
    <d v="2023-08-19T00:00:00"/>
    <s v="all good"/>
    <n v="20"/>
    <s v="Europe"/>
    <x v="2"/>
    <s v="Paris"/>
    <s v="Enterprise"/>
    <s v="Marketplace"/>
    <x v="5"/>
    <x v="310"/>
    <n v="12"/>
    <n v="1418.51"/>
    <n v="2789.61"/>
    <s v="high"/>
    <n v="0.17100000000000001"/>
    <n v="27751.040279999997"/>
    <n v="17022.12"/>
    <n v="0.386613264646957"/>
    <s v="G. Dubois"/>
    <n v="10728.920279999998"/>
    <s v="Q3-2023"/>
    <s v="07 2023"/>
    <d v="2023-07-01T00:00:00"/>
    <d v="2023-02-01T00:00:00"/>
    <x v="15"/>
  </r>
  <r>
    <s v="ORD-2024-605629"/>
    <d v="2024-07-15T00:00:00"/>
    <d v="2024-07-15T00:00:00"/>
    <s v="all good"/>
    <n v="0"/>
    <s v="Asia"/>
    <x v="7"/>
    <s v="Tokyo"/>
    <s v="Small Business"/>
    <s v="Marketplace"/>
    <x v="2"/>
    <x v="311"/>
    <n v="16"/>
    <n v="801.77"/>
    <n v="1218.92"/>
    <s v="medium"/>
    <n v="0.254"/>
    <n v="14549.029120000001"/>
    <n v="12828.32"/>
    <n v="0.118269686987883"/>
    <s v="G. Dubois"/>
    <n v="1720.7091200000013"/>
    <s v="Q3-2024"/>
    <s v="07 2024"/>
    <d v="2024-07-01T00:00:00"/>
    <d v="2023-03-01T00:00:00"/>
    <x v="25"/>
  </r>
  <r>
    <s v="ORD-2023-676553"/>
    <d v="2023-05-20T00:00:00"/>
    <d v="2023-06-19T00:00:00"/>
    <s v="all good"/>
    <n v="30"/>
    <s v="Asia"/>
    <x v="6"/>
    <s v="Delhi"/>
    <s v="Non-Profit"/>
    <s v="Marketplace"/>
    <x v="4"/>
    <x v="312"/>
    <n v="15"/>
    <n v="1161.2"/>
    <n v="878.73"/>
    <s v="medium"/>
    <n v="0.19"/>
    <n v="10676.569500000001"/>
    <n v="17418"/>
    <n v="-0.63142290227211995"/>
    <s v="H. Kim"/>
    <n v="-6741.4304999999986"/>
    <s v="Q2-2023"/>
    <s v="05 2023"/>
    <d v="2023-05-01T00:00:00"/>
    <d v="2023-01-01T00:00:00"/>
    <x v="29"/>
  </r>
  <r>
    <s v="ORD-2024-678110"/>
    <d v="2024-07-24T00:00:00"/>
    <d v="2024-08-08T00:00:00"/>
    <s v="all good"/>
    <n v="15"/>
    <s v="Europe"/>
    <x v="2"/>
    <s v="Marseille"/>
    <s v="Enterprise"/>
    <s v="Marketplace"/>
    <x v="4"/>
    <x v="313"/>
    <n v="27"/>
    <n v="501.5"/>
    <n v="1201.47"/>
    <s v="medium"/>
    <n v="0.126"/>
    <n v="28352.289060000003"/>
    <n v="13540.5"/>
    <n v="0.52241951359394101"/>
    <s v="H. Kim"/>
    <n v="14811.789060000003"/>
    <s v="Q3-2024"/>
    <s v="07 2024"/>
    <d v="2024-07-01T00:00:00"/>
    <d v="2023-02-01T00:00:00"/>
    <x v="26"/>
  </r>
  <r>
    <s v="ORD-2025-639542"/>
    <d v="2025-06-09T00:00:00"/>
    <d v="2025-06-18T00:00:00"/>
    <s v="all good"/>
    <n v="9"/>
    <s v="Europe"/>
    <x v="2"/>
    <s v="Marseille"/>
    <s v="Small Business"/>
    <s v="Marketplace"/>
    <x v="2"/>
    <x v="314"/>
    <n v="7"/>
    <n v="1225.5"/>
    <n v="5.27"/>
    <s v="low"/>
    <n v="7.4999999999999997E-2"/>
    <n v="34.123249999999999"/>
    <n v="8578.5"/>
    <n v="-250.39750756449001"/>
    <s v="H. Kim"/>
    <n v="-8544.3767499999994"/>
    <s v="Q2-2025"/>
    <s v="06 2025"/>
    <d v="2025-06-01T00:00:00"/>
    <d v="2023-02-01T00:00:00"/>
    <x v="0"/>
  </r>
  <r>
    <s v="ORD-2024-689872"/>
    <d v="2024-08-03T00:00:00"/>
    <d v="2024-08-09T00:00:00"/>
    <s v="all good"/>
    <n v="6"/>
    <s v="Africa"/>
    <x v="8"/>
    <s v="Mombasa"/>
    <s v="Consumer"/>
    <s v="Marketplace"/>
    <x v="4"/>
    <x v="315"/>
    <n v="13"/>
    <n v="643.21"/>
    <n v="1112.81"/>
    <s v="medium"/>
    <n v="0.14099999999999999"/>
    <n v="12426.749269999998"/>
    <n v="8361.73"/>
    <n v="0.32711847496702601"/>
    <s v="H. Kim"/>
    <n v="4065.0192699999989"/>
    <s v="Q3-2024"/>
    <s v="08 2024"/>
    <d v="2024-08-01T00:00:00"/>
    <d v="2023-01-01T00:00:00"/>
    <x v="8"/>
  </r>
  <r>
    <s v="ORD-2025-276968"/>
    <d v="2025-02-25T00:00:00"/>
    <d v="2025-03-17T00:00:00"/>
    <s v="all good"/>
    <n v="20"/>
    <s v="America"/>
    <x v="12"/>
    <s v="Francisco"/>
    <s v="Non-Profit"/>
    <s v="Marketplace"/>
    <x v="3"/>
    <x v="316"/>
    <n v="22"/>
    <n v="1205.26"/>
    <n v="1696.35"/>
    <s v="high"/>
    <n v="1.9E-2"/>
    <n v="36610.625699999997"/>
    <n v="26515.72"/>
    <n v="0.27573704374028202"/>
    <s v="H. Kim"/>
    <n v="10094.905699999996"/>
    <s v="Q1-2025"/>
    <s v="02 2025"/>
    <d v="2025-02-01T00:00:00"/>
    <d v="2023-01-01T00:00:00"/>
    <x v="31"/>
  </r>
  <r>
    <s v="ORD-2025-323492"/>
    <d v="2025-04-27T00:00:00"/>
    <d v="2025-05-27T00:00:00"/>
    <s v="all good"/>
    <n v="30"/>
    <s v="Asia"/>
    <x v="6"/>
    <s v="Unknown"/>
    <s v="Enterprise"/>
    <s v="Marketplace"/>
    <x v="3"/>
    <x v="317"/>
    <n v="15"/>
    <n v="481.32"/>
    <n v="1135.99"/>
    <s v="medium"/>
    <n v="0.14499999999999999"/>
    <n v="14569.071749999999"/>
    <n v="7219.8"/>
    <n v="0.50444337677175599"/>
    <s v="H. Kim"/>
    <n v="7349.271749999999"/>
    <s v="Q2-2025"/>
    <s v="04 2025"/>
    <d v="2025-04-01T00:00:00"/>
    <d v="2023-01-01T00:00:00"/>
    <x v="12"/>
  </r>
  <r>
    <s v="ORD-2025-881624"/>
    <d v="2025-02-21T00:00:00"/>
    <d v="2025-03-21T00:00:00"/>
    <s v="all good"/>
    <n v="28"/>
    <s v="Africa"/>
    <x v="16"/>
    <s v="Abuja"/>
    <s v="Enterprise"/>
    <s v="Marketplace"/>
    <x v="3"/>
    <x v="318"/>
    <n v="13"/>
    <n v="1437.39"/>
    <n v="1388.31"/>
    <s v="medium"/>
    <n v="0.13800000000000001"/>
    <n v="15557.401859999998"/>
    <n v="18686.07"/>
    <n v="-0.201104796813419"/>
    <s v="I. Johnson"/>
    <n v="-3128.6681400000016"/>
    <s v="Q1-2025"/>
    <s v="02 2025"/>
    <d v="2025-02-01T00:00:00"/>
    <d v="2023-01-01T00:00:00"/>
    <x v="31"/>
  </r>
  <r>
    <s v="ORD-2023-271918"/>
    <d v="2023-09-25T00:00:00"/>
    <d v="2023-10-02T00:00:00"/>
    <s v="all good"/>
    <n v="7"/>
    <s v="America"/>
    <x v="17"/>
    <s v="York"/>
    <s v="Education"/>
    <s v="Marketplace"/>
    <x v="2"/>
    <x v="319"/>
    <n v="53"/>
    <n v="145.58000000000001"/>
    <n v="228.15"/>
    <s v="low"/>
    <n v="0.20399999999999999"/>
    <n v="9625.1922000000013"/>
    <n v="7715.7400000000007"/>
    <n v="0.19838068272548401"/>
    <s v="I. Johnson"/>
    <n v="1909.4522000000006"/>
    <s v="Q3-2023"/>
    <s v="09 2023"/>
    <d v="2023-09-01T00:00:00"/>
    <d v="2023-02-01T00:00:00"/>
    <x v="9"/>
  </r>
  <r>
    <s v="ORD-2024-301260"/>
    <d v="2024-07-29T00:00:00"/>
    <d v="2024-07-31T00:00:00"/>
    <s v="all good"/>
    <n v="2"/>
    <s v="America"/>
    <x v="17"/>
    <s v="York"/>
    <s v="Education"/>
    <s v="Marketplace"/>
    <x v="0"/>
    <x v="320"/>
    <n v="10"/>
    <n v="798.97"/>
    <n v="1814.06"/>
    <s v="high"/>
    <n v="0.122"/>
    <n v="15927.446799999998"/>
    <n v="7989.7000000000007"/>
    <n v="0.49836906691159"/>
    <s v="I. Johnson"/>
    <n v="7937.7467999999972"/>
    <s v="Q3-2024"/>
    <s v="07 2024"/>
    <d v="2024-07-01T00:00:00"/>
    <d v="2023-02-01T00:00:00"/>
    <x v="26"/>
  </r>
  <r>
    <s v="ORD-2024-532184"/>
    <d v="2024-01-25T00:00:00"/>
    <d v="2024-02-08T00:00:00"/>
    <s v="all good"/>
    <n v="14"/>
    <s v="Asia"/>
    <x v="7"/>
    <s v="Osaka"/>
    <s v="Consumer"/>
    <s v="Marketplace"/>
    <x v="5"/>
    <x v="321"/>
    <n v="22"/>
    <n v="937.16"/>
    <n v="1069.77"/>
    <s v="medium"/>
    <n v="3.7999999999999999E-2"/>
    <n v="22640.612279999998"/>
    <n v="20617.52"/>
    <n v="8.9356783066645795E-2"/>
    <s v="I. Johnson"/>
    <n v="2023.0922799999971"/>
    <s v="Q1-2024"/>
    <s v="01 2024"/>
    <d v="2024-01-01T00:00:00"/>
    <d v="2023-03-01T00:00:00"/>
    <x v="16"/>
  </r>
  <r>
    <s v="ORD-2025-526650"/>
    <d v="2025-04-27T00:00:00"/>
    <d v="2025-05-25T00:00:00"/>
    <s v="all good"/>
    <n v="28"/>
    <s v="Europe"/>
    <x v="2"/>
    <s v="Paris"/>
    <s v="Small Business"/>
    <s v="Marketplace"/>
    <x v="3"/>
    <x v="322"/>
    <n v="14"/>
    <n v="603.45000000000005"/>
    <n v="1244.08"/>
    <s v="medium"/>
    <n v="0.2"/>
    <n v="13933.696"/>
    <n v="8448.3000000000011"/>
    <n v="0.39367846119220601"/>
    <s v="I. Johnson"/>
    <n v="5485.3959999999988"/>
    <s v="Q2-2025"/>
    <s v="04 2025"/>
    <d v="2025-04-01T00:00:00"/>
    <d v="2023-02-01T00:00:00"/>
    <x v="18"/>
  </r>
  <r>
    <s v="ORD-2024-566589"/>
    <d v="2024-06-11T00:00:00"/>
    <d v="2024-07-09T00:00:00"/>
    <s v="all good"/>
    <n v="28"/>
    <s v="Africa"/>
    <x v="11"/>
    <s v="Harcourt"/>
    <s v="Corporate"/>
    <s v="Marketplace"/>
    <x v="3"/>
    <x v="323"/>
    <n v="13"/>
    <n v="895.54"/>
    <n v="1045"/>
    <s v="medium"/>
    <n v="0.216"/>
    <n v="10650.640000000001"/>
    <n v="11642.02"/>
    <n v="-9.3081730299775303E-2"/>
    <s v="I. Johnson"/>
    <n v="-991.3799999999992"/>
    <s v="Q2-2024"/>
    <s v="06 2024"/>
    <d v="2024-06-01T00:00:00"/>
    <d v="2023-05-01T00:00:00"/>
    <x v="23"/>
  </r>
  <r>
    <s v="ORD-2024-853298"/>
    <d v="2024-03-06T00:00:00"/>
    <d v="2024-03-26T00:00:00"/>
    <s v="all good"/>
    <n v="20"/>
    <s v="Africa"/>
    <x v="11"/>
    <s v="Harcourt"/>
    <s v="Consumer"/>
    <s v="Marketplace"/>
    <x v="3"/>
    <x v="324"/>
    <n v="11"/>
    <n v="65.64"/>
    <n v="151.88"/>
    <s v="low"/>
    <n v="0.16700000000000001"/>
    <n v="1391.6764399999997"/>
    <n v="722.04"/>
    <n v="0.48117250587356403"/>
    <s v="I. Johnson"/>
    <n v="669.63643999999977"/>
    <s v="Q1-2024"/>
    <s v="03 2024"/>
    <d v="2024-03-01T00:00:00"/>
    <d v="2023-05-01T00:00:00"/>
    <x v="16"/>
  </r>
  <r>
    <s v="ORD-2023-163610"/>
    <d v="2023-10-22T00:00:00"/>
    <d v="2023-11-16T00:00:00"/>
    <s v="all good"/>
    <n v="25"/>
    <s v="America"/>
    <x v="3"/>
    <s v="Toronto"/>
    <s v="Small Business"/>
    <s v="Marketplace"/>
    <x v="4"/>
    <x v="325"/>
    <n v="12"/>
    <n v="1373.31"/>
    <n v="3154.14"/>
    <s v="high"/>
    <n v="0.2"/>
    <n v="30279.744000000002"/>
    <n v="16479.72"/>
    <n v="0.45575101295440301"/>
    <s v="I. Johnson"/>
    <n v="13800.024000000001"/>
    <s v="Q4-2023"/>
    <s v="10 2023"/>
    <d v="2023-10-01T00:00:00"/>
    <d v="2023-02-01T00:00:00"/>
    <x v="5"/>
  </r>
  <r>
    <s v="ORD-2025-306903"/>
    <d v="2025-06-24T00:00:00"/>
    <d v="2025-07-23T00:00:00"/>
    <s v="all good"/>
    <n v="29"/>
    <s v="America"/>
    <x v="3"/>
    <s v="Vancouver"/>
    <s v="Non-Profit"/>
    <s v="Marketplace"/>
    <x v="0"/>
    <x v="326"/>
    <n v="4"/>
    <n v="255.4"/>
    <n v="322.70999999999998"/>
    <s v="low"/>
    <n v="0.115"/>
    <n v="1142.3933999999999"/>
    <n v="1021.6"/>
    <n v="0.105737130484122"/>
    <s v="I. Johnson"/>
    <n v="120.79339999999991"/>
    <s v="Q2-2025"/>
    <s v="06 2025"/>
    <d v="2025-06-01T00:00:00"/>
    <d v="2023-02-01T00:00:00"/>
    <x v="0"/>
  </r>
  <r>
    <s v="ORD-2023-898009"/>
    <d v="2023-05-04T00:00:00"/>
    <d v="2023-05-16T00:00:00"/>
    <s v="all good"/>
    <n v="12"/>
    <s v="Africa"/>
    <x v="16"/>
    <s v="Abuja"/>
    <s v="Small Business"/>
    <s v="Marketplace"/>
    <x v="3"/>
    <x v="327"/>
    <n v="3"/>
    <n v="77.739999999999995"/>
    <n v="147.12"/>
    <s v="low"/>
    <n v="0"/>
    <n v="441.36"/>
    <n v="233.21999999999997"/>
    <n v="0.47158781946710199"/>
    <s v="J. Njeri"/>
    <n v="208.14000000000004"/>
    <s v="Q2-2023"/>
    <s v="05 2023"/>
    <d v="2023-05-01T00:00:00"/>
    <d v="2023-01-01T00:00:00"/>
    <x v="29"/>
  </r>
  <r>
    <s v="ORD-2023-864121"/>
    <d v="2023-03-27T00:00:00"/>
    <d v="2023-04-22T00:00:00"/>
    <s v="all good"/>
    <n v="26"/>
    <s v="Asia"/>
    <x v="6"/>
    <s v="Delhi"/>
    <s v="Non-Profit"/>
    <s v="Marketplace"/>
    <x v="0"/>
    <x v="328"/>
    <n v="10"/>
    <n v="178.53"/>
    <n v="199.37"/>
    <s v="low"/>
    <n v="0.10100000000000001"/>
    <n v="1792.3363000000002"/>
    <n v="1785.3"/>
    <n v="3.9257699573457304E-3"/>
    <s v="J. Njeri"/>
    <n v="7.0363000000002103"/>
    <s v="Q1-2023"/>
    <s v="03 2023"/>
    <d v="2023-03-01T00:00:00"/>
    <d v="2023-01-01T00:00:00"/>
    <x v="1"/>
  </r>
  <r>
    <s v="ORD-2025-473192"/>
    <d v="2025-03-30T00:00:00"/>
    <d v="2025-04-29T00:00:00"/>
    <s v="all good"/>
    <n v="30"/>
    <s v="Africa"/>
    <x v="10"/>
    <s v="Durban"/>
    <s v="Consumer"/>
    <s v="Marketplace"/>
    <x v="6"/>
    <x v="329"/>
    <n v="11"/>
    <n v="194.6"/>
    <n v="314.87"/>
    <s v="low"/>
    <n v="0.29299999999999998"/>
    <n v="2448.7439900000004"/>
    <n v="2140.6"/>
    <n v="0.12583756867127599"/>
    <s v="J. Njeri"/>
    <n v="308.14399000000049"/>
    <s v="Q1-2025"/>
    <s v="03 2025"/>
    <d v="2025-03-01T00:00:00"/>
    <d v="2023-02-01T00:00:00"/>
    <x v="31"/>
  </r>
  <r>
    <s v="ORD-2025-312803"/>
    <d v="2025-06-24T00:00:00"/>
    <d v="2025-07-14T00:00:00"/>
    <s v="all good"/>
    <n v="20"/>
    <s v="Africa"/>
    <x v="10"/>
    <s v="Johannesburg"/>
    <s v="Enterprise"/>
    <s v="Marketplace"/>
    <x v="4"/>
    <x v="330"/>
    <n v="12"/>
    <n v="1151.06"/>
    <n v="2821.36"/>
    <s v="high"/>
    <n v="0.248"/>
    <n v="25459.95264"/>
    <n v="13812.72"/>
    <n v="0.45747267501594202"/>
    <s v="J. Njeri"/>
    <n v="11647.23264"/>
    <s v="Q2-2025"/>
    <s v="06 2025"/>
    <d v="2025-06-01T00:00:00"/>
    <d v="2023-02-01T00:00:00"/>
    <x v="0"/>
  </r>
  <r>
    <s v="ORD-2025-417336"/>
    <d v="2025-08-30T00:00:00"/>
    <d v="2025-09-03T00:00:00"/>
    <s v="all good"/>
    <n v="4"/>
    <s v="Europe"/>
    <x v="2"/>
    <s v="Marseille"/>
    <s v="Small Business"/>
    <s v="Marketplace"/>
    <x v="4"/>
    <x v="331"/>
    <n v="13"/>
    <n v="1286.56"/>
    <n v="2777.35"/>
    <s v="high"/>
    <n v="0.13200000000000001"/>
    <n v="31339.617399999996"/>
    <n v="16725.28"/>
    <n v="0.46632150014696699"/>
    <s v="J. Njeri"/>
    <n v="14614.337399999997"/>
    <s v="Q3-2025"/>
    <s v="08 2025"/>
    <d v="2025-08-01T00:00:00"/>
    <d v="2023-02-01T00:00:00"/>
    <x v="20"/>
  </r>
  <r>
    <s v="ORD-2024-851883"/>
    <d v="2024-01-13T00:00:00"/>
    <d v="2024-01-22T00:00:00"/>
    <s v="all good"/>
    <n v="9"/>
    <s v="Asia"/>
    <x v="6"/>
    <s v="Mumbai"/>
    <s v="Enterprise"/>
    <s v="Marketplace"/>
    <x v="1"/>
    <x v="332"/>
    <n v="4"/>
    <n v="313.60000000000002"/>
    <n v="334.28"/>
    <s v="low"/>
    <n v="0.14000000000000001"/>
    <n v="1149.9232"/>
    <n v="1254.4000000000001"/>
    <n v="-9.0855458868905503E-2"/>
    <s v="J. Njeri"/>
    <n v="-104.47680000000014"/>
    <s v="Q1-2024"/>
    <s v="01 2024"/>
    <d v="2024-01-01T00:00:00"/>
    <d v="2023-01-01T00:00:00"/>
    <x v="4"/>
  </r>
  <r>
    <s v="ORD-2025-177994"/>
    <d v="2025-03-24T00:00:00"/>
    <d v="2025-04-04T00:00:00"/>
    <s v="all good"/>
    <n v="11"/>
    <s v="Asia"/>
    <x v="6"/>
    <s v="Mumbai"/>
    <s v="Education"/>
    <s v="Marketplace"/>
    <x v="3"/>
    <x v="333"/>
    <n v="5"/>
    <n v="23.83"/>
    <n v="47.29"/>
    <s v="low"/>
    <n v="6.4000000000000001E-2"/>
    <n v="221.31719999999999"/>
    <n v="119.14999999999999"/>
    <n v="0.46163244429262601"/>
    <s v="J. Njeri"/>
    <n v="102.16719999999999"/>
    <s v="Q1-2025"/>
    <s v="03 2025"/>
    <d v="2025-03-01T00:00:00"/>
    <d v="2023-01-01T00:00:00"/>
    <x v="18"/>
  </r>
  <r>
    <s v="ORD-2023-610470"/>
    <d v="2023-06-24T00:00:00"/>
    <d v="2023-07-21T00:00:00"/>
    <s v="all good"/>
    <n v="27"/>
    <s v="Asia"/>
    <x v="7"/>
    <s v="Nagoya"/>
    <s v="Consumer"/>
    <s v="Marketplace"/>
    <x v="3"/>
    <x v="334"/>
    <n v="5"/>
    <n v="554.76"/>
    <n v="728.69"/>
    <s v="low"/>
    <n v="0.22"/>
    <n v="2841.8910000000005"/>
    <n v="2773.8"/>
    <n v="2.39597507434312E-2"/>
    <s v="J. Njeri"/>
    <n v="68.091000000000349"/>
    <s v="Q2-2023"/>
    <s v="06 2023"/>
    <d v="2023-06-01T00:00:00"/>
    <d v="2023-03-01T00:00:00"/>
    <x v="11"/>
  </r>
  <r>
    <s v="ORD-2023-132101"/>
    <d v="2023-09-25T00:00:00"/>
    <d v="2023-10-09T00:00:00"/>
    <s v="all good"/>
    <n v="14"/>
    <s v="America"/>
    <x v="17"/>
    <s v="York"/>
    <s v="Small Business"/>
    <s v="Marketplace"/>
    <x v="4"/>
    <x v="335"/>
    <n v="7"/>
    <n v="1279.56"/>
    <n v="3083.8"/>
    <s v="high"/>
    <n v="0.106"/>
    <n v="19298.420400000003"/>
    <n v="8956.92"/>
    <n v="0.53587289455047804"/>
    <s v="J. Njeri"/>
    <n v="10341.500400000003"/>
    <s v="Q3-2023"/>
    <s v="09 2023"/>
    <d v="2023-09-01T00:00:00"/>
    <d v="2023-02-01T00:00:00"/>
    <x v="9"/>
  </r>
  <r>
    <s v="ORD-2025-907040"/>
    <d v="2025-04-17T00:00:00"/>
    <d v="2025-05-03T00:00:00"/>
    <s v="all good"/>
    <n v="16"/>
    <s v="America"/>
    <x v="15"/>
    <s v="Janeiro"/>
    <s v="Consumer"/>
    <s v="Marketplace"/>
    <x v="5"/>
    <x v="336"/>
    <n v="22"/>
    <n v="168.68"/>
    <n v="413.34"/>
    <s v="low"/>
    <n v="0.186"/>
    <n v="7402.0927200000006"/>
    <n v="3710.96"/>
    <n v="0.49866069767361698"/>
    <s v="J. Njeri"/>
    <n v="3691.1327200000005"/>
    <s v="Q2-2025"/>
    <s v="04 2025"/>
    <d v="2025-04-01T00:00:00"/>
    <d v="2023-05-01T00:00:00"/>
    <x v="10"/>
  </r>
  <r>
    <s v="ORD-2025-496178"/>
    <d v="2025-07-27T00:00:00"/>
    <d v="2025-08-15T00:00:00"/>
    <s v="all good"/>
    <n v="19"/>
    <s v="Asia"/>
    <x v="7"/>
    <s v="Tokyo"/>
    <s v="Small Business"/>
    <s v="Marketplace"/>
    <x v="1"/>
    <x v="337"/>
    <n v="37"/>
    <n v="275.43"/>
    <n v="608.36"/>
    <s v="low"/>
    <n v="0.25700000000000001"/>
    <n v="16724.424759999998"/>
    <n v="10190.91"/>
    <n v="0.39065706915231402"/>
    <s v="J. Njeri"/>
    <n v="6533.5147599999982"/>
    <s v="Q3-2025"/>
    <s v="07 2025"/>
    <d v="2025-07-01T00:00:00"/>
    <d v="2023-03-01T00:00:00"/>
    <x v="0"/>
  </r>
  <r>
    <s v="ORD-2023-545150"/>
    <d v="2023-04-06T00:00:00"/>
    <d v="2023-04-08T00:00:00"/>
    <s v="all good"/>
    <n v="2"/>
    <s v="Africa"/>
    <x v="16"/>
    <s v="Abuja"/>
    <s v="Small Business"/>
    <s v="Marketplace"/>
    <x v="6"/>
    <x v="338"/>
    <n v="9"/>
    <n v="720.35"/>
    <n v="1571.66"/>
    <s v="medium"/>
    <n v="0.107"/>
    <n v="12631.431420000001"/>
    <n v="6483.1500000000005"/>
    <n v="0.486744630562226"/>
    <s v="K. Singh"/>
    <n v="6148.2814200000003"/>
    <s v="Q2-2023"/>
    <s v="04 2023"/>
    <d v="2023-04-01T00:00:00"/>
    <d v="2023-01-01T00:00:00"/>
    <x v="11"/>
  </r>
  <r>
    <s v="ORD-2025-845715"/>
    <d v="2025-04-14T00:00:00"/>
    <d v="2025-05-04T00:00:00"/>
    <s v="all good"/>
    <n v="20"/>
    <s v="Europe"/>
    <x v="1"/>
    <s v="Birmingham"/>
    <s v="Enterprise"/>
    <s v="Marketplace"/>
    <x v="6"/>
    <x v="339"/>
    <n v="28"/>
    <n v="1413.87"/>
    <n v="3275"/>
    <s v="high"/>
    <n v="0.255"/>
    <n v="68316.5"/>
    <n v="39588.36"/>
    <n v="0.42051539525590398"/>
    <s v="K. Singh"/>
    <n v="28728.14"/>
    <s v="Q2-2025"/>
    <s v="04 2025"/>
    <d v="2025-04-01T00:00:00"/>
    <d v="2023-01-01T00:00:00"/>
    <x v="12"/>
  </r>
  <r>
    <s v="ORD-2023-906481"/>
    <d v="2023-05-02T00:00:00"/>
    <d v="2023-05-18T00:00:00"/>
    <s v="all good"/>
    <n v="16"/>
    <s v="Asia"/>
    <x v="6"/>
    <s v="Delhi"/>
    <s v="Small Business"/>
    <s v="Marketplace"/>
    <x v="6"/>
    <x v="340"/>
    <n v="24"/>
    <n v="1463.92"/>
    <n v="2252.2399999999998"/>
    <s v="high"/>
    <n v="0.11799999999999999"/>
    <n v="47675.416319999997"/>
    <n v="35134.080000000002"/>
    <n v="0.263056671300401"/>
    <s v="K. Singh"/>
    <n v="12541.336319999995"/>
    <s v="Q2-2023"/>
    <s v="05 2023"/>
    <d v="2023-05-01T00:00:00"/>
    <d v="2023-01-01T00:00:00"/>
    <x v="29"/>
  </r>
  <r>
    <s v="ORD-2025-778145"/>
    <d v="2025-04-22T00:00:00"/>
    <d v="2025-05-12T00:00:00"/>
    <s v="all good"/>
    <n v="20"/>
    <s v="Europe"/>
    <x v="2"/>
    <s v="Lyon"/>
    <s v="Enterprise"/>
    <s v="Marketplace"/>
    <x v="6"/>
    <x v="341"/>
    <n v="22"/>
    <n v="59.51"/>
    <n v="67.040000000000006"/>
    <s v="low"/>
    <n v="0.114"/>
    <n v="1306.74368"/>
    <n v="1309.22"/>
    <n v="-1.89503116632635E-3"/>
    <s v="K. Singh"/>
    <n v="-2.476319999999987"/>
    <s v="Q2-2025"/>
    <s v="04 2025"/>
    <d v="2025-04-01T00:00:00"/>
    <d v="2023-02-01T00:00:00"/>
    <x v="18"/>
  </r>
  <r>
    <s v="ORD-2024-973420"/>
    <d v="2024-05-12T00:00:00"/>
    <d v="2024-05-24T00:00:00"/>
    <s v="all good"/>
    <n v="12"/>
    <s v="Europe"/>
    <x v="1"/>
    <s v="Manchester"/>
    <s v="Education"/>
    <s v="Marketplace"/>
    <x v="0"/>
    <x v="342"/>
    <n v="11"/>
    <n v="111.02"/>
    <n v="172.88"/>
    <s v="low"/>
    <n v="0.19700000000000001"/>
    <n v="1527.0490399999996"/>
    <n v="1221.22"/>
    <n v="0.20027453735212"/>
    <s v="K. Singh"/>
    <n v="305.82903999999962"/>
    <s v="Q2-2024"/>
    <s v="05 2024"/>
    <d v="2024-05-01T00:00:00"/>
    <d v="2023-01-01T00:00:00"/>
    <x v="25"/>
  </r>
  <r>
    <s v="ORD-2025-114382"/>
    <d v="2025-05-14T00:00:00"/>
    <d v="2025-05-24T00:00:00"/>
    <s v="all good"/>
    <n v="10"/>
    <s v="Europe"/>
    <x v="2"/>
    <s v="Paris"/>
    <s v="Small Business"/>
    <s v="Marketplace"/>
    <x v="1"/>
    <x v="343"/>
    <n v="6"/>
    <n v="170.39"/>
    <n v="388.04"/>
    <s v="low"/>
    <n v="8.4000000000000005E-2"/>
    <n v="2132.6678400000005"/>
    <n v="1022.3399999999999"/>
    <n v="0.52062858508711796"/>
    <s v="K. Singh"/>
    <n v="1110.3278400000006"/>
    <s v="Q2-2025"/>
    <s v="05 2025"/>
    <d v="2025-05-01T00:00:00"/>
    <d v="2023-02-01T00:00:00"/>
    <x v="12"/>
  </r>
  <r>
    <s v="ORD-2023-502205"/>
    <d v="2023-10-09T00:00:00"/>
    <d v="2023-10-11T00:00:00"/>
    <s v="all good"/>
    <n v="2"/>
    <s v="Africa"/>
    <x v="11"/>
    <s v="Harcourt"/>
    <s v="Education"/>
    <s v="Marketplace"/>
    <x v="5"/>
    <x v="344"/>
    <n v="14"/>
    <n v="391.16"/>
    <n v="902.47"/>
    <s v="medium"/>
    <n v="4.0000000000000001E-3"/>
    <n v="12584.04168"/>
    <n v="5476.2400000000007"/>
    <n v="0.56482661618139196"/>
    <s v="K. Singh"/>
    <n v="7107.8016799999996"/>
    <s v="Q4-2023"/>
    <s v="10 2023"/>
    <d v="2023-10-01T00:00:00"/>
    <d v="2023-05-01T00:00:00"/>
    <x v="15"/>
  </r>
  <r>
    <s v="ORD-2025-289139"/>
    <d v="2025-08-10T00:00:00"/>
    <d v="2025-08-30T00:00:00"/>
    <s v="all good"/>
    <n v="20"/>
    <s v="America"/>
    <x v="12"/>
    <s v="Francisco"/>
    <s v="Corporate"/>
    <s v="Marketplace"/>
    <x v="0"/>
    <x v="345"/>
    <n v="5"/>
    <n v="933.29"/>
    <n v="1456.81"/>
    <s v="medium"/>
    <n v="0.123"/>
    <n v="6388.1118499999993"/>
    <n v="4666.45"/>
    <n v="0.26951028573489999"/>
    <s v="K. Singh"/>
    <n v="1721.6618499999995"/>
    <s v="Q3-2025"/>
    <s v="08 2025"/>
    <d v="2025-08-01T00:00:00"/>
    <d v="2023-01-01T00:00:00"/>
    <x v="13"/>
  </r>
  <r>
    <s v="ORD-2024-389336"/>
    <d v="2024-05-20T00:00:00"/>
    <d v="2024-06-02T00:00:00"/>
    <s v="all good"/>
    <n v="13"/>
    <s v="America"/>
    <x v="3"/>
    <s v="Vancouver"/>
    <s v="Enterprise"/>
    <s v="Marketplace"/>
    <x v="1"/>
    <x v="346"/>
    <n v="43"/>
    <n v="675.43"/>
    <n v="996.36"/>
    <s v="medium"/>
    <n v="0.182"/>
    <n v="35045.966640000006"/>
    <n v="29043.489999999998"/>
    <n v="0.171274392333326"/>
    <s v="K. Singh"/>
    <n v="6002.476640000008"/>
    <s v="Q2-2024"/>
    <s v="05 2024"/>
    <d v="2024-05-01T00:00:00"/>
    <d v="2023-02-01T00:00:00"/>
    <x v="30"/>
  </r>
  <r>
    <s v="ORD-2023-208944"/>
    <d v="2023-12-21T00:00:00"/>
    <d v="2024-01-06T00:00:00"/>
    <s v="all good"/>
    <n v="16"/>
    <s v="Africa"/>
    <x v="16"/>
    <s v="Unknown"/>
    <s v="Corporate"/>
    <s v="Marketplace"/>
    <x v="1"/>
    <x v="347"/>
    <n v="15"/>
    <n v="932.61"/>
    <n v="1982.98"/>
    <s v="high"/>
    <n v="0.14399999999999999"/>
    <n v="25461.463199999998"/>
    <n v="13989.15"/>
    <n v="0.45057556629345602"/>
    <s v="K. Singh"/>
    <n v="11472.313199999999"/>
    <s v="Q4-2023"/>
    <s v="12 2023"/>
    <d v="2023-12-01T00:00:00"/>
    <d v="2023-01-01T00:00:00"/>
    <x v="21"/>
  </r>
  <r>
    <s v="ORD-2023-732585"/>
    <d v="2023-08-25T00:00:00"/>
    <d v="2023-09-16T00:00:00"/>
    <s v="all good"/>
    <n v="22"/>
    <s v="Africa"/>
    <x v="16"/>
    <s v="Abuja"/>
    <s v="Corporate"/>
    <s v="Marketplace"/>
    <x v="3"/>
    <x v="348"/>
    <n v="16"/>
    <n v="1196.83"/>
    <n v="2513.5100000000002"/>
    <s v="high"/>
    <n v="8.3000000000000004E-2"/>
    <n v="36878.218720000004"/>
    <n v="19149.28"/>
    <n v="0.48074281609445402"/>
    <s v="L. Okafor"/>
    <n v="17728.938720000006"/>
    <s v="Q3-2023"/>
    <s v="08 2023"/>
    <d v="2023-08-01T00:00:00"/>
    <d v="2023-01-01T00:00:00"/>
    <x v="9"/>
  </r>
  <r>
    <s v="ORD-2024-704056"/>
    <d v="2024-06-23T00:00:00"/>
    <d v="2024-06-25T00:00:00"/>
    <s v="all good"/>
    <n v="2"/>
    <s v="Europe"/>
    <x v="1"/>
    <s v="Birmingham"/>
    <s v="Small Business"/>
    <s v="Marketplace"/>
    <x v="2"/>
    <x v="349"/>
    <n v="6"/>
    <n v="951.44"/>
    <n v="1646.43"/>
    <s v="high"/>
    <n v="0.11"/>
    <n v="8791.9362000000001"/>
    <n v="5708.64"/>
    <n v="0.35069592520473503"/>
    <s v="L. Okafor"/>
    <n v="3083.2961999999998"/>
    <s v="Q2-2024"/>
    <s v="06 2024"/>
    <d v="2024-06-01T00:00:00"/>
    <d v="2023-01-01T00:00:00"/>
    <x v="26"/>
  </r>
  <r>
    <s v="ORD-2023-653343"/>
    <d v="2023-11-10T00:00:00"/>
    <d v="2023-11-28T00:00:00"/>
    <s v="all good"/>
    <n v="18"/>
    <s v="America"/>
    <x v="5"/>
    <s v="Brasília"/>
    <s v="Education"/>
    <s v="Marketplace"/>
    <x v="2"/>
    <x v="350"/>
    <n v="11"/>
    <n v="388.51"/>
    <n v="776.46"/>
    <s v="low"/>
    <n v="0.157"/>
    <n v="7200.1135800000011"/>
    <n v="4273.6099999999997"/>
    <n v="0.40645241876865001"/>
    <s v="L. Okafor"/>
    <n v="2926.5035800000014"/>
    <s v="Q4-2023"/>
    <s v="11 2023"/>
    <d v="2023-11-01T00:00:00"/>
    <d v="2023-11-01T00:00:00"/>
    <x v="19"/>
  </r>
  <r>
    <s v="ORD-2023-944052"/>
    <d v="2023-08-30T00:00:00"/>
    <d v="2023-09-03T00:00:00"/>
    <s v="all good"/>
    <n v="4"/>
    <s v="Asia"/>
    <x v="6"/>
    <s v="Delhi"/>
    <s v="Small Business"/>
    <s v="Marketplace"/>
    <x v="2"/>
    <x v="351"/>
    <n v="17"/>
    <n v="1082.25"/>
    <n v="2433.34"/>
    <s v="high"/>
    <n v="0.27"/>
    <n v="30197.749399999997"/>
    <n v="18398.25"/>
    <n v="0.39074101992514698"/>
    <s v="L. Okafor"/>
    <n v="11799.499399999997"/>
    <s v="Q3-2023"/>
    <s v="08 2023"/>
    <d v="2023-08-01T00:00:00"/>
    <d v="2023-01-01T00:00:00"/>
    <x v="9"/>
  </r>
  <r>
    <s v="ORD-2023-964434"/>
    <d v="2023-11-28T00:00:00"/>
    <d v="2023-12-07T00:00:00"/>
    <s v="all good"/>
    <n v="9"/>
    <s v="Asia"/>
    <x v="6"/>
    <s v="Delhi"/>
    <s v="Enterprise"/>
    <s v="Marketplace"/>
    <x v="3"/>
    <x v="352"/>
    <n v="19"/>
    <n v="699.33"/>
    <n v="873.75"/>
    <s v="medium"/>
    <n v="0.23499999999999999"/>
    <n v="12699.956250000001"/>
    <n v="13287.27"/>
    <n v="-4.62453364750764E-2"/>
    <s v="L. Okafor"/>
    <n v="-587.31374999999935"/>
    <s v="Q4-2023"/>
    <s v="11 2023"/>
    <d v="2023-11-01T00:00:00"/>
    <d v="2023-01-01T00:00:00"/>
    <x v="16"/>
  </r>
  <r>
    <s v="ORD-2025-480172"/>
    <d v="2025-06-17T00:00:00"/>
    <d v="2025-07-05T00:00:00"/>
    <s v="all good"/>
    <n v="18"/>
    <s v="Asia"/>
    <x v="6"/>
    <s v="Delhi"/>
    <s v="Consumer"/>
    <s v="Marketplace"/>
    <x v="4"/>
    <x v="353"/>
    <n v="20"/>
    <n v="982.93"/>
    <n v="2299.3000000000002"/>
    <s v="high"/>
    <n v="0.113"/>
    <n v="40789.582000000002"/>
    <n v="19658.599999999999"/>
    <n v="0.51804850562087201"/>
    <s v="L. Okafor"/>
    <n v="21130.982000000004"/>
    <s v="Q2-2025"/>
    <s v="06 2025"/>
    <d v="2025-06-01T00:00:00"/>
    <d v="2023-01-01T00:00:00"/>
    <x v="3"/>
  </r>
  <r>
    <s v="ORD-2025-766923"/>
    <d v="2025-02-15T00:00:00"/>
    <d v="2025-02-15T00:00:00"/>
    <s v="all good"/>
    <n v="0"/>
    <s v="Europe"/>
    <x v="0"/>
    <s v="Frankfurt"/>
    <s v="Small Business"/>
    <s v="Marketplace"/>
    <x v="2"/>
    <x v="354"/>
    <n v="10"/>
    <n v="815.83"/>
    <n v="1982.18"/>
    <s v="high"/>
    <n v="0.127"/>
    <n v="17304.431399999998"/>
    <n v="8158.3"/>
    <n v="0.52854272923408496"/>
    <s v="L. Okafor"/>
    <n v="9146.1313999999984"/>
    <s v="Q1-2025"/>
    <s v="02 2025"/>
    <d v="2025-02-01T00:00:00"/>
    <d v="2023-01-01T00:00:00"/>
    <x v="31"/>
  </r>
  <r>
    <s v="ORD-2025-659650"/>
    <d v="2025-02-04T00:00:00"/>
    <d v="2025-02-08T00:00:00"/>
    <s v="all good"/>
    <n v="4"/>
    <s v="Europe"/>
    <x v="1"/>
    <s v="Manchester"/>
    <s v="Enterprise"/>
    <s v="Marketplace"/>
    <x v="5"/>
    <x v="355"/>
    <n v="21"/>
    <n v="586.21"/>
    <n v="727.22"/>
    <s v="low"/>
    <n v="6.8000000000000005E-2"/>
    <n v="14233.14984"/>
    <n v="12310.41"/>
    <n v="0.13508884973559701"/>
    <s v="L. Okafor"/>
    <n v="1922.7398400000002"/>
    <s v="Q1-2025"/>
    <s v="02 2025"/>
    <d v="2025-02-01T00:00:00"/>
    <d v="2023-01-01T00:00:00"/>
    <x v="31"/>
  </r>
  <r>
    <s v="ORD-2023-808024"/>
    <d v="2023-12-30T00:00:00"/>
    <d v="2024-01-08T00:00:00"/>
    <s v="all good"/>
    <n v="9"/>
    <s v="Europe"/>
    <x v="2"/>
    <s v="Marseille"/>
    <s v="Consumer"/>
    <s v="Marketplace"/>
    <x v="2"/>
    <x v="356"/>
    <n v="18"/>
    <n v="861.1"/>
    <n v="1224.72"/>
    <s v="medium"/>
    <n v="0.17399999999999999"/>
    <n v="18209.13696"/>
    <n v="15499.800000000001"/>
    <n v="0.14878997098827901"/>
    <s v="L. Okafor"/>
    <n v="2709.3369599999987"/>
    <s v="Q4-2023"/>
    <s v="12 2023"/>
    <d v="2023-12-01T00:00:00"/>
    <d v="2023-02-01T00:00:00"/>
    <x v="16"/>
  </r>
  <r>
    <s v="ORD-2023-431328"/>
    <d v="2023-12-20T00:00:00"/>
    <d v="2024-01-14T00:00:00"/>
    <s v="all good"/>
    <n v="25"/>
    <s v="Asia"/>
    <x v="6"/>
    <s v="Mumbai"/>
    <s v="Non-Profit"/>
    <s v="Marketplace"/>
    <x v="6"/>
    <x v="357"/>
    <n v="27"/>
    <n v="1085.6099999999999"/>
    <n v="1246.4100000000001"/>
    <s v="medium"/>
    <n v="0.113"/>
    <n v="29850.273089999999"/>
    <n v="29311.469999999998"/>
    <n v="1.8050189637310299E-2"/>
    <s v="L. Okafor"/>
    <n v="538.80309000000125"/>
    <s v="Q4-2023"/>
    <s v="12 2023"/>
    <d v="2023-12-01T00:00:00"/>
    <d v="2023-01-01T00:00:00"/>
    <x v="21"/>
  </r>
  <r>
    <s v="ORD-2023-378676"/>
    <d v="2023-05-03T00:00:00"/>
    <d v="2023-05-16T00:00:00"/>
    <s v="all good"/>
    <n v="13"/>
    <s v="America"/>
    <x v="17"/>
    <s v="York"/>
    <s v="Corporate"/>
    <s v="Marketplace"/>
    <x v="3"/>
    <x v="358"/>
    <n v="5"/>
    <n v="64.5"/>
    <n v="123.62"/>
    <s v="low"/>
    <n v="0"/>
    <n v="618.1"/>
    <n v="322.5"/>
    <n v="0.47823976702798898"/>
    <s v="L. Okafor"/>
    <n v="295.60000000000002"/>
    <s v="Q2-2023"/>
    <s v="05 2023"/>
    <d v="2023-05-01T00:00:00"/>
    <d v="2023-02-01T00:00:00"/>
    <x v="11"/>
  </r>
  <r>
    <s v="ORD-2025-188059"/>
    <d v="2025-06-27T00:00:00"/>
    <d v="2025-07-11T00:00:00"/>
    <s v="all good"/>
    <n v="14"/>
    <s v="Asia"/>
    <x v="4"/>
    <s v="Shanghai"/>
    <s v="Small Business"/>
    <s v="Marketplace"/>
    <x v="5"/>
    <x v="359"/>
    <n v="13"/>
    <n v="1227.7"/>
    <n v="2197.23"/>
    <s v="high"/>
    <n v="9.9000000000000005E-2"/>
    <n v="25736.154990000003"/>
    <n v="15960.1"/>
    <n v="0.37985685871873898"/>
    <s v="L. Okafor"/>
    <n v="9776.0549900000024"/>
    <s v="Q2-2025"/>
    <s v="06 2025"/>
    <d v="2025-06-01T00:00:00"/>
    <d v="2023-01-01T00:00:00"/>
    <x v="3"/>
  </r>
  <r>
    <s v="ORD-2024-584090"/>
    <d v="2024-06-07T00:00:00"/>
    <d v="2024-06-26T00:00:00"/>
    <s v="all good"/>
    <n v="19"/>
    <s v="Europe"/>
    <x v="0"/>
    <s v="Berlin"/>
    <s v="Non-Profit"/>
    <s v="Marketplace"/>
    <x v="1"/>
    <x v="360"/>
    <n v="24"/>
    <n v="1064.32"/>
    <n v="1848.39"/>
    <s v="high"/>
    <n v="7.2999999999999995E-2"/>
    <n v="41122.98072"/>
    <n v="25543.68"/>
    <n v="0.37884658279216299"/>
    <s v="M. Rossi"/>
    <n v="15579.300719999999"/>
    <s v="Q2-2024"/>
    <s v="06 2024"/>
    <d v="2024-06-01T00:00:00"/>
    <d v="2023-01-01T00:00:00"/>
    <x v="26"/>
  </r>
  <r>
    <s v="ORD-2024-223618"/>
    <d v="2024-06-10T00:00:00"/>
    <d v="2024-06-11T00:00:00"/>
    <s v="all good"/>
    <n v="1"/>
    <s v="Europe"/>
    <x v="1"/>
    <s v="Birmingham"/>
    <s v="Small Business"/>
    <s v="Marketplace"/>
    <x v="4"/>
    <x v="361"/>
    <n v="13"/>
    <n v="1187.1300000000001"/>
    <n v="1795.17"/>
    <s v="high"/>
    <n v="1.2E-2"/>
    <n v="23057.163479999999"/>
    <n v="15432.690000000002"/>
    <n v="0.33067699271046702"/>
    <s v="M. Rossi"/>
    <n v="7624.4734799999969"/>
    <s v="Q2-2024"/>
    <s v="06 2024"/>
    <d v="2024-06-01T00:00:00"/>
    <d v="2023-01-01T00:00:00"/>
    <x v="26"/>
  </r>
  <r>
    <s v="ORD-2023-640022"/>
    <d v="2023-08-24T00:00:00"/>
    <d v="2023-09-20T00:00:00"/>
    <s v="all good"/>
    <n v="27"/>
    <s v="Africa"/>
    <x v="10"/>
    <s v="Durban"/>
    <s v="Small Business"/>
    <s v="Marketplace"/>
    <x v="0"/>
    <x v="362"/>
    <n v="47"/>
    <n v="1399.64"/>
    <n v="3342.11"/>
    <s v="high"/>
    <n v="0"/>
    <n v="157079.17000000001"/>
    <n v="65783.08"/>
    <n v="0.58121067229983503"/>
    <s v="M. Rossi"/>
    <n v="91296.090000000011"/>
    <s v="Q3-2023"/>
    <s v="08 2023"/>
    <d v="2023-08-01T00:00:00"/>
    <d v="2023-02-01T00:00:00"/>
    <x v="7"/>
  </r>
  <r>
    <s v="ORD-2023-727290"/>
    <d v="2023-04-03T00:00:00"/>
    <d v="2023-04-16T00:00:00"/>
    <s v="all good"/>
    <n v="13"/>
    <s v="Europe"/>
    <x v="2"/>
    <s v="Marseille"/>
    <s v="Non-Profit"/>
    <s v="Marketplace"/>
    <x v="2"/>
    <x v="363"/>
    <n v="9"/>
    <n v="790.54"/>
    <n v="601.49"/>
    <s v="low"/>
    <n v="0"/>
    <n v="5413.41"/>
    <n v="7114.86"/>
    <n v="-0.31430281467688598"/>
    <s v="M. Rossi"/>
    <n v="-1701.4499999999998"/>
    <s v="Q2-2023"/>
    <s v="04 2023"/>
    <d v="2023-04-01T00:00:00"/>
    <d v="2023-02-01T00:00:00"/>
    <x v="1"/>
  </r>
  <r>
    <s v="ORD-2023-897079"/>
    <d v="2023-04-14T00:00:00"/>
    <d v="2023-05-14T00:00:00"/>
    <s v="all good"/>
    <n v="30"/>
    <s v="Africa"/>
    <x v="8"/>
    <s v="Nakuru"/>
    <s v="Consumer"/>
    <s v="Marketplace"/>
    <x v="3"/>
    <x v="364"/>
    <n v="19"/>
    <n v="209.25"/>
    <n v="434.8"/>
    <s v="low"/>
    <n v="0"/>
    <n v="8261.2000000000007"/>
    <n v="3975.75"/>
    <n v="0.51874425022999104"/>
    <s v="M. Rossi"/>
    <n v="4285.4500000000007"/>
    <s v="Q2-2023"/>
    <s v="04 2023"/>
    <d v="2023-04-01T00:00:00"/>
    <d v="2023-01-01T00:00:00"/>
    <x v="11"/>
  </r>
  <r>
    <s v="ORD-2024-320972"/>
    <d v="2024-11-08T00:00:00"/>
    <d v="2024-11-08T00:00:00"/>
    <s v="all good"/>
    <n v="0"/>
    <s v="Africa"/>
    <x v="8"/>
    <s v="Nakuru"/>
    <s v="Enterprise"/>
    <s v="Marketplace"/>
    <x v="5"/>
    <x v="365"/>
    <n v="18"/>
    <n v="803.28"/>
    <n v="1009"/>
    <s v="medium"/>
    <n v="0.11"/>
    <n v="16164.18"/>
    <n v="14459.039999999999"/>
    <n v="0.105488803020011"/>
    <s v="M. Rossi"/>
    <n v="1705.1400000000012"/>
    <s v="Q4-2024"/>
    <s v="11 2024"/>
    <d v="2024-11-01T00:00:00"/>
    <d v="2023-01-01T00:00:00"/>
    <x v="28"/>
  </r>
  <r>
    <s v="ORD-2025-580047"/>
    <d v="2025-06-14T00:00:00"/>
    <d v="2025-06-29T00:00:00"/>
    <s v="all good"/>
    <n v="15"/>
    <s v="Africa"/>
    <x v="11"/>
    <s v="Harcourt"/>
    <s v="Consumer"/>
    <s v="Marketplace"/>
    <x v="2"/>
    <x v="366"/>
    <n v="8"/>
    <n v="730.99"/>
    <n v="1242.8399999999999"/>
    <s v="medium"/>
    <n v="0.12"/>
    <n v="8749.5936000000002"/>
    <n v="5847.92"/>
    <n v="0.33163524303574499"/>
    <s v="M. Rossi"/>
    <n v="2901.6736000000001"/>
    <s v="Q2-2025"/>
    <s v="06 2025"/>
    <d v="2025-06-01T00:00:00"/>
    <d v="2023-05-01T00:00:00"/>
    <x v="31"/>
  </r>
  <r>
    <s v="ORD-2024-202877"/>
    <d v="2024-07-13T00:00:00"/>
    <d v="2024-08-03T00:00:00"/>
    <s v="all good"/>
    <n v="21"/>
    <s v="America"/>
    <x v="15"/>
    <s v="Janeiro"/>
    <s v="Corporate"/>
    <s v="Marketplace"/>
    <x v="6"/>
    <x v="367"/>
    <n v="9"/>
    <n v="702.98"/>
    <n v="1104.8"/>
    <s v="medium"/>
    <n v="0.17499999999999999"/>
    <n v="8203.14"/>
    <n v="6326.82"/>
    <n v="0.228731924604481"/>
    <s v="M. Rossi"/>
    <n v="1876.3199999999997"/>
    <s v="Q3-2024"/>
    <s v="07 2024"/>
    <d v="2024-07-01T00:00:00"/>
    <d v="2023-05-01T00:00:00"/>
    <x v="24"/>
  </r>
  <r>
    <s v="ORD-2024-164288"/>
    <d v="2024-12-21T00:00:00"/>
    <d v="2024-12-26T00:00:00"/>
    <s v="all good"/>
    <n v="5"/>
    <s v="America"/>
    <x v="12"/>
    <s v="Francisco"/>
    <s v="Consumer"/>
    <s v="Marketplace"/>
    <x v="0"/>
    <x v="368"/>
    <n v="5"/>
    <n v="699.57"/>
    <n v="572.71"/>
    <s v="low"/>
    <n v="0.192"/>
    <n v="2313.7484000000004"/>
    <n v="3497.8500000000004"/>
    <n v="-0.51176765805651103"/>
    <s v="M. Rossi"/>
    <n v="-1184.1016"/>
    <s v="Q4-2024"/>
    <s v="12 2024"/>
    <d v="2024-12-01T00:00:00"/>
    <d v="2023-01-01T00:00:00"/>
    <x v="10"/>
  </r>
  <r>
    <s v="ORD-2025-541501"/>
    <d v="2025-07-22T00:00:00"/>
    <d v="2025-08-18T00:00:00"/>
    <s v="all good"/>
    <n v="27"/>
    <s v="Asia"/>
    <x v="4"/>
    <s v="Shenzhen"/>
    <s v="Non-Profit"/>
    <s v="Marketplace"/>
    <x v="5"/>
    <x v="369"/>
    <n v="16"/>
    <n v="547.32000000000005"/>
    <n v="419.17"/>
    <s v="low"/>
    <n v="9.1999999999999998E-2"/>
    <n v="6089.7017600000008"/>
    <n v="8757.1200000000008"/>
    <n v="-0.43802116181137901"/>
    <s v="M. Rossi"/>
    <n v="-2667.41824"/>
    <s v="Q3-2025"/>
    <s v="07 2025"/>
    <d v="2025-07-01T00:00:00"/>
    <d v="2023-01-01T00:00:00"/>
    <x v="20"/>
  </r>
  <r>
    <s v="ORD-2023-664749"/>
    <d v="2023-08-27T00:00:00"/>
    <d v="2023-09-11T00:00:00"/>
    <s v="all good"/>
    <n v="15"/>
    <s v="Europe"/>
    <x v="1"/>
    <s v="London"/>
    <s v="Consumer"/>
    <s v="Marketplace"/>
    <x v="0"/>
    <x v="370"/>
    <n v="6"/>
    <n v="943.79"/>
    <n v="1913.76"/>
    <s v="high"/>
    <n v="9.0999999999999998E-2"/>
    <n v="10437.64704"/>
    <n v="5662.74"/>
    <n v="0.45746967891338097"/>
    <s v="N. Brown"/>
    <n v="4774.9070400000001"/>
    <s v="Q3-2023"/>
    <s v="08 2023"/>
    <d v="2023-08-01T00:00:00"/>
    <d v="2023-01-01T00:00:00"/>
    <x v="9"/>
  </r>
  <r>
    <s v="ORD-2024-499009"/>
    <d v="2024-01-25T00:00:00"/>
    <d v="2024-01-27T00:00:00"/>
    <s v="all good"/>
    <n v="2"/>
    <s v="America"/>
    <x v="9"/>
    <s v="Paulo"/>
    <s v="Non-Profit"/>
    <s v="Marketplace"/>
    <x v="4"/>
    <x v="371"/>
    <n v="11"/>
    <n v="1410.97"/>
    <n v="1650.75"/>
    <s v="high"/>
    <n v="0.13500000000000001"/>
    <n v="15706.88625"/>
    <n v="15520.67"/>
    <n v="1.1855707556295499E-2"/>
    <s v="N. Brown"/>
    <n v="186.21624999999949"/>
    <s v="Q1-2024"/>
    <s v="01 2024"/>
    <d v="2024-01-01T00:00:00"/>
    <d v="2023-02-01T00:00:00"/>
    <x v="21"/>
  </r>
  <r>
    <s v="ORD-2024-589570"/>
    <d v="2024-05-04T00:00:00"/>
    <d v="2024-05-29T00:00:00"/>
    <s v="all good"/>
    <n v="25"/>
    <s v="Africa"/>
    <x v="16"/>
    <s v="Abuja"/>
    <s v="Non-Profit"/>
    <s v="Marketplace"/>
    <x v="6"/>
    <x v="372"/>
    <n v="23"/>
    <n v="1295.3399999999999"/>
    <n v="2530.81"/>
    <s v="high"/>
    <n v="3.1E-2"/>
    <n v="56404.162469999996"/>
    <n v="29792.82"/>
    <n v="0.47179749338808002"/>
    <s v="O. Wang"/>
    <n v="26611.342469999996"/>
    <s v="Q2-2024"/>
    <s v="05 2024"/>
    <d v="2024-05-01T00:00:00"/>
    <d v="2023-01-01T00:00:00"/>
    <x v="25"/>
  </r>
  <r>
    <s v="ORD-2024-468655"/>
    <d v="2024-02-19T00:00:00"/>
    <d v="2024-03-06T00:00:00"/>
    <s v="all good"/>
    <n v="16"/>
    <s v="Asia"/>
    <x v="4"/>
    <s v="Beijing"/>
    <s v="Education"/>
    <s v="Marketplace"/>
    <x v="0"/>
    <x v="373"/>
    <n v="17"/>
    <n v="1477.84"/>
    <n v="3197.47"/>
    <s v="high"/>
    <n v="0.24299999999999999"/>
    <n v="41148.241430000002"/>
    <n v="25123.279999999999"/>
    <n v="0.38944462443823102"/>
    <s v="O. Wang"/>
    <n v="16024.961430000003"/>
    <s v="Q1-2024"/>
    <s v="02 2024"/>
    <d v="2024-02-01T00:00:00"/>
    <d v="2023-01-01T00:00:00"/>
    <x v="23"/>
  </r>
  <r>
    <s v="ORD-2025-649633"/>
    <d v="2025-07-19T00:00:00"/>
    <d v="2025-07-31T00:00:00"/>
    <s v="all good"/>
    <n v="12"/>
    <s v="Africa"/>
    <x v="8"/>
    <s v="Nairobi"/>
    <s v="Small Business"/>
    <s v="Marketplace"/>
    <x v="2"/>
    <x v="374"/>
    <n v="12"/>
    <n v="619.64"/>
    <n v="861.16"/>
    <s v="medium"/>
    <n v="0.113"/>
    <n v="9166.1870400000007"/>
    <n v="7435.68"/>
    <n v="0.188792464352768"/>
    <s v="O. Wang"/>
    <n v="1730.5070400000004"/>
    <s v="Q3-2025"/>
    <s v="07 2025"/>
    <d v="2025-07-01T00:00:00"/>
    <d v="2023-01-01T00:00:00"/>
    <x v="20"/>
  </r>
  <r>
    <s v="ORD-2023-594955"/>
    <d v="2023-06-20T00:00:00"/>
    <d v="2023-07-08T00:00:00"/>
    <s v="all good"/>
    <n v="18"/>
    <s v="America"/>
    <x v="17"/>
    <s v="York"/>
    <s v="Consumer"/>
    <s v="Marketplace"/>
    <x v="5"/>
    <x v="375"/>
    <n v="34"/>
    <n v="1145.53"/>
    <n v="1278.3"/>
    <s v="medium"/>
    <n v="0.09"/>
    <n v="39550.601999999999"/>
    <n v="38948.019999999997"/>
    <n v="1.5235722581416099E-2"/>
    <s v="O. Wang"/>
    <n v="602.58200000000215"/>
    <s v="Q2-2023"/>
    <s v="06 2023"/>
    <d v="2023-06-01T00:00:00"/>
    <d v="2023-02-01T00:00:00"/>
    <x v="29"/>
  </r>
  <r>
    <s v="ORD-2024-170021"/>
    <d v="2024-11-05T00:00:00"/>
    <d v="2024-11-08T00:00:00"/>
    <s v="all good"/>
    <n v="3"/>
    <s v="America"/>
    <x v="3"/>
    <s v="Toronto"/>
    <s v="Education"/>
    <s v="Marketplace"/>
    <x v="1"/>
    <x v="376"/>
    <n v="22"/>
    <n v="1020.4"/>
    <n v="1184.71"/>
    <s v="medium"/>
    <n v="0.106"/>
    <n v="23300.876280000004"/>
    <n v="22448.799999999999"/>
    <n v="3.6568422138328498E-2"/>
    <s v="O. Wang"/>
    <n v="852.07628000000477"/>
    <s v="Q4-2024"/>
    <s v="11 2024"/>
    <d v="2024-11-01T00:00:00"/>
    <d v="2023-02-01T00:00:00"/>
    <x v="6"/>
  </r>
  <r>
    <s v="ORD-2023-987081"/>
    <d v="2023-08-29T00:00:00"/>
    <d v="2023-09-13T00:00:00"/>
    <s v="all good"/>
    <n v="15"/>
    <s v="America"/>
    <x v="3"/>
    <s v="Vancouver"/>
    <s v="Small Business"/>
    <s v="Marketplace"/>
    <x v="0"/>
    <x v="377"/>
    <n v="11"/>
    <n v="1287.6400000000001"/>
    <n v="2717.15"/>
    <s v="high"/>
    <n v="3.2000000000000001E-2"/>
    <n v="28932.213200000002"/>
    <n v="14164.04"/>
    <n v="0.51044049405802105"/>
    <s v="O. Wang"/>
    <n v="14768.173200000001"/>
    <s v="Q3-2023"/>
    <s v="08 2023"/>
    <d v="2023-08-01T00:00:00"/>
    <d v="2023-02-01T00:00:00"/>
    <x v="7"/>
  </r>
  <r>
    <s v="ORD-2023-825084"/>
    <d v="2023-07-14T00:00:00"/>
    <d v="2023-07-21T00:00:00"/>
    <s v="all good"/>
    <n v="7"/>
    <s v="Africa"/>
    <x v="10"/>
    <s v="Durban"/>
    <s v="Enterprise"/>
    <s v="Marketplace"/>
    <x v="6"/>
    <x v="378"/>
    <n v="7"/>
    <n v="620.74"/>
    <n v="1330.07"/>
    <s v="medium"/>
    <n v="0.29899999999999999"/>
    <n v="6526.6534900000006"/>
    <n v="4345.18"/>
    <n v="0.33424073965967499"/>
    <s v="Unknown"/>
    <n v="2181.4734900000003"/>
    <s v="Q3-2023"/>
    <s v="07 2023"/>
    <d v="2023-07-01T00:00:00"/>
    <d v="2023-02-01T00:00:00"/>
    <x v="15"/>
  </r>
  <r>
    <s v="ORD-2025-677880"/>
    <d v="2025-08-21T00:00:00"/>
    <d v="2025-09-14T00:00:00"/>
    <s v="all good"/>
    <n v="24"/>
    <s v="Europe"/>
    <x v="0"/>
    <s v="Berlin"/>
    <s v="Non-Profit"/>
    <s v="Online"/>
    <x v="6"/>
    <x v="379"/>
    <n v="18"/>
    <n v="1397.67"/>
    <n v="3131.37"/>
    <s v="high"/>
    <n v="0.10299999999999999"/>
    <n v="50559.100019999998"/>
    <n v="25158.06"/>
    <n v="0.50240293062874797"/>
    <s v="A. Patel"/>
    <n v="25401.040019999997"/>
    <s v="Q3-2025"/>
    <s v="08 2025"/>
    <d v="2025-08-01T00:00:00"/>
    <d v="2023-01-01T00:00:00"/>
    <x v="13"/>
  </r>
  <r>
    <s v="ORD-2023-689428"/>
    <d v="2023-01-07T00:00:00"/>
    <d v="2023-01-30T00:00:00"/>
    <s v="all good"/>
    <n v="23"/>
    <s v="Africa"/>
    <x v="14"/>
    <s v="Town"/>
    <s v="Consumer"/>
    <s v="Online"/>
    <x v="0"/>
    <x v="380"/>
    <n v="25"/>
    <n v="299.02"/>
    <n v="724.7"/>
    <s v="low"/>
    <n v="0.14000000000000001"/>
    <n v="15581.05"/>
    <n v="7475.5"/>
    <n v="0.52021847051386105"/>
    <s v="A. Patel"/>
    <n v="8105.5499999999993"/>
    <s v="Q1-2023"/>
    <s v="01 2023"/>
    <d v="2023-01-01T00:00:00"/>
    <d v="2023-01-01T00:00:00"/>
    <x v="19"/>
  </r>
  <r>
    <s v="ORD-2023-349264"/>
    <d v="2023-06-01T00:00:00"/>
    <d v="2023-06-08T00:00:00"/>
    <s v="all good"/>
    <n v="7"/>
    <s v="Europe"/>
    <x v="0"/>
    <s v="Frankfurt"/>
    <s v="Consumer"/>
    <s v="Online"/>
    <x v="3"/>
    <x v="381"/>
    <n v="14"/>
    <n v="804.17"/>
    <n v="1072.29"/>
    <s v="medium"/>
    <n v="3.2000000000000001E-2"/>
    <n v="14531.674079999999"/>
    <n v="11258.38"/>
    <n v="0.22525237367558701"/>
    <s v="A. Patel"/>
    <n v="3273.2940799999997"/>
    <s v="Q2-2023"/>
    <s v="06 2023"/>
    <d v="2023-06-01T00:00:00"/>
    <d v="2023-01-01T00:00:00"/>
    <x v="15"/>
  </r>
  <r>
    <s v="ORD-2023-867166"/>
    <d v="2023-04-13T00:00:00"/>
    <d v="2023-04-20T00:00:00"/>
    <s v="all good"/>
    <n v="7"/>
    <s v="Europe"/>
    <x v="2"/>
    <s v="Lyon"/>
    <s v="Small Business"/>
    <s v="Online"/>
    <x v="4"/>
    <x v="382"/>
    <n v="28"/>
    <n v="227.02"/>
    <n v="434.72"/>
    <s v="low"/>
    <n v="9.8000000000000004E-2"/>
    <n v="10979.28832"/>
    <n v="6356.56"/>
    <n v="0.42104079838938002"/>
    <s v="A. Patel"/>
    <n v="4622.7283199999993"/>
    <s v="Q2-2023"/>
    <s v="04 2023"/>
    <d v="2023-04-01T00:00:00"/>
    <d v="2023-02-01T00:00:00"/>
    <x v="1"/>
  </r>
  <r>
    <s v="ORD-2025-762301"/>
    <d v="2025-05-02T00:00:00"/>
    <d v="2025-05-13T00:00:00"/>
    <s v="all good"/>
    <n v="11"/>
    <s v="Africa"/>
    <x v="8"/>
    <s v="Nakuru"/>
    <s v="Small Business"/>
    <s v="Online"/>
    <x v="2"/>
    <x v="383"/>
    <n v="41"/>
    <n v="1057.5999999999999"/>
    <n v="1437.06"/>
    <s v="medium"/>
    <n v="0.20499999999999999"/>
    <n v="46840.970699999998"/>
    <n v="43361.599999999999"/>
    <n v="7.4280499485891299E-2"/>
    <s v="A. Patel"/>
    <n v="3479.3706999999995"/>
    <s v="Q2-2025"/>
    <s v="05 2025"/>
    <d v="2025-05-01T00:00:00"/>
    <d v="2023-01-01T00:00:00"/>
    <x v="0"/>
  </r>
  <r>
    <s v="ORD-2024-599522"/>
    <d v="2024-04-19T00:00:00"/>
    <d v="2024-05-06T00:00:00"/>
    <s v="all good"/>
    <n v="17"/>
    <s v="Africa"/>
    <x v="11"/>
    <s v="Harcourt"/>
    <s v="Non-Profit"/>
    <s v="Online"/>
    <x v="0"/>
    <x v="384"/>
    <n v="18"/>
    <n v="865.33"/>
    <n v="1395.64"/>
    <s v="medium"/>
    <n v="0.17499999999999999"/>
    <n v="20725.254000000001"/>
    <n v="15575.94"/>
    <n v="0.248456014097584"/>
    <s v="A. Patel"/>
    <n v="5149.3140000000003"/>
    <s v="Q2-2024"/>
    <s v="04 2024"/>
    <d v="2024-04-01T00:00:00"/>
    <d v="2023-05-01T00:00:00"/>
    <x v="21"/>
  </r>
  <r>
    <s v="ORD-2025-929414"/>
    <d v="2025-06-26T00:00:00"/>
    <d v="2025-07-11T00:00:00"/>
    <s v="all good"/>
    <n v="15"/>
    <s v="Africa"/>
    <x v="11"/>
    <s v="Harcourt"/>
    <s v="Small Business"/>
    <s v="Online"/>
    <x v="4"/>
    <x v="385"/>
    <n v="31"/>
    <n v="1170.1500000000001"/>
    <n v="2115.19"/>
    <s v="high"/>
    <n v="9.1999999999999998E-2"/>
    <n v="59538.368119999999"/>
    <n v="36274.65"/>
    <n v="0.39073489674946799"/>
    <s v="A. Patel"/>
    <n v="23263.718119999998"/>
    <s v="Q2-2025"/>
    <s v="06 2025"/>
    <d v="2025-06-01T00:00:00"/>
    <d v="2023-05-01T00:00:00"/>
    <x v="31"/>
  </r>
  <r>
    <s v="ORD-2023-521818"/>
    <d v="2023-01-22T00:00:00"/>
    <d v="2023-01-30T00:00:00"/>
    <s v="all good"/>
    <n v="8"/>
    <s v="America"/>
    <x v="12"/>
    <s v="Francisco"/>
    <s v="Small Business"/>
    <s v="Online"/>
    <x v="5"/>
    <x v="386"/>
    <n v="18"/>
    <n v="413.52"/>
    <n v="1004.34"/>
    <s v="medium"/>
    <n v="0.111"/>
    <n v="16071.44868"/>
    <n v="7443.36"/>
    <n v="0.53685817948304604"/>
    <s v="A. Patel"/>
    <n v="8628.0886800000007"/>
    <s v="Q1-2023"/>
    <s v="01 2023"/>
    <d v="2023-01-01T00:00:00"/>
    <d v="2023-01-01T00:00:00"/>
    <x v="19"/>
  </r>
  <r>
    <s v="ORD-2024-206121"/>
    <d v="2024-02-18T00:00:00"/>
    <d v="2024-03-11T00:00:00"/>
    <s v="all good"/>
    <n v="22"/>
    <s v="America"/>
    <x v="9"/>
    <s v="Paulo"/>
    <s v="Consumer"/>
    <s v="Online"/>
    <x v="1"/>
    <x v="387"/>
    <n v="14"/>
    <n v="80.48"/>
    <n v="65.650000000000006"/>
    <s v="low"/>
    <n v="0.17599999999999999"/>
    <n v="757.33840000000021"/>
    <n v="1126.72"/>
    <n v="-0.48773652570634202"/>
    <s v="A. Patel"/>
    <n v="-369.38159999999982"/>
    <s v="Q1-2024"/>
    <s v="02 2024"/>
    <d v="2024-02-01T00:00:00"/>
    <d v="2023-02-01T00:00:00"/>
    <x v="4"/>
  </r>
  <r>
    <s v="ORD-2025-997421"/>
    <d v="2025-05-21T00:00:00"/>
    <d v="2025-06-09T00:00:00"/>
    <s v="all good"/>
    <n v="19"/>
    <s v="America"/>
    <x v="9"/>
    <s v="Paulo"/>
    <s v="Non-Profit"/>
    <s v="Online"/>
    <x v="1"/>
    <x v="388"/>
    <n v="17"/>
    <n v="1331.38"/>
    <n v="2309.56"/>
    <s v="high"/>
    <n v="0.14899999999999999"/>
    <n v="33412.404519999996"/>
    <n v="22633.460000000003"/>
    <n v="0.32260307735553501"/>
    <s v="A. Patel"/>
    <n v="10778.944519999994"/>
    <s v="Q2-2025"/>
    <s v="05 2025"/>
    <d v="2025-05-01T00:00:00"/>
    <d v="2023-02-01T00:00:00"/>
    <x v="12"/>
  </r>
  <r>
    <s v="ORD-2024-381197"/>
    <d v="2024-11-01T00:00:00"/>
    <d v="2024-11-12T00:00:00"/>
    <s v="all good"/>
    <n v="11"/>
    <s v="Europe"/>
    <x v="0"/>
    <s v="Frankfurt"/>
    <s v="Consumer"/>
    <s v="Online"/>
    <x v="0"/>
    <x v="389"/>
    <n v="11"/>
    <n v="599.84"/>
    <n v="1330.85"/>
    <s v="medium"/>
    <n v="0.115"/>
    <n v="12955.824749999998"/>
    <n v="6598.2400000000007"/>
    <n v="0.49071246892252102"/>
    <s v="B. Chen"/>
    <n v="6357.5847499999973"/>
    <s v="Q4-2024"/>
    <s v="11 2024"/>
    <d v="2024-11-01T00:00:00"/>
    <d v="2023-01-01T00:00:00"/>
    <x v="28"/>
  </r>
  <r>
    <s v="ORD-2024-968374"/>
    <d v="2024-02-11T00:00:00"/>
    <d v="2024-03-03T00:00:00"/>
    <s v="all good"/>
    <n v="21"/>
    <s v="Africa"/>
    <x v="8"/>
    <s v="Kisumu"/>
    <s v="Enterprise"/>
    <s v="Online"/>
    <x v="3"/>
    <x v="390"/>
    <n v="11"/>
    <n v="516.86"/>
    <n v="852.54"/>
    <s v="medium"/>
    <n v="5.0999999999999997E-2"/>
    <n v="8899.6650599999975"/>
    <n v="5685.46"/>
    <n v="0.36116022775355999"/>
    <s v="B. Chen"/>
    <n v="3214.2050599999975"/>
    <s v="Q1-2024"/>
    <s v="02 2024"/>
    <d v="2024-02-01T00:00:00"/>
    <d v="2023-01-01T00:00:00"/>
    <x v="23"/>
  </r>
  <r>
    <s v="ORD-2025-939953"/>
    <d v="2025-01-22T00:00:00"/>
    <d v="2025-01-22T00:00:00"/>
    <s v="all good"/>
    <n v="0"/>
    <s v="Europe"/>
    <x v="2"/>
    <s v="Lyon"/>
    <s v="Small Business"/>
    <s v="Online"/>
    <x v="2"/>
    <x v="391"/>
    <n v="5"/>
    <n v="591.72"/>
    <n v="577.24"/>
    <s v="low"/>
    <n v="0"/>
    <n v="2886.2"/>
    <n v="2958.6000000000004"/>
    <n v="-2.50848867022384E-2"/>
    <s v="B. Chen"/>
    <n v="-72.400000000000546"/>
    <s v="Q1-2025"/>
    <s v="01 2025"/>
    <d v="2025-01-01T00:00:00"/>
    <d v="2023-02-01T00:00:00"/>
    <x v="10"/>
  </r>
  <r>
    <s v="ORD-2024-692673"/>
    <d v="2024-03-07T00:00:00"/>
    <d v="2024-03-25T00:00:00"/>
    <s v="all good"/>
    <n v="18"/>
    <s v="Europe"/>
    <x v="0"/>
    <s v="Munich"/>
    <s v="Corporate"/>
    <s v="Online"/>
    <x v="1"/>
    <x v="392"/>
    <n v="35"/>
    <n v="712.84"/>
    <n v="927.51"/>
    <s v="medium"/>
    <n v="0.24299999999999999"/>
    <n v="24574.37745"/>
    <n v="24949.4"/>
    <n v="-1.5260714163076399E-2"/>
    <s v="B. Chen"/>
    <n v="-375.0225500000015"/>
    <s v="Q1-2024"/>
    <s v="03 2024"/>
    <d v="2024-03-01T00:00:00"/>
    <d v="2023-01-01T00:00:00"/>
    <x v="24"/>
  </r>
  <r>
    <s v="ORD-2024-690270"/>
    <d v="2024-05-17T00:00:00"/>
    <d v="2024-05-27T00:00:00"/>
    <s v="all good"/>
    <n v="10"/>
    <s v="America"/>
    <x v="13"/>
    <s v="Austin"/>
    <s v="Non-Profit"/>
    <s v="Online"/>
    <x v="3"/>
    <x v="393"/>
    <n v="9"/>
    <n v="1484.23"/>
    <n v="3472.81"/>
    <s v="high"/>
    <n v="0.25600000000000001"/>
    <n v="23253.93576"/>
    <n v="13358.07"/>
    <n v="0.42555659661803402"/>
    <s v="C. Otieno"/>
    <n v="9895.8657600000006"/>
    <s v="Q2-2024"/>
    <s v="05 2024"/>
    <d v="2024-05-01T00:00:00"/>
    <d v="2024-01-01T00:00:00"/>
    <x v="29"/>
  </r>
  <r>
    <s v="ORD-2025-354346"/>
    <d v="2025-01-09T00:00:00"/>
    <d v="2025-01-15T00:00:00"/>
    <s v="all good"/>
    <n v="6"/>
    <s v="Asia"/>
    <x v="4"/>
    <s v="Beijing"/>
    <s v="Education"/>
    <s v="Online"/>
    <x v="3"/>
    <x v="394"/>
    <n v="8"/>
    <n v="304.77999999999997"/>
    <n v="537.27"/>
    <s v="low"/>
    <n v="0.187"/>
    <n v="3494.4040799999998"/>
    <n v="2438.2399999999998"/>
    <n v="0.30224440443075501"/>
    <s v="C. Otieno"/>
    <n v="1056.16408"/>
    <s v="Q1-2025"/>
    <s v="01 2025"/>
    <d v="2025-01-01T00:00:00"/>
    <d v="2023-01-01T00:00:00"/>
    <x v="14"/>
  </r>
  <r>
    <s v="ORD-2025-757957"/>
    <d v="2025-04-24T00:00:00"/>
    <d v="2025-05-06T00:00:00"/>
    <s v="all good"/>
    <n v="12"/>
    <s v="America"/>
    <x v="5"/>
    <s v="Brasília"/>
    <s v="Consumer"/>
    <s v="Online"/>
    <x v="3"/>
    <x v="395"/>
    <n v="19"/>
    <n v="394.13"/>
    <n v="932.29"/>
    <s v="medium"/>
    <n v="0.109"/>
    <n v="15782.73741"/>
    <n v="7488.47"/>
    <n v="0.52552780893032702"/>
    <s v="C. Otieno"/>
    <n v="8294.2674100000004"/>
    <s v="Q2-2025"/>
    <s v="04 2025"/>
    <d v="2025-04-01T00:00:00"/>
    <d v="2024-05-01T00:00:00"/>
    <x v="21"/>
  </r>
  <r>
    <s v="ORD-2023-613287"/>
    <d v="2023-03-31T00:00:00"/>
    <d v="2023-04-12T00:00:00"/>
    <s v="all good"/>
    <n v="12"/>
    <s v="Africa"/>
    <x v="8"/>
    <s v="Mombasa"/>
    <s v="Small Business"/>
    <s v="Online"/>
    <x v="3"/>
    <x v="396"/>
    <n v="20"/>
    <n v="304.22000000000003"/>
    <n v="393.31"/>
    <s v="low"/>
    <n v="0.26500000000000001"/>
    <n v="5781.6570000000002"/>
    <n v="6084.4000000000005"/>
    <n v="-5.2362670424758902E-2"/>
    <s v="C. Otieno"/>
    <n v="-302.74300000000039"/>
    <s v="Q1-2023"/>
    <s v="03 2023"/>
    <d v="2023-03-01T00:00:00"/>
    <d v="2023-01-01T00:00:00"/>
    <x v="1"/>
  </r>
  <r>
    <s v="ORD-2024-437164"/>
    <d v="2024-02-20T00:00:00"/>
    <d v="2024-02-20T00:00:00"/>
    <s v="all good"/>
    <n v="0"/>
    <s v="America"/>
    <x v="17"/>
    <s v="York"/>
    <s v="Enterprise"/>
    <s v="Online"/>
    <x v="5"/>
    <x v="397"/>
    <n v="17"/>
    <n v="1407.05"/>
    <n v="2858.93"/>
    <s v="high"/>
    <n v="0"/>
    <n v="48601.81"/>
    <n v="23919.85"/>
    <n v="0.507840345863662"/>
    <s v="C. Otieno"/>
    <n v="24681.96"/>
    <s v="Q1-2024"/>
    <s v="02 2024"/>
    <d v="2024-02-01T00:00:00"/>
    <d v="2023-02-01T00:00:00"/>
    <x v="4"/>
  </r>
  <r>
    <s v="ORD-2025-823055"/>
    <d v="2025-09-08T00:00:00"/>
    <d v="2025-10-05T00:00:00"/>
    <s v="all good"/>
    <n v="27"/>
    <s v="America"/>
    <x v="15"/>
    <s v="Janeiro"/>
    <s v="Education"/>
    <s v="Online"/>
    <x v="6"/>
    <x v="398"/>
    <n v="5"/>
    <n v="660.78"/>
    <n v="1630.39"/>
    <s v="medium"/>
    <n v="0.218"/>
    <n v="6374.8249000000005"/>
    <n v="3303.8999999999996"/>
    <n v="0.48172694123724102"/>
    <s v="C. Otieno"/>
    <n v="3070.9249000000009"/>
    <s v="Q3-2025"/>
    <s v="09 2025"/>
    <d v="2025-09-01T00:00:00"/>
    <d v="2023-05-01T00:00:00"/>
    <x v="0"/>
  </r>
  <r>
    <s v="ORD-2023-769774"/>
    <d v="2023-06-13T00:00:00"/>
    <d v="2023-06-24T00:00:00"/>
    <s v="all good"/>
    <n v="11"/>
    <s v="America"/>
    <x v="3"/>
    <s v="Toronto"/>
    <s v="Corporate"/>
    <s v="Online"/>
    <x v="0"/>
    <x v="399"/>
    <n v="9"/>
    <n v="247.07"/>
    <n v="495.19"/>
    <s v="low"/>
    <n v="2.8000000000000001E-2"/>
    <n v="4331.9221200000002"/>
    <n v="2223.63"/>
    <n v="0.48668744764968203"/>
    <s v="C. Otieno"/>
    <n v="2108.2921200000001"/>
    <s v="Q2-2023"/>
    <s v="06 2023"/>
    <d v="2023-06-01T00:00:00"/>
    <d v="2023-02-01T00:00:00"/>
    <x v="29"/>
  </r>
  <r>
    <s v="ORD-2025-588029"/>
    <d v="2025-09-14T00:00:00"/>
    <d v="2025-09-23T00:00:00"/>
    <s v="all good"/>
    <n v="9"/>
    <s v="Africa"/>
    <x v="10"/>
    <s v="Durban"/>
    <s v="Non-Profit"/>
    <s v="Online"/>
    <x v="1"/>
    <x v="400"/>
    <n v="14"/>
    <n v="1310.3"/>
    <n v="2875.8"/>
    <s v="high"/>
    <n v="8.3000000000000004E-2"/>
    <n v="36919.520400000009"/>
    <n v="18344.2"/>
    <n v="0.50313005691157398"/>
    <s v="D. Smith"/>
    <n v="18575.320400000008"/>
    <s v="Q3-2025"/>
    <s v="09 2025"/>
    <d v="2025-09-01T00:00:00"/>
    <d v="2023-02-01T00:00:00"/>
    <x v="13"/>
  </r>
  <r>
    <s v="ORD-2024-140633"/>
    <d v="2024-12-07T00:00:00"/>
    <d v="2024-12-26T00:00:00"/>
    <s v="all good"/>
    <n v="19"/>
    <s v="Europe"/>
    <x v="1"/>
    <s v="London"/>
    <s v="Enterprise"/>
    <s v="Online"/>
    <x v="5"/>
    <x v="401"/>
    <n v="19"/>
    <n v="1035.24"/>
    <n v="2383.41"/>
    <s v="high"/>
    <n v="0.17"/>
    <n v="37586.37569999999"/>
    <n v="19669.560000000001"/>
    <n v="0.47668378145861001"/>
    <s v="D. Smith"/>
    <n v="17916.815699999988"/>
    <s v="Q4-2024"/>
    <s v="12 2024"/>
    <d v="2024-12-01T00:00:00"/>
    <d v="2023-01-01T00:00:00"/>
    <x v="10"/>
  </r>
  <r>
    <s v="ORD-2023-562894"/>
    <d v="2023-02-23T00:00:00"/>
    <d v="2023-03-25T00:00:00"/>
    <s v="all good"/>
    <n v="30"/>
    <s v="America"/>
    <x v="3"/>
    <s v="Montreal"/>
    <s v="Enterprise"/>
    <s v="Online"/>
    <x v="3"/>
    <x v="402"/>
    <n v="16"/>
    <n v="1242.6600000000001"/>
    <n v="1794.07"/>
    <s v="high"/>
    <n v="8.8999999999999996E-2"/>
    <n v="26150.364320000001"/>
    <n v="19882.560000000001"/>
    <n v="0.239683250424406"/>
    <s v="D. Smith"/>
    <n v="6267.8043199999993"/>
    <s v="Q1-2023"/>
    <s v="02 2023"/>
    <d v="2023-02-01T00:00:00"/>
    <d v="2023-02-01T00:00:00"/>
    <x v="19"/>
  </r>
  <r>
    <s v="ORD-2023-139236"/>
    <d v="2023-03-03T00:00:00"/>
    <d v="2023-03-20T00:00:00"/>
    <s v="all good"/>
    <n v="17"/>
    <s v="Asia"/>
    <x v="7"/>
    <s v="Nagoya"/>
    <s v="Small Business"/>
    <s v="Online"/>
    <x v="5"/>
    <x v="403"/>
    <n v="5"/>
    <n v="1171.17"/>
    <n v="2030.64"/>
    <s v="high"/>
    <n v="0.157"/>
    <n v="8559.1476000000002"/>
    <n v="5855.85"/>
    <n v="0.31583724528830398"/>
    <s v="D. Smith"/>
    <n v="2703.2975999999999"/>
    <s v="Q1-2023"/>
    <s v="03 2023"/>
    <d v="2023-03-01T00:00:00"/>
    <d v="2023-03-01T00:00:00"/>
    <x v="19"/>
  </r>
  <r>
    <s v="ORD-2023-286720"/>
    <d v="2023-07-08T00:00:00"/>
    <d v="2023-07-09T00:00:00"/>
    <s v="all good"/>
    <n v="1"/>
    <s v="Africa"/>
    <x v="8"/>
    <s v="Nairobi"/>
    <s v="Consumer"/>
    <s v="Online"/>
    <x v="4"/>
    <x v="404"/>
    <n v="10"/>
    <n v="1258.72"/>
    <n v="2797.41"/>
    <s v="high"/>
    <n v="0"/>
    <n v="27974.1"/>
    <n v="12587.2"/>
    <n v="0.55004093071805704"/>
    <s v="D. Smith"/>
    <n v="15386.899999999998"/>
    <s v="Q3-2023"/>
    <s v="07 2023"/>
    <d v="2023-07-01T00:00:00"/>
    <d v="2023-01-01T00:00:00"/>
    <x v="7"/>
  </r>
  <r>
    <s v="ORD-2024-364080"/>
    <d v="2024-04-16T00:00:00"/>
    <d v="2024-04-27T00:00:00"/>
    <s v="all good"/>
    <n v="11"/>
    <s v="Africa"/>
    <x v="8"/>
    <s v="Nakuru"/>
    <s v="Enterprise"/>
    <s v="Online"/>
    <x v="0"/>
    <x v="405"/>
    <n v="7"/>
    <n v="401.3"/>
    <n v="826.47"/>
    <s v="medium"/>
    <n v="0.22500000000000001"/>
    <n v="4483.5997500000003"/>
    <n v="2809.1"/>
    <n v="0.37347217489696799"/>
    <s v="D. Smith"/>
    <n v="1674.4997500000004"/>
    <s v="Q2-2024"/>
    <s v="04 2024"/>
    <d v="2024-04-01T00:00:00"/>
    <d v="2023-01-01T00:00:00"/>
    <x v="30"/>
  </r>
  <r>
    <s v="ORD-2023-450877"/>
    <d v="2023-09-21T00:00:00"/>
    <d v="2023-10-10T00:00:00"/>
    <s v="all good"/>
    <n v="19"/>
    <s v="Asia"/>
    <x v="7"/>
    <s v="Tokyo"/>
    <s v="Education"/>
    <s v="Online"/>
    <x v="1"/>
    <x v="406"/>
    <n v="14"/>
    <n v="845.63"/>
    <n v="2062.12"/>
    <s v="high"/>
    <n v="0.13400000000000001"/>
    <n v="25001.142879999999"/>
    <n v="11838.82"/>
    <n v="0.52646884757134005"/>
    <s v="D. Smith"/>
    <n v="13162.32288"/>
    <s v="Q3-2023"/>
    <s v="09 2023"/>
    <d v="2023-09-01T00:00:00"/>
    <d v="2023-04-01T00:00:00"/>
    <x v="15"/>
  </r>
  <r>
    <s v="ORD-2023-568013"/>
    <d v="2023-09-30T00:00:00"/>
    <d v="2023-10-30T00:00:00"/>
    <s v="all good"/>
    <n v="30"/>
    <s v="Asia"/>
    <x v="7"/>
    <s v="Tokyo"/>
    <s v="Enterprise"/>
    <s v="Online"/>
    <x v="0"/>
    <x v="407"/>
    <n v="18"/>
    <n v="649.13"/>
    <n v="975.43"/>
    <s v="medium"/>
    <n v="0.157"/>
    <n v="14801.174819999998"/>
    <n v="11684.34"/>
    <n v="0.21058023149543501"/>
    <s v="D. Smith"/>
    <n v="3116.8348199999982"/>
    <s v="Q3-2023"/>
    <s v="09 2023"/>
    <d v="2023-09-01T00:00:00"/>
    <d v="2023-04-01T00:00:00"/>
    <x v="15"/>
  </r>
  <r>
    <s v="ORD-2023-390998"/>
    <d v="2023-04-19T00:00:00"/>
    <d v="2023-04-28T00:00:00"/>
    <s v="all good"/>
    <n v="9"/>
    <s v="Europe"/>
    <x v="0"/>
    <s v="Berlin"/>
    <s v="Education"/>
    <s v="Online"/>
    <x v="6"/>
    <x v="408"/>
    <n v="11"/>
    <n v="1178.42"/>
    <n v="2446.56"/>
    <s v="high"/>
    <n v="2.9000000000000001E-2"/>
    <n v="26131.70736"/>
    <n v="12962.62"/>
    <n v="0.50395051416188796"/>
    <s v="E. Garcia"/>
    <n v="13169.08736"/>
    <s v="Q2-2023"/>
    <s v="04 2023"/>
    <d v="2023-04-01T00:00:00"/>
    <d v="2023-01-01T00:00:00"/>
    <x v="11"/>
  </r>
  <r>
    <s v="ORD-2025-947929"/>
    <d v="2025-03-23T00:00:00"/>
    <d v="2025-04-02T00:00:00"/>
    <s v="all good"/>
    <n v="10"/>
    <s v="Europe"/>
    <x v="0"/>
    <s v="Berlin"/>
    <s v="Enterprise"/>
    <s v="Online"/>
    <x v="0"/>
    <x v="409"/>
    <n v="12"/>
    <n v="663.61"/>
    <n v="1002.11"/>
    <s v="medium"/>
    <n v="4.5999999999999999E-2"/>
    <n v="11472.155279999999"/>
    <n v="7963.32"/>
    <n v="0.30585667595670801"/>
    <s v="E. Garcia"/>
    <n v="3508.8352799999993"/>
    <s v="Q1-2025"/>
    <s v="03 2025"/>
    <d v="2025-03-01T00:00:00"/>
    <d v="2023-01-01T00:00:00"/>
    <x v="18"/>
  </r>
  <r>
    <s v="ORD-2024-819979"/>
    <d v="2024-05-28T00:00:00"/>
    <d v="2024-06-18T00:00:00"/>
    <s v="all good"/>
    <n v="21"/>
    <s v="Europe"/>
    <x v="0"/>
    <s v="Frankfurt"/>
    <s v="Small Business"/>
    <s v="Online"/>
    <x v="3"/>
    <x v="410"/>
    <n v="8"/>
    <n v="986.85"/>
    <n v="2422.1"/>
    <s v="high"/>
    <n v="7.5999999999999998E-2"/>
    <n v="17904.163199999999"/>
    <n v="7894.8"/>
    <n v="0.55905227673527902"/>
    <s v="E. Garcia"/>
    <n v="10009.3632"/>
    <s v="Q2-2024"/>
    <s v="05 2024"/>
    <d v="2024-05-01T00:00:00"/>
    <d v="2023-01-01T00:00:00"/>
    <x v="25"/>
  </r>
  <r>
    <s v="ORD-2024-500511"/>
    <d v="2024-10-08T00:00:00"/>
    <d v="2024-10-08T00:00:00"/>
    <s v="all good"/>
    <n v="0"/>
    <s v="Europe"/>
    <x v="1"/>
    <s v="London"/>
    <s v="Corporate"/>
    <s v="Online"/>
    <x v="6"/>
    <x v="411"/>
    <n v="11"/>
    <n v="1108.1099999999999"/>
    <n v="2503.79"/>
    <s v="high"/>
    <n v="0.184"/>
    <n v="22474.019039999999"/>
    <n v="12189.21"/>
    <n v="0.45763105485025901"/>
    <s v="E. Garcia"/>
    <n v="10284.80904"/>
    <s v="Q4-2024"/>
    <s v="10 2024"/>
    <d v="2024-10-01T00:00:00"/>
    <d v="2023-01-01T00:00:00"/>
    <x v="6"/>
  </r>
  <r>
    <s v="ORD-2024-332076"/>
    <d v="2024-04-09T00:00:00"/>
    <d v="2024-04-18T00:00:00"/>
    <s v="all good"/>
    <n v="9"/>
    <s v="Europe"/>
    <x v="2"/>
    <s v="Lyon"/>
    <s v="Consumer"/>
    <s v="Online"/>
    <x v="0"/>
    <x v="412"/>
    <n v="2"/>
    <n v="1288.8499999999999"/>
    <n v="2751.84"/>
    <s v="high"/>
    <n v="0.158"/>
    <n v="4634.0985600000004"/>
    <n v="2577.6999999999998"/>
    <n v="0.44375373837538801"/>
    <s v="E. Garcia"/>
    <n v="2056.3985600000005"/>
    <s v="Q2-2024"/>
    <s v="04 2024"/>
    <d v="2024-04-01T00:00:00"/>
    <d v="2023-02-01T00:00:00"/>
    <x v="24"/>
  </r>
  <r>
    <s v="ORD-2024-907733"/>
    <d v="2024-03-09T00:00:00"/>
    <d v="2024-03-22T00:00:00"/>
    <s v="all good"/>
    <n v="13"/>
    <s v="Europe"/>
    <x v="1"/>
    <s v="Manchester"/>
    <s v="Consumer"/>
    <s v="Online"/>
    <x v="4"/>
    <x v="413"/>
    <n v="7"/>
    <n v="985.45"/>
    <n v="1802.44"/>
    <s v="high"/>
    <n v="8.9999999999999993E-3"/>
    <n v="12503.52628"/>
    <n v="6898.1500000000005"/>
    <n v="0.44830363486867503"/>
    <s v="E. Garcia"/>
    <n v="5605.3762799999995"/>
    <s v="Q1-2024"/>
    <s v="03 2024"/>
    <d v="2024-03-01T00:00:00"/>
    <d v="2023-01-01T00:00:00"/>
    <x v="24"/>
  </r>
  <r>
    <s v="ORD-2024-357368"/>
    <d v="2024-10-30T00:00:00"/>
    <d v="2024-11-24T00:00:00"/>
    <s v="all good"/>
    <n v="25"/>
    <s v="Asia"/>
    <x v="4"/>
    <s v="Shenzhen"/>
    <s v="Small Business"/>
    <s v="Online"/>
    <x v="1"/>
    <x v="414"/>
    <n v="11"/>
    <n v="811.05"/>
    <n v="1217.71"/>
    <s v="medium"/>
    <n v="7.1999999999999995E-2"/>
    <n v="12430.383680000003"/>
    <n v="8921.5499999999993"/>
    <n v="0.28227879125288602"/>
    <s v="E. Garcia"/>
    <n v="3508.8336800000034"/>
    <s v="Q4-2024"/>
    <s v="10 2024"/>
    <d v="2024-10-01T00:00:00"/>
    <d v="2023-01-01T00:00:00"/>
    <x v="6"/>
  </r>
  <r>
    <s v="ORD-2024-510520"/>
    <d v="2024-09-25T00:00:00"/>
    <d v="2024-10-03T00:00:00"/>
    <s v="all good"/>
    <n v="8"/>
    <s v="America"/>
    <x v="3"/>
    <s v="Toronto"/>
    <s v="Consumer"/>
    <s v="Online"/>
    <x v="0"/>
    <x v="415"/>
    <n v="7"/>
    <n v="558.19000000000005"/>
    <n v="1031.6400000000001"/>
    <s v="medium"/>
    <n v="0"/>
    <n v="7221.4800000000005"/>
    <n v="3907.3300000000004"/>
    <n v="0.458929471521073"/>
    <s v="E. Garcia"/>
    <n v="3314.15"/>
    <s v="Q3-2024"/>
    <s v="09 2024"/>
    <d v="2024-09-01T00:00:00"/>
    <d v="2023-04-01T00:00:00"/>
    <x v="26"/>
  </r>
  <r>
    <s v="ORD-2025-509940"/>
    <d v="2025-05-16T00:00:00"/>
    <d v="2025-05-27T00:00:00"/>
    <s v="all good"/>
    <n v="11"/>
    <s v="Asia"/>
    <x v="4"/>
    <s v="Beijing"/>
    <s v="Enterprise"/>
    <s v="Online"/>
    <x v="3"/>
    <x v="416"/>
    <n v="16"/>
    <n v="918.12"/>
    <n v="1337.69"/>
    <s v="medium"/>
    <n v="9.5000000000000001E-2"/>
    <n v="19369.751200000002"/>
    <n v="14689.92"/>
    <n v="0.241605127070502"/>
    <s v="F. Müller"/>
    <n v="4679.8312000000024"/>
    <s v="Q2-2025"/>
    <s v="05 2025"/>
    <d v="2025-05-01T00:00:00"/>
    <d v="2023-01-01T00:00:00"/>
    <x v="0"/>
  </r>
  <r>
    <s v="ORD-2023-211715"/>
    <d v="2023-10-30T00:00:00"/>
    <d v="2023-11-14T00:00:00"/>
    <s v="all good"/>
    <n v="15"/>
    <s v="Asia"/>
    <x v="6"/>
    <s v="Bengaluru"/>
    <s v="Corporate"/>
    <s v="Online"/>
    <x v="4"/>
    <x v="417"/>
    <n v="11"/>
    <n v="953.46"/>
    <n v="2066.75"/>
    <s v="high"/>
    <n v="0.13800000000000001"/>
    <n v="19596.923500000001"/>
    <n v="10488.060000000001"/>
    <n v="0.46481089238318402"/>
    <s v="F. Müller"/>
    <n v="9108.8634999999995"/>
    <s v="Q4-2023"/>
    <s v="10 2023"/>
    <d v="2023-10-01T00:00:00"/>
    <d v="2023-01-01T00:00:00"/>
    <x v="2"/>
  </r>
  <r>
    <s v="ORD-2024-961501"/>
    <d v="2024-03-02T00:00:00"/>
    <d v="2024-03-23T00:00:00"/>
    <s v="all good"/>
    <n v="21"/>
    <s v="America"/>
    <x v="13"/>
    <s v="Chicago"/>
    <s v="Small Business"/>
    <s v="Online"/>
    <x v="1"/>
    <x v="418"/>
    <n v="6"/>
    <n v="225.01"/>
    <n v="333.48"/>
    <s v="low"/>
    <n v="0.11899999999999999"/>
    <n v="1762.7752800000001"/>
    <n v="1350.06"/>
    <n v="0.23412813004729699"/>
    <s v="F. Müller"/>
    <n v="412.71528000000012"/>
    <s v="Q1-2024"/>
    <s v="03 2024"/>
    <d v="2024-03-01T00:00:00"/>
    <d v="2024-01-01T00:00:00"/>
    <x v="1"/>
  </r>
  <r>
    <s v="ORD-2023-156396"/>
    <d v="2023-02-21T00:00:00"/>
    <d v="2023-03-12T00:00:00"/>
    <s v="all good"/>
    <n v="19"/>
    <s v="Africa"/>
    <x v="8"/>
    <s v="Nakuru"/>
    <s v="Corporate"/>
    <s v="Online"/>
    <x v="5"/>
    <x v="419"/>
    <n v="15"/>
    <n v="352.65"/>
    <n v="485.86"/>
    <s v="low"/>
    <n v="4.1000000000000002E-2"/>
    <n v="6989.0961000000007"/>
    <n v="5289.75"/>
    <n v="0.243142471599439"/>
    <s v="F. Müller"/>
    <n v="1699.3461000000007"/>
    <s v="Q1-2023"/>
    <s v="02 2023"/>
    <d v="2023-02-01T00:00:00"/>
    <d v="2023-01-01T00:00:00"/>
    <x v="17"/>
  </r>
  <r>
    <s v="ORD-2025-189846"/>
    <d v="2025-08-11T00:00:00"/>
    <d v="2025-08-28T00:00:00"/>
    <s v="all good"/>
    <n v="17"/>
    <s v="Europe"/>
    <x v="2"/>
    <s v="Paris"/>
    <s v="Education"/>
    <s v="Online"/>
    <x v="5"/>
    <x v="420"/>
    <n v="10"/>
    <n v="416.16"/>
    <n v="571.9"/>
    <s v="low"/>
    <n v="7.0999999999999994E-2"/>
    <n v="5312.951"/>
    <n v="4161.6000000000004"/>
    <n v="0.216706497010795"/>
    <s v="F. Müller"/>
    <n v="1151.3509999999997"/>
    <s v="Q3-2025"/>
    <s v="08 2025"/>
    <d v="2025-08-01T00:00:00"/>
    <d v="2023-02-01T00:00:00"/>
    <x v="20"/>
  </r>
  <r>
    <s v="ORD-2024-720756"/>
    <d v="2024-10-11T00:00:00"/>
    <d v="2024-11-09T00:00:00"/>
    <s v="all good"/>
    <n v="29"/>
    <s v="Asia"/>
    <x v="4"/>
    <s v="Shanghai"/>
    <s v="Non-Profit"/>
    <s v="Online"/>
    <x v="0"/>
    <x v="421"/>
    <n v="6"/>
    <n v="391.64"/>
    <n v="504.76"/>
    <s v="low"/>
    <n v="4.0000000000000001E-3"/>
    <n v="3016.4457600000001"/>
    <n v="2349.84"/>
    <n v="0.22099046793402299"/>
    <s v="F. Müller"/>
    <n v="666.60575999999992"/>
    <s v="Q4-2024"/>
    <s v="10 2024"/>
    <d v="2024-10-01T00:00:00"/>
    <d v="2023-01-01T00:00:00"/>
    <x v="6"/>
  </r>
  <r>
    <s v="ORD-2023-713614"/>
    <d v="2023-08-02T00:00:00"/>
    <d v="2023-08-19T00:00:00"/>
    <s v="all good"/>
    <n v="17"/>
    <s v="America"/>
    <x v="3"/>
    <s v="Vancouver"/>
    <s v="Corporate"/>
    <s v="Online"/>
    <x v="5"/>
    <x v="422"/>
    <n v="42"/>
    <n v="175.38"/>
    <n v="347.9"/>
    <s v="low"/>
    <n v="7.1999999999999995E-2"/>
    <n v="13559.750400000001"/>
    <n v="7365.96"/>
    <n v="0.45677761148169799"/>
    <s v="F. Müller"/>
    <n v="6193.7904000000008"/>
    <s v="Q3-2023"/>
    <s v="08 2023"/>
    <d v="2023-08-01T00:00:00"/>
    <d v="2023-04-01T00:00:00"/>
    <x v="29"/>
  </r>
  <r>
    <s v="ORD-2024-220234"/>
    <d v="2024-03-15T00:00:00"/>
    <d v="2024-04-09T00:00:00"/>
    <s v="all good"/>
    <n v="25"/>
    <s v="America"/>
    <x v="3"/>
    <s v="Vancouver"/>
    <s v="Consumer"/>
    <s v="Online"/>
    <x v="6"/>
    <x v="423"/>
    <n v="24"/>
    <n v="648.64"/>
    <n v="815.19"/>
    <s v="low"/>
    <n v="0.22500000000000001"/>
    <n v="15162.534000000001"/>
    <n v="15567.36"/>
    <n v="-2.6699099240272001E-2"/>
    <s v="F. Müller"/>
    <n v="-404.82599999999911"/>
    <s v="Q1-2024"/>
    <s v="03 2024"/>
    <d v="2024-03-01T00:00:00"/>
    <d v="2023-04-01T00:00:00"/>
    <x v="21"/>
  </r>
  <r>
    <s v="ORD-2024-897622"/>
    <d v="2024-03-30T00:00:00"/>
    <d v="2024-04-24T00:00:00"/>
    <s v="all good"/>
    <n v="25"/>
    <s v="America"/>
    <x v="13"/>
    <s v="Austin"/>
    <s v="Non-Profit"/>
    <s v="Online"/>
    <x v="4"/>
    <x v="424"/>
    <n v="24"/>
    <n v="160.82"/>
    <n v="258.52"/>
    <s v="low"/>
    <n v="0.13"/>
    <n v="5397.8975999999993"/>
    <n v="3859.68"/>
    <n v="0.28496605789631901"/>
    <s v="G. Dubois"/>
    <n v="1538.2175999999995"/>
    <s v="Q1-2024"/>
    <s v="03 2024"/>
    <d v="2024-03-01T00:00:00"/>
    <d v="2024-01-01T00:00:00"/>
    <x v="1"/>
  </r>
  <r>
    <s v="ORD-2025-649239"/>
    <d v="2025-01-17T00:00:00"/>
    <d v="2025-01-24T00:00:00"/>
    <s v="all good"/>
    <n v="7"/>
    <s v="America"/>
    <x v="13"/>
    <s v="Austin"/>
    <s v="Enterprise"/>
    <s v="Online"/>
    <x v="2"/>
    <x v="425"/>
    <n v="8"/>
    <n v="142.09"/>
    <n v="218.5"/>
    <s v="low"/>
    <n v="0.11899999999999999"/>
    <n v="1539.9880000000001"/>
    <n v="1136.72"/>
    <n v="0.261864378163986"/>
    <s v="G. Dubois"/>
    <n v="403.26800000000003"/>
    <s v="Q1-2025"/>
    <s v="01 2025"/>
    <d v="2025-01-01T00:00:00"/>
    <d v="2024-01-01T00:00:00"/>
    <x v="4"/>
  </r>
  <r>
    <s v="ORD-2025-331237"/>
    <d v="2025-03-24T00:00:00"/>
    <d v="2025-03-25T00:00:00"/>
    <s v="all good"/>
    <n v="1"/>
    <s v="Asia"/>
    <x v="4"/>
    <s v="Beijing"/>
    <s v="Non-Profit"/>
    <s v="Online"/>
    <x v="5"/>
    <x v="426"/>
    <n v="21"/>
    <n v="1133.03"/>
    <n v="1921.51"/>
    <s v="high"/>
    <n v="0.10100000000000001"/>
    <n v="36276.187290000002"/>
    <n v="23793.63"/>
    <n v="0.34409782897556501"/>
    <s v="G. Dubois"/>
    <n v="12482.557290000001"/>
    <s v="Q1-2025"/>
    <s v="03 2025"/>
    <d v="2025-03-01T00:00:00"/>
    <d v="2023-01-01T00:00:00"/>
    <x v="18"/>
  </r>
  <r>
    <s v="ORD-2024-210687"/>
    <d v="2024-01-28T00:00:00"/>
    <d v="2024-02-09T00:00:00"/>
    <s v="all good"/>
    <n v="12"/>
    <s v="Europe"/>
    <x v="0"/>
    <s v="Berlin"/>
    <s v="Corporate"/>
    <s v="Online"/>
    <x v="2"/>
    <x v="427"/>
    <n v="18"/>
    <n v="644.16999999999996"/>
    <n v="700.12"/>
    <s v="low"/>
    <n v="6.0000000000000001E-3"/>
    <n v="12526.547039999999"/>
    <n v="11595.06"/>
    <n v="7.4361037964058102E-2"/>
    <s v="G. Dubois"/>
    <n v="931.48703999999998"/>
    <s v="Q1-2024"/>
    <s v="01 2024"/>
    <d v="2024-01-01T00:00:00"/>
    <d v="2023-01-01T00:00:00"/>
    <x v="4"/>
  </r>
  <r>
    <s v="ORD-2025-169093"/>
    <d v="2025-04-13T00:00:00"/>
    <d v="2025-04-14T00:00:00"/>
    <s v="all good"/>
    <n v="1"/>
    <s v="Asia"/>
    <x v="7"/>
    <s v="Osaka"/>
    <s v="Enterprise"/>
    <s v="Online"/>
    <x v="1"/>
    <x v="428"/>
    <n v="34"/>
    <n v="138.9"/>
    <n v="289.92"/>
    <s v="low"/>
    <n v="2.9000000000000001E-2"/>
    <n v="9571.4188800000011"/>
    <n v="4722.6000000000004"/>
    <n v="0.50659353025828502"/>
    <s v="G. Dubois"/>
    <n v="4848.8188800000007"/>
    <s v="Q2-2025"/>
    <s v="04 2025"/>
    <d v="2025-04-01T00:00:00"/>
    <d v="2023-04-01T00:00:00"/>
    <x v="14"/>
  </r>
  <r>
    <s v="ORD-2024-783321"/>
    <d v="2024-11-20T00:00:00"/>
    <d v="2024-12-15T00:00:00"/>
    <s v="all good"/>
    <n v="25"/>
    <s v="Europe"/>
    <x v="2"/>
    <s v="Paris"/>
    <s v="Corporate"/>
    <s v="Online"/>
    <x v="0"/>
    <x v="429"/>
    <n v="24"/>
    <n v="1203.58"/>
    <n v="1856.16"/>
    <s v="high"/>
    <n v="0.129"/>
    <n v="38801.168640000004"/>
    <n v="28885.919999999998"/>
    <n v="0.25553994860294998"/>
    <s v="G. Dubois"/>
    <n v="9915.2486400000053"/>
    <s v="Q4-2024"/>
    <s v="11 2024"/>
    <d v="2024-11-01T00:00:00"/>
    <d v="2023-02-01T00:00:00"/>
    <x v="6"/>
  </r>
  <r>
    <s v="ORD-2024-571797"/>
    <d v="2024-07-11T00:00:00"/>
    <d v="2024-07-31T00:00:00"/>
    <s v="all good"/>
    <n v="20"/>
    <s v="Asia"/>
    <x v="4"/>
    <s v="Shenzhen"/>
    <s v="Consumer"/>
    <s v="Online"/>
    <x v="3"/>
    <x v="430"/>
    <n v="11"/>
    <n v="647.26"/>
    <n v="1374.72"/>
    <s v="medium"/>
    <n v="6.6000000000000003E-2"/>
    <n v="14123.87328"/>
    <n v="7119.86"/>
    <n v="0.49589890401508901"/>
    <s v="G. Dubois"/>
    <n v="7004.0132800000001"/>
    <s v="Q3-2024"/>
    <s v="07 2024"/>
    <d v="2024-07-01T00:00:00"/>
    <d v="2023-01-01T00:00:00"/>
    <x v="22"/>
  </r>
  <r>
    <s v="ORD-2024-578646"/>
    <d v="2024-05-27T00:00:00"/>
    <d v="2024-06-17T00:00:00"/>
    <s v="all good"/>
    <n v="21"/>
    <s v="Asia"/>
    <x v="6"/>
    <s v="Delhi"/>
    <s v="Small Business"/>
    <s v="Online"/>
    <x v="2"/>
    <x v="431"/>
    <n v="21"/>
    <n v="465.02"/>
    <n v="651.55999999999995"/>
    <s v="low"/>
    <n v="4.2000000000000003E-2"/>
    <n v="13108.084079999999"/>
    <n v="9765.42"/>
    <n v="0.25500783025187901"/>
    <s v="H. Kim"/>
    <n v="3342.6640799999986"/>
    <s v="Q2-2024"/>
    <s v="05 2024"/>
    <d v="2024-05-01T00:00:00"/>
    <d v="2023-01-01T00:00:00"/>
    <x v="25"/>
  </r>
  <r>
    <s v="ORD-2025-586799"/>
    <d v="2025-07-14T00:00:00"/>
    <d v="2025-08-04T00:00:00"/>
    <s v="all good"/>
    <n v="21"/>
    <s v="America"/>
    <x v="3"/>
    <s v="Montreal"/>
    <s v="Consumer"/>
    <s v="Online"/>
    <x v="6"/>
    <x v="432"/>
    <n v="10"/>
    <n v="90.3"/>
    <n v="131.76"/>
    <s v="low"/>
    <n v="0.10199999999999999"/>
    <n v="1183.2048"/>
    <n v="903"/>
    <n v="0.23681851189244699"/>
    <s v="H. Kim"/>
    <n v="280.20479999999998"/>
    <s v="Q3-2025"/>
    <s v="07 2025"/>
    <d v="2025-07-01T00:00:00"/>
    <d v="2023-04-01T00:00:00"/>
    <x v="12"/>
  </r>
  <r>
    <s v="ORD-2024-350100"/>
    <d v="2024-10-27T00:00:00"/>
    <d v="2024-11-20T00:00:00"/>
    <s v="all good"/>
    <n v="24"/>
    <s v="Asia"/>
    <x v="7"/>
    <s v="Nagoya"/>
    <s v="Non-Profit"/>
    <s v="Online"/>
    <x v="6"/>
    <x v="433"/>
    <n v="14"/>
    <n v="317.25"/>
    <n v="758.92"/>
    <s v="low"/>
    <n v="5.2999999999999999E-2"/>
    <n v="10061.761359999999"/>
    <n v="4441.5"/>
    <n v="0.55857629284898902"/>
    <s v="H. Kim"/>
    <n v="5620.2613599999986"/>
    <s v="Q4-2024"/>
    <s v="10 2024"/>
    <d v="2024-10-01T00:00:00"/>
    <d v="2023-04-01T00:00:00"/>
    <x v="22"/>
  </r>
  <r>
    <s v="ORD-2024-771210"/>
    <d v="2024-09-14T00:00:00"/>
    <d v="2024-10-05T00:00:00"/>
    <s v="all good"/>
    <n v="21"/>
    <s v="Asia"/>
    <x v="4"/>
    <s v="Shanghai"/>
    <s v="Small Business"/>
    <s v="Online"/>
    <x v="4"/>
    <x v="434"/>
    <n v="13"/>
    <n v="1405.56"/>
    <n v="2968.87"/>
    <s v="high"/>
    <n v="0.16900000000000001"/>
    <n v="32072.702609999997"/>
    <n v="18272.28"/>
    <n v="0.430285616332724"/>
    <s v="H. Kim"/>
    <n v="13800.422609999998"/>
    <s v="Q3-2024"/>
    <s v="09 2024"/>
    <d v="2024-09-01T00:00:00"/>
    <d v="2023-01-01T00:00:00"/>
    <x v="27"/>
  </r>
  <r>
    <s v="ORD-2024-760799"/>
    <d v="2024-02-03T00:00:00"/>
    <d v="2024-02-19T00:00:00"/>
    <s v="all good"/>
    <n v="16"/>
    <s v="Asia"/>
    <x v="4"/>
    <s v="Shenzhen"/>
    <s v="Small Business"/>
    <s v="Online"/>
    <x v="4"/>
    <x v="435"/>
    <n v="30"/>
    <n v="993.75"/>
    <n v="1310.29"/>
    <s v="medium"/>
    <n v="0.215"/>
    <n v="30857.3295"/>
    <n v="29812.5"/>
    <n v="3.3860010471742197E-2"/>
    <s v="H. Kim"/>
    <n v="1044.8294999999998"/>
    <s v="Q1-2024"/>
    <s v="02 2024"/>
    <d v="2024-02-01T00:00:00"/>
    <d v="2023-01-01T00:00:00"/>
    <x v="23"/>
  </r>
  <r>
    <s v="ORD-2025-132174"/>
    <d v="2025-07-17T00:00:00"/>
    <d v="2025-07-23T00:00:00"/>
    <s v="all good"/>
    <n v="6"/>
    <s v="America"/>
    <x v="3"/>
    <s v="Vancouver"/>
    <s v="Consumer"/>
    <s v="Online"/>
    <x v="1"/>
    <x v="436"/>
    <n v="22"/>
    <n v="1364.89"/>
    <n v="2757.54"/>
    <s v="high"/>
    <n v="0.17199999999999999"/>
    <n v="50231.348640000004"/>
    <n v="30027.58"/>
    <n v="0.40221433799831202"/>
    <s v="H. Kim"/>
    <n v="20203.768640000002"/>
    <s v="Q3-2025"/>
    <s v="07 2025"/>
    <d v="2025-07-01T00:00:00"/>
    <d v="2023-04-01T00:00:00"/>
    <x v="12"/>
  </r>
  <r>
    <s v="ORD-2023-474313"/>
    <d v="2023-10-05T00:00:00"/>
    <d v="2023-10-06T00:00:00"/>
    <s v="all good"/>
    <n v="1"/>
    <s v="Asia"/>
    <x v="6"/>
    <s v="Bengaluru"/>
    <s v="Non-Profit"/>
    <s v="Online"/>
    <x v="1"/>
    <x v="437"/>
    <n v="7"/>
    <n v="1470.26"/>
    <n v="2562.5500000000002"/>
    <s v="high"/>
    <n v="0.17299999999999999"/>
    <n v="14834.60195"/>
    <n v="10291.82"/>
    <n v="0.30622877279157501"/>
    <s v="I. Johnson"/>
    <n v="4542.7819500000005"/>
    <s v="Q4-2023"/>
    <s v="10 2023"/>
    <d v="2023-10-01T00:00:00"/>
    <d v="2023-01-01T00:00:00"/>
    <x v="2"/>
  </r>
  <r>
    <s v="ORD-2025-926547"/>
    <d v="2025-03-11T00:00:00"/>
    <d v="2025-03-26T00:00:00"/>
    <s v="all good"/>
    <n v="15"/>
    <s v="Europe"/>
    <x v="0"/>
    <s v="Berlin"/>
    <s v="Small Business"/>
    <s v="Online"/>
    <x v="3"/>
    <x v="438"/>
    <n v="24"/>
    <n v="116.97"/>
    <n v="140.82"/>
    <s v="low"/>
    <n v="0.122"/>
    <n v="2967.3590399999998"/>
    <n v="2807.2799999999997"/>
    <n v="5.3946636669892203E-2"/>
    <s v="I. Johnson"/>
    <n v="160.07904000000008"/>
    <s v="Q1-2025"/>
    <s v="03 2025"/>
    <d v="2025-03-01T00:00:00"/>
    <d v="2023-01-01T00:00:00"/>
    <x v="18"/>
  </r>
  <r>
    <s v="ORD-2025-789245"/>
    <d v="2025-07-23T00:00:00"/>
    <d v="2025-08-17T00:00:00"/>
    <s v="all good"/>
    <n v="25"/>
    <s v="Europe"/>
    <x v="1"/>
    <s v="Birmingham"/>
    <s v="Education"/>
    <s v="Online"/>
    <x v="0"/>
    <x v="439"/>
    <n v="6"/>
    <n v="1142.06"/>
    <n v="1455"/>
    <s v="medium"/>
    <n v="7.8E-2"/>
    <n v="8049.06"/>
    <n v="6852.36"/>
    <n v="0.14867574598773001"/>
    <s v="I. Johnson"/>
    <n v="1196.7000000000007"/>
    <s v="Q3-2025"/>
    <s v="07 2025"/>
    <d v="2025-07-01T00:00:00"/>
    <d v="2023-01-01T00:00:00"/>
    <x v="20"/>
  </r>
  <r>
    <s v="ORD-2023-835226"/>
    <d v="2023-10-26T00:00:00"/>
    <d v="2023-11-05T00:00:00"/>
    <s v="all good"/>
    <n v="10"/>
    <s v="Africa"/>
    <x v="14"/>
    <s v="Town"/>
    <s v="Non-Profit"/>
    <s v="Online"/>
    <x v="4"/>
    <x v="440"/>
    <n v="11"/>
    <n v="20.38"/>
    <n v="42.56"/>
    <s v="low"/>
    <n v="7.1999999999999995E-2"/>
    <n v="434.45248000000004"/>
    <n v="224.17999999999998"/>
    <n v="0.48399419885921702"/>
    <s v="I. Johnson"/>
    <n v="210.27248000000006"/>
    <s v="Q4-2023"/>
    <s v="10 2023"/>
    <d v="2023-10-01T00:00:00"/>
    <d v="2023-10-01T00:00:00"/>
    <x v="19"/>
  </r>
  <r>
    <s v="ORD-2024-403664"/>
    <d v="2024-05-23T00:00:00"/>
    <d v="2024-06-06T00:00:00"/>
    <s v="all good"/>
    <n v="14"/>
    <s v="America"/>
    <x v="15"/>
    <s v="Janeiro"/>
    <s v="Non-Profit"/>
    <s v="Online"/>
    <x v="5"/>
    <x v="441"/>
    <n v="26"/>
    <n v="51.13"/>
    <n v="57.53"/>
    <s v="low"/>
    <n v="4.4999999999999998E-2"/>
    <n v="1428.4698999999998"/>
    <n v="1329.38"/>
    <n v="6.9367859973808205E-2"/>
    <s v="I. Johnson"/>
    <n v="99.089899999999716"/>
    <s v="Q2-2024"/>
    <s v="05 2024"/>
    <d v="2024-05-01T00:00:00"/>
    <d v="2023-05-01T00:00:00"/>
    <x v="4"/>
  </r>
  <r>
    <s v="ORD-2024-536442"/>
    <d v="2024-08-31T00:00:00"/>
    <d v="2024-09-26T00:00:00"/>
    <s v="all good"/>
    <n v="26"/>
    <s v="Asia"/>
    <x v="7"/>
    <s v="Tokyo"/>
    <s v="Education"/>
    <s v="Online"/>
    <x v="3"/>
    <x v="442"/>
    <n v="11"/>
    <n v="1189.03"/>
    <n v="2949.62"/>
    <s v="high"/>
    <n v="0.125"/>
    <n v="28390.092499999999"/>
    <n v="13079.33"/>
    <n v="0.53929949330034799"/>
    <s v="I. Johnson"/>
    <n v="15310.762499999999"/>
    <s v="Q3-2024"/>
    <s v="08 2024"/>
    <d v="2024-08-01T00:00:00"/>
    <d v="2023-04-01T00:00:00"/>
    <x v="25"/>
  </r>
  <r>
    <s v="ORD-2023-128295"/>
    <d v="2023-06-23T00:00:00"/>
    <d v="2023-07-03T00:00:00"/>
    <s v="all good"/>
    <n v="10"/>
    <s v="Africa"/>
    <x v="16"/>
    <s v="Abuja"/>
    <s v="Consumer"/>
    <s v="Online"/>
    <x v="0"/>
    <x v="443"/>
    <n v="32"/>
    <n v="337.75"/>
    <n v="548.89"/>
    <s v="low"/>
    <n v="0"/>
    <n v="17564.48"/>
    <n v="10808"/>
    <n v="0.38466723751571402"/>
    <s v="J. Njeri"/>
    <n v="6756.48"/>
    <s v="Q2-2023"/>
    <s v="06 2023"/>
    <d v="2023-06-01T00:00:00"/>
    <d v="2023-01-01T00:00:00"/>
    <x v="15"/>
  </r>
  <r>
    <s v="ORD-2023-334213"/>
    <d v="2023-08-19T00:00:00"/>
    <d v="2023-08-23T00:00:00"/>
    <s v="all good"/>
    <n v="4"/>
    <s v="Africa"/>
    <x v="16"/>
    <s v="Abuja"/>
    <s v="Small Business"/>
    <s v="Online"/>
    <x v="6"/>
    <x v="444"/>
    <n v="21"/>
    <n v="790.63"/>
    <n v="1382.31"/>
    <s v="medium"/>
    <n v="0.10100000000000001"/>
    <n v="26096.63049"/>
    <n v="16603.23"/>
    <n v="0.36377878338116398"/>
    <s v="J. Njeri"/>
    <n v="9493.40049"/>
    <s v="Q3-2023"/>
    <s v="08 2023"/>
    <d v="2023-08-01T00:00:00"/>
    <d v="2023-01-01T00:00:00"/>
    <x v="9"/>
  </r>
  <r>
    <s v="ORD-2025-487261"/>
    <d v="2025-03-06T00:00:00"/>
    <d v="2025-03-31T00:00:00"/>
    <s v="all good"/>
    <n v="25"/>
    <s v="America"/>
    <x v="5"/>
    <s v="Brasília"/>
    <s v="Non-Profit"/>
    <s v="Online"/>
    <x v="1"/>
    <x v="445"/>
    <n v="4"/>
    <n v="331.57"/>
    <n v="548.4"/>
    <s v="low"/>
    <n v="9.4E-2"/>
    <n v="1987.4015999999999"/>
    <n v="1326.28"/>
    <n v="0.33265626836568901"/>
    <s v="J. Njeri"/>
    <n v="661.12159999999994"/>
    <s v="Q1-2025"/>
    <s v="03 2025"/>
    <d v="2025-03-01T00:00:00"/>
    <d v="2024-05-01T00:00:00"/>
    <x v="16"/>
  </r>
  <r>
    <s v="ORD-2023-569862"/>
    <d v="2023-07-16T00:00:00"/>
    <d v="2023-08-13T00:00:00"/>
    <s v="all good"/>
    <n v="28"/>
    <s v="Europe"/>
    <x v="1"/>
    <s v="Manchester"/>
    <s v="Non-Profit"/>
    <s v="Online"/>
    <x v="4"/>
    <x v="446"/>
    <n v="8"/>
    <n v="1039.03"/>
    <n v="2545.81"/>
    <s v="high"/>
    <n v="0.216"/>
    <n v="15967.320320000001"/>
    <n v="8312.24"/>
    <n v="0.47942172929364801"/>
    <s v="J. Njeri"/>
    <n v="7655.0803200000009"/>
    <s v="Q3-2023"/>
    <s v="07 2023"/>
    <d v="2023-07-01T00:00:00"/>
    <d v="2023-01-01T00:00:00"/>
    <x v="7"/>
  </r>
  <r>
    <s v="ORD-2024-286833"/>
    <d v="2024-08-14T00:00:00"/>
    <d v="2024-09-04T00:00:00"/>
    <s v="all good"/>
    <n v="21"/>
    <s v="Europe"/>
    <x v="1"/>
    <s v="Manchester"/>
    <s v="Non-Profit"/>
    <s v="Online"/>
    <x v="3"/>
    <x v="447"/>
    <n v="25"/>
    <n v="1138.8"/>
    <n v="2250.81"/>
    <s v="high"/>
    <n v="0.123"/>
    <n v="49349.009250000003"/>
    <n v="28470"/>
    <n v="0.42308872188756202"/>
    <s v="J. Njeri"/>
    <n v="20879.009250000003"/>
    <s v="Q3-2024"/>
    <s v="08 2024"/>
    <d v="2024-08-01T00:00:00"/>
    <d v="2023-01-01T00:00:00"/>
    <x v="8"/>
  </r>
  <r>
    <s v="ORD-2023-251563"/>
    <d v="2023-05-11T00:00:00"/>
    <d v="2023-06-07T00:00:00"/>
    <s v="all good"/>
    <n v="27"/>
    <s v="Africa"/>
    <x v="8"/>
    <s v="Mombasa"/>
    <s v="Corporate"/>
    <s v="Online"/>
    <x v="3"/>
    <x v="448"/>
    <n v="23"/>
    <n v="12.85"/>
    <n v="15.41"/>
    <s v="low"/>
    <n v="0.13700000000000001"/>
    <n v="305.87308999999999"/>
    <n v="295.55"/>
    <n v="3.3749585489851297E-2"/>
    <s v="J. Njeri"/>
    <n v="10.323089999999979"/>
    <s v="Q2-2023"/>
    <s v="05 2023"/>
    <d v="2023-05-01T00:00:00"/>
    <d v="2023-01-01T00:00:00"/>
    <x v="29"/>
  </r>
  <r>
    <s v="ORD-2023-177794"/>
    <d v="2023-05-04T00:00:00"/>
    <d v="2023-05-26T00:00:00"/>
    <s v="all good"/>
    <n v="22"/>
    <s v="America"/>
    <x v="12"/>
    <s v="Francisco"/>
    <s v="Enterprise"/>
    <s v="Online"/>
    <x v="5"/>
    <x v="449"/>
    <n v="15"/>
    <n v="249.71"/>
    <n v="361.33"/>
    <s v="low"/>
    <n v="9.4E-2"/>
    <n v="4910.4746999999998"/>
    <n v="3745.65"/>
    <n v="0.237212239378812"/>
    <s v="J. Njeri"/>
    <n v="1164.8246999999997"/>
    <s v="Q2-2023"/>
    <s v="05 2023"/>
    <d v="2023-05-01T00:00:00"/>
    <d v="2023-02-01T00:00:00"/>
    <x v="11"/>
  </r>
  <r>
    <s v="ORD-2024-836421"/>
    <d v="2024-12-14T00:00:00"/>
    <d v="2025-01-12T00:00:00"/>
    <s v="all good"/>
    <n v="29"/>
    <s v="Asia"/>
    <x v="4"/>
    <s v="Shenzhen"/>
    <s v="Education"/>
    <s v="Online"/>
    <x v="1"/>
    <x v="450"/>
    <n v="7"/>
    <n v="1412.15"/>
    <n v="1631.04"/>
    <s v="medium"/>
    <n v="8.9999999999999993E-3"/>
    <n v="11314.524479999998"/>
    <n v="9885.0500000000011"/>
    <n v="0.12633977526203499"/>
    <s v="J. Njeri"/>
    <n v="1429.4744799999971"/>
    <s v="Q4-2024"/>
    <s v="12 2024"/>
    <d v="2024-12-01T00:00:00"/>
    <d v="2023-01-01T00:00:00"/>
    <x v="10"/>
  </r>
  <r>
    <s v="ORD-2024-909942"/>
    <d v="2024-06-09T00:00:00"/>
    <d v="2024-07-07T00:00:00"/>
    <s v="all good"/>
    <n v="28"/>
    <s v="Asia"/>
    <x v="4"/>
    <s v="Shenzhen"/>
    <s v="Corporate"/>
    <s v="Online"/>
    <x v="1"/>
    <x v="451"/>
    <n v="10"/>
    <n v="550.22"/>
    <n v="1025.05"/>
    <s v="medium"/>
    <n v="0"/>
    <n v="10250.5"/>
    <n v="5502.2000000000007"/>
    <n v="0.46322618408858102"/>
    <s v="J. Njeri"/>
    <n v="4748.2999999999993"/>
    <s v="Q2-2024"/>
    <s v="06 2024"/>
    <d v="2024-06-01T00:00:00"/>
    <d v="2023-01-01T00:00:00"/>
    <x v="26"/>
  </r>
  <r>
    <s v="ORD-2025-765220"/>
    <d v="2025-04-06T00:00:00"/>
    <d v="2025-04-30T00:00:00"/>
    <s v="all good"/>
    <n v="24"/>
    <s v="America"/>
    <x v="5"/>
    <s v="Brasília"/>
    <s v="Education"/>
    <s v="Online"/>
    <x v="6"/>
    <x v="452"/>
    <n v="12"/>
    <n v="855.78"/>
    <n v="977.38"/>
    <s v="medium"/>
    <n v="0.14699999999999999"/>
    <n v="10004.461679999999"/>
    <n v="10269.36"/>
    <n v="-2.6478018355506599E-2"/>
    <s v="K. Singh"/>
    <n v="-264.89832000000206"/>
    <s v="Q2-2025"/>
    <s v="04 2025"/>
    <d v="2025-04-01T00:00:00"/>
    <d v="2024-05-01T00:00:00"/>
    <x v="21"/>
  </r>
  <r>
    <s v="ORD-2024-296582"/>
    <d v="2024-01-11T00:00:00"/>
    <d v="2024-02-02T00:00:00"/>
    <s v="all good"/>
    <n v="22"/>
    <s v="Africa"/>
    <x v="10"/>
    <s v="Durban"/>
    <s v="Consumer"/>
    <s v="Online"/>
    <x v="5"/>
    <x v="453"/>
    <n v="19"/>
    <n v="1206.2"/>
    <n v="1759.79"/>
    <s v="high"/>
    <n v="0"/>
    <n v="33436.01"/>
    <n v="22917.8"/>
    <n v="0.31457730751964702"/>
    <s v="K. Singh"/>
    <n v="10518.210000000003"/>
    <s v="Q1-2024"/>
    <s v="01 2024"/>
    <d v="2024-01-01T00:00:00"/>
    <d v="2023-02-01T00:00:00"/>
    <x v="21"/>
  </r>
  <r>
    <s v="ORD-2024-647571"/>
    <d v="2024-02-06T00:00:00"/>
    <d v="2024-02-28T00:00:00"/>
    <s v="all good"/>
    <n v="22"/>
    <s v="Africa"/>
    <x v="8"/>
    <s v="Kisumu"/>
    <s v="Non-Profit"/>
    <s v="Online"/>
    <x v="6"/>
    <x v="454"/>
    <n v="15"/>
    <n v="834.93"/>
    <n v="1588.53"/>
    <s v="medium"/>
    <n v="0.126"/>
    <n v="20825.6283"/>
    <n v="12523.949999999999"/>
    <n v="0.39862798761274398"/>
    <s v="K. Singh"/>
    <n v="8301.6783000000014"/>
    <s v="Q1-2024"/>
    <s v="02 2024"/>
    <d v="2024-02-01T00:00:00"/>
    <d v="2023-01-01T00:00:00"/>
    <x v="23"/>
  </r>
  <r>
    <s v="ORD-2025-150713"/>
    <d v="2025-07-11T00:00:00"/>
    <d v="2025-07-16T00:00:00"/>
    <s v="all good"/>
    <n v="5"/>
    <s v="Europe"/>
    <x v="1"/>
    <s v="London"/>
    <s v="Enterprise"/>
    <s v="Online"/>
    <x v="0"/>
    <x v="455"/>
    <n v="8"/>
    <n v="930.03"/>
    <n v="1086.68"/>
    <s v="medium"/>
    <n v="0.109"/>
    <n v="7745.8550400000004"/>
    <n v="7440.24"/>
    <n v="3.9455300728168601E-2"/>
    <s v="K. Singh"/>
    <n v="305.61504000000059"/>
    <s v="Q3-2025"/>
    <s v="07 2025"/>
    <d v="2025-07-01T00:00:00"/>
    <d v="2023-01-01T00:00:00"/>
    <x v="20"/>
  </r>
  <r>
    <s v="ORD-2023-133848"/>
    <d v="2023-08-15T00:00:00"/>
    <d v="2023-09-07T00:00:00"/>
    <s v="all good"/>
    <n v="23"/>
    <s v="America"/>
    <x v="17"/>
    <s v="York"/>
    <s v="Enterprise"/>
    <s v="Online"/>
    <x v="3"/>
    <x v="456"/>
    <n v="42"/>
    <n v="590.33000000000004"/>
    <n v="973.04"/>
    <s v="medium"/>
    <n v="0"/>
    <n v="40867.68"/>
    <n v="24793.86"/>
    <n v="0.39331373838691103"/>
    <s v="K. Singh"/>
    <n v="16073.82"/>
    <s v="Q3-2023"/>
    <s v="08 2023"/>
    <d v="2023-08-01T00:00:00"/>
    <d v="2023-02-01T00:00:00"/>
    <x v="7"/>
  </r>
  <r>
    <s v="ORD-2024-136321"/>
    <d v="2024-08-07T00:00:00"/>
    <d v="2024-08-17T00:00:00"/>
    <s v="all good"/>
    <n v="10"/>
    <s v="Asia"/>
    <x v="7"/>
    <s v="Osaka"/>
    <s v="Consumer"/>
    <s v="Online"/>
    <x v="5"/>
    <x v="457"/>
    <n v="12"/>
    <n v="436.58"/>
    <n v="527.48"/>
    <s v="low"/>
    <n v="0.111"/>
    <n v="5627.1566400000002"/>
    <n v="5238.96"/>
    <n v="6.8986286473802505E-2"/>
    <s v="K. Singh"/>
    <n v="388.19664000000012"/>
    <s v="Q3-2024"/>
    <s v="08 2024"/>
    <d v="2024-08-01T00:00:00"/>
    <d v="2023-04-01T00:00:00"/>
    <x v="25"/>
  </r>
  <r>
    <s v="ORD-2024-834983"/>
    <d v="2024-03-16T00:00:00"/>
    <d v="2024-04-13T00:00:00"/>
    <s v="all good"/>
    <n v="28"/>
    <s v="Europe"/>
    <x v="2"/>
    <s v="Paris"/>
    <s v="Small Business"/>
    <s v="Online"/>
    <x v="0"/>
    <x v="458"/>
    <n v="21"/>
    <n v="287.61"/>
    <n v="628.54"/>
    <s v="low"/>
    <n v="0.13500000000000001"/>
    <n v="11417.429099999999"/>
    <n v="6039.81"/>
    <n v="0.47100087531964602"/>
    <s v="K. Singh"/>
    <n v="5377.619099999999"/>
    <s v="Q1-2024"/>
    <s v="03 2024"/>
    <d v="2024-03-01T00:00:00"/>
    <d v="2023-02-01T00:00:00"/>
    <x v="23"/>
  </r>
  <r>
    <s v="ORD-2024-444710"/>
    <d v="2024-09-22T00:00:00"/>
    <d v="2024-10-01T00:00:00"/>
    <s v="all good"/>
    <n v="9"/>
    <s v="America"/>
    <x v="9"/>
    <s v="Paulo"/>
    <s v="Non-Profit"/>
    <s v="Online"/>
    <x v="6"/>
    <x v="459"/>
    <n v="13"/>
    <n v="1378.8"/>
    <n v="1952.04"/>
    <s v="high"/>
    <n v="0.159"/>
    <n v="21341.653320000001"/>
    <n v="17924.399999999998"/>
    <n v="0.160121302167231"/>
    <s v="K. Singh"/>
    <n v="3417.2533200000034"/>
    <s v="Q3-2024"/>
    <s v="09 2024"/>
    <d v="2024-09-01T00:00:00"/>
    <d v="2023-02-01T00:00:00"/>
    <x v="8"/>
  </r>
  <r>
    <s v="ORD-2024-343877"/>
    <d v="2024-03-09T00:00:00"/>
    <d v="2024-03-26T00:00:00"/>
    <s v="all good"/>
    <n v="17"/>
    <s v="Asia"/>
    <x v="4"/>
    <s v="Shenzhen"/>
    <s v="Enterprise"/>
    <s v="Online"/>
    <x v="6"/>
    <x v="460"/>
    <n v="9"/>
    <n v="1029.67"/>
    <n v="1118.43"/>
    <s v="medium"/>
    <n v="0.27200000000000002"/>
    <n v="7327.9533600000004"/>
    <n v="9267.0300000000007"/>
    <n v="-0.264613671067361"/>
    <s v="K. Singh"/>
    <n v="-1939.0766400000002"/>
    <s v="Q1-2024"/>
    <s v="03 2024"/>
    <d v="2024-03-01T00:00:00"/>
    <d v="2023-01-01T00:00:00"/>
    <x v="24"/>
  </r>
  <r>
    <s v="ORD-2024-651852"/>
    <d v="2024-12-28T00:00:00"/>
    <d v="2025-01-08T00:00:00"/>
    <s v="all good"/>
    <n v="11"/>
    <s v="Asia"/>
    <x v="4"/>
    <s v="Shenzhen"/>
    <s v="Enterprise"/>
    <s v="Online"/>
    <x v="4"/>
    <x v="461"/>
    <n v="17"/>
    <n v="1201.31"/>
    <n v="2764.65"/>
    <s v="high"/>
    <n v="0"/>
    <n v="46999.05"/>
    <n v="20422.27"/>
    <n v="0.56547483406579502"/>
    <s v="K. Singh"/>
    <n v="26576.780000000002"/>
    <s v="Q4-2024"/>
    <s v="12 2024"/>
    <d v="2024-12-01T00:00:00"/>
    <d v="2023-01-01T00:00:00"/>
    <x v="10"/>
  </r>
  <r>
    <s v="ORD-2024-331226"/>
    <d v="2024-11-30T00:00:00"/>
    <d v="2024-12-19T00:00:00"/>
    <s v="all good"/>
    <n v="19"/>
    <s v="Africa"/>
    <x v="8"/>
    <s v="Kisumu"/>
    <s v="Corporate"/>
    <s v="Online"/>
    <x v="3"/>
    <x v="462"/>
    <n v="5"/>
    <n v="1195.98"/>
    <n v="1841.9"/>
    <s v="high"/>
    <n v="5.5E-2"/>
    <n v="8702.9774999999991"/>
    <n v="5979.9"/>
    <n v="0.31289032977506798"/>
    <s v="L. Okafor"/>
    <n v="2723.0774999999994"/>
    <s v="Q4-2024"/>
    <s v="11 2024"/>
    <d v="2024-11-01T00:00:00"/>
    <d v="2023-01-01T00:00:00"/>
    <x v="28"/>
  </r>
  <r>
    <s v="ORD-2025-779659"/>
    <d v="2025-07-03T00:00:00"/>
    <d v="2025-07-23T00:00:00"/>
    <s v="all good"/>
    <n v="20"/>
    <s v="Asia"/>
    <x v="4"/>
    <s v="Beijing"/>
    <s v="Small Business"/>
    <s v="Online"/>
    <x v="1"/>
    <x v="463"/>
    <n v="13"/>
    <n v="647.36"/>
    <n v="1383.6"/>
    <s v="medium"/>
    <n v="7.3999999999999996E-2"/>
    <n v="16655.7768"/>
    <n v="8415.68"/>
    <n v="0.49472906000997802"/>
    <s v="M. Rossi"/>
    <n v="8240.0967999999993"/>
    <s v="Q3-2025"/>
    <s v="07 2025"/>
    <d v="2025-07-01T00:00:00"/>
    <d v="2023-01-01T00:00:00"/>
    <x v="20"/>
  </r>
  <r>
    <s v="ORD-2024-155337"/>
    <d v="2024-05-21T00:00:00"/>
    <d v="2024-05-27T00:00:00"/>
    <s v="all good"/>
    <n v="6"/>
    <s v="Africa"/>
    <x v="10"/>
    <s v="Johannesburg"/>
    <s v="Non-Profit"/>
    <s v="Online"/>
    <x v="1"/>
    <x v="464"/>
    <n v="4"/>
    <n v="1157.51"/>
    <n v="1394.3"/>
    <s v="medium"/>
    <n v="0.27800000000000002"/>
    <n v="4026.7383999999997"/>
    <n v="4630.04"/>
    <n v="-0.14982388724333301"/>
    <s v="M. Rossi"/>
    <n v="-603.30160000000024"/>
    <s v="Q2-2024"/>
    <s v="05 2024"/>
    <d v="2024-05-01T00:00:00"/>
    <d v="2023-02-01T00:00:00"/>
    <x v="30"/>
  </r>
  <r>
    <s v="ORD-2024-287210"/>
    <d v="2024-03-18T00:00:00"/>
    <d v="2024-03-21T00:00:00"/>
    <s v="all good"/>
    <n v="3"/>
    <s v="Europe"/>
    <x v="0"/>
    <s v="Munich"/>
    <s v="Small Business"/>
    <s v="Online"/>
    <x v="2"/>
    <x v="465"/>
    <n v="40"/>
    <n v="910.63"/>
    <n v="1269.4000000000001"/>
    <s v="medium"/>
    <n v="6.8000000000000005E-2"/>
    <n v="47323.231999999996"/>
    <n v="36425.199999999997"/>
    <n v="0.230289258349895"/>
    <s v="M. Rossi"/>
    <n v="10898.031999999999"/>
    <s v="Q1-2024"/>
    <s v="03 2024"/>
    <d v="2024-03-01T00:00:00"/>
    <d v="2023-01-01T00:00:00"/>
    <x v="24"/>
  </r>
  <r>
    <s v="ORD-2023-286994"/>
    <d v="2023-02-24T00:00:00"/>
    <d v="2023-03-09T00:00:00"/>
    <s v="all good"/>
    <n v="13"/>
    <s v="America"/>
    <x v="17"/>
    <s v="York"/>
    <s v="Enterprise"/>
    <s v="Online"/>
    <x v="1"/>
    <x v="466"/>
    <n v="6"/>
    <n v="6.85"/>
    <n v="10.18"/>
    <s v="low"/>
    <n v="4.7E-2"/>
    <n v="58.209239999999994"/>
    <n v="41.099999999999994"/>
    <n v="0.29392653125173901"/>
    <s v="M. Rossi"/>
    <n v="17.10924"/>
    <s v="Q1-2023"/>
    <s v="02 2023"/>
    <d v="2023-02-01T00:00:00"/>
    <d v="2023-02-01T00:00:00"/>
    <x v="19"/>
  </r>
  <r>
    <s v="ORD-2025-487025"/>
    <d v="2025-04-11T00:00:00"/>
    <d v="2025-05-04T00:00:00"/>
    <s v="all good"/>
    <n v="23"/>
    <s v="Asia"/>
    <x v="7"/>
    <s v="Osaka"/>
    <s v="Small Business"/>
    <s v="Online"/>
    <x v="1"/>
    <x v="467"/>
    <n v="7"/>
    <n v="786.2"/>
    <n v="1075.3"/>
    <s v="medium"/>
    <n v="0.08"/>
    <n v="6924.9319999999998"/>
    <n v="5503.4000000000005"/>
    <n v="0.20527739478163801"/>
    <s v="M. Rossi"/>
    <n v="1421.5319999999992"/>
    <s v="Q2-2025"/>
    <s v="04 2025"/>
    <d v="2025-04-01T00:00:00"/>
    <d v="2023-04-01T00:00:00"/>
    <x v="14"/>
  </r>
  <r>
    <s v="ORD-2024-833375"/>
    <d v="2024-04-24T00:00:00"/>
    <d v="2024-05-10T00:00:00"/>
    <s v="all good"/>
    <n v="16"/>
    <s v="Africa"/>
    <x v="8"/>
    <s v="Kisumu"/>
    <s v="Non-Profit"/>
    <s v="Online"/>
    <x v="6"/>
    <x v="468"/>
    <n v="15"/>
    <n v="513.30999999999995"/>
    <n v="1186.26"/>
    <s v="medium"/>
    <n v="9.4E-2"/>
    <n v="16121.273400000002"/>
    <n v="7699.65"/>
    <n v="0.52239194702820402"/>
    <s v="N. Brown"/>
    <n v="8421.6234000000022"/>
    <s v="Q2-2024"/>
    <s v="04 2024"/>
    <d v="2024-04-01T00:00:00"/>
    <d v="2023-01-01T00:00:00"/>
    <x v="30"/>
  </r>
  <r>
    <s v="ORD-2023-430904"/>
    <d v="2023-01-27T00:00:00"/>
    <d v="2023-01-31T00:00:00"/>
    <s v="all good"/>
    <n v="4"/>
    <s v="Europe"/>
    <x v="1"/>
    <s v="Manchester"/>
    <s v="Enterprise"/>
    <s v="Online"/>
    <x v="4"/>
    <x v="469"/>
    <n v="17"/>
    <n v="941.2"/>
    <n v="668.02"/>
    <s v="low"/>
    <n v="0.22"/>
    <n v="8857.9452000000001"/>
    <n v="16000.400000000001"/>
    <n v="-0.80633314371825204"/>
    <s v="N. Brown"/>
    <n v="-7142.4548000000013"/>
    <s v="Q1-2023"/>
    <s v="01 2023"/>
    <d v="2023-01-01T00:00:00"/>
    <d v="2023-01-01T00:00:00"/>
    <x v="19"/>
  </r>
  <r>
    <s v="ORD-2024-329104"/>
    <d v="2024-05-23T00:00:00"/>
    <d v="2024-06-14T00:00:00"/>
    <s v="all good"/>
    <n v="22"/>
    <s v="Europe"/>
    <x v="2"/>
    <s v="Marseille"/>
    <s v="Small Business"/>
    <s v="Online"/>
    <x v="6"/>
    <x v="470"/>
    <n v="12"/>
    <n v="1481.74"/>
    <n v="1848.97"/>
    <s v="high"/>
    <n v="0.254"/>
    <n v="16551.979439999999"/>
    <n v="17780.88"/>
    <n v="-7.4244930309072601E-2"/>
    <s v="N. Brown"/>
    <n v="-1228.9005600000019"/>
    <s v="Q2-2024"/>
    <s v="05 2024"/>
    <d v="2024-05-01T00:00:00"/>
    <d v="2023-02-01T00:00:00"/>
    <x v="30"/>
  </r>
  <r>
    <s v="ORD-2024-542244"/>
    <d v="2024-08-30T00:00:00"/>
    <d v="2024-09-05T00:00:00"/>
    <s v="all good"/>
    <n v="6"/>
    <s v="Asia"/>
    <x v="7"/>
    <s v="Nagoya"/>
    <s v="Education"/>
    <s v="Online"/>
    <x v="4"/>
    <x v="471"/>
    <n v="23"/>
    <n v="466.16"/>
    <n v="876.81"/>
    <s v="medium"/>
    <n v="0.24099999999999999"/>
    <n v="15306.472169999997"/>
    <n v="10721.68"/>
    <n v="0.299532911246916"/>
    <s v="N. Brown"/>
    <n v="4584.792169999997"/>
    <s v="Q3-2024"/>
    <s v="08 2024"/>
    <d v="2024-08-01T00:00:00"/>
    <d v="2023-04-01T00:00:00"/>
    <x v="25"/>
  </r>
  <r>
    <s v="ORD-2023-271836"/>
    <d v="2023-02-07T00:00:00"/>
    <d v="2023-02-12T00:00:00"/>
    <s v="all good"/>
    <n v="5"/>
    <s v="America"/>
    <x v="9"/>
    <s v="Paulo"/>
    <s v="Education"/>
    <s v="Online"/>
    <x v="1"/>
    <x v="472"/>
    <n v="12"/>
    <n v="948.55"/>
    <n v="2089.16"/>
    <s v="high"/>
    <n v="7.0000000000000001E-3"/>
    <n v="24894.430559999997"/>
    <n v="11382.599999999999"/>
    <n v="0.54276519912492405"/>
    <s v="N. Brown"/>
    <n v="13511.830559999999"/>
    <s v="Q1-2023"/>
    <s v="02 2023"/>
    <d v="2023-02-01T00:00:00"/>
    <d v="2023-02-01T00:00:00"/>
    <x v="19"/>
  </r>
  <r>
    <s v="ORD-2023-921939"/>
    <d v="2023-06-23T00:00:00"/>
    <d v="2023-07-18T00:00:00"/>
    <s v="all good"/>
    <n v="25"/>
    <s v="America"/>
    <x v="3"/>
    <s v="Vancouver"/>
    <s v="Enterprise"/>
    <s v="Online"/>
    <x v="3"/>
    <x v="473"/>
    <n v="6"/>
    <n v="807.02"/>
    <n v="1435.54"/>
    <s v="medium"/>
    <n v="0"/>
    <n v="8613.24"/>
    <n v="4842.12"/>
    <n v="0.43782827368098398"/>
    <s v="N. Brown"/>
    <n v="3771.12"/>
    <s v="Q2-2023"/>
    <s v="06 2023"/>
    <d v="2023-06-01T00:00:00"/>
    <d v="2023-04-01T00:00:00"/>
    <x v="1"/>
  </r>
  <r>
    <s v="ORD-2024-438404"/>
    <d v="2024-09-23T00:00:00"/>
    <d v="2024-10-18T00:00:00"/>
    <s v="all good"/>
    <n v="25"/>
    <s v="America"/>
    <x v="3"/>
    <s v="Vancouver"/>
    <s v="Small Business"/>
    <s v="Online"/>
    <x v="3"/>
    <x v="474"/>
    <n v="18"/>
    <n v="1297"/>
    <n v="2411.52"/>
    <s v="high"/>
    <n v="2.1000000000000001E-2"/>
    <n v="42495.805439999996"/>
    <n v="23346"/>
    <n v="0.45062813239385902"/>
    <s v="N. Brown"/>
    <n v="19149.805439999996"/>
    <s v="Q3-2024"/>
    <s v="09 2024"/>
    <d v="2024-09-01T00:00:00"/>
    <d v="2023-04-01T00:00:00"/>
    <x v="26"/>
  </r>
  <r>
    <s v="ORD-2023-811823"/>
    <d v="2023-01-26T00:00:00"/>
    <d v="2023-02-15T00:00:00"/>
    <s v="all good"/>
    <n v="20"/>
    <s v="Europe"/>
    <x v="0"/>
    <s v="Berlin"/>
    <s v="Small Business"/>
    <s v="Online"/>
    <x v="5"/>
    <x v="475"/>
    <n v="22"/>
    <n v="492.62"/>
    <n v="366.7"/>
    <s v="low"/>
    <n v="8.8999999999999996E-2"/>
    <n v="7349.4013999999997"/>
    <n v="10837.64"/>
    <n v="-0.47462894052840798"/>
    <s v="O. Wang"/>
    <n v="-3488.2385999999997"/>
    <s v="Q1-2023"/>
    <s v="01 2023"/>
    <d v="2023-01-01T00:00:00"/>
    <d v="2023-01-01T00:00:00"/>
    <x v="19"/>
  </r>
  <r>
    <s v="ORD-2024-966651"/>
    <d v="2024-10-14T00:00:00"/>
    <d v="2024-11-08T00:00:00"/>
    <s v="all good"/>
    <n v="25"/>
    <s v="Africa"/>
    <x v="16"/>
    <s v="Lagos"/>
    <s v="Enterprise"/>
    <s v="Online"/>
    <x v="5"/>
    <x v="476"/>
    <n v="5"/>
    <n v="859.35"/>
    <n v="1825.61"/>
    <s v="high"/>
    <n v="0.187"/>
    <n v="7421.1046499999993"/>
    <n v="4296.75"/>
    <n v="0.42100937762682"/>
    <s v="O. Wang"/>
    <n v="3124.3546499999993"/>
    <s v="Q4-2024"/>
    <s v="10 2024"/>
    <d v="2024-10-01T00:00:00"/>
    <d v="2023-01-01T00:00:00"/>
    <x v="6"/>
  </r>
  <r>
    <s v="ORD-2024-766980"/>
    <d v="2024-11-04T00:00:00"/>
    <d v="2024-11-07T00:00:00"/>
    <s v="all good"/>
    <n v="3"/>
    <s v="Europe"/>
    <x v="2"/>
    <s v="Lyon"/>
    <s v="Corporate"/>
    <s v="Online"/>
    <x v="6"/>
    <x v="477"/>
    <n v="14"/>
    <n v="740.68"/>
    <n v="1837.19"/>
    <s v="high"/>
    <n v="0.19700000000000001"/>
    <n v="20653.689979999999"/>
    <n v="10369.519999999999"/>
    <n v="0.49793378277483002"/>
    <s v="O. Wang"/>
    <n v="10284.169980000001"/>
    <s v="Q4-2024"/>
    <s v="11 2024"/>
    <d v="2024-11-01T00:00:00"/>
    <d v="2023-02-01T00:00:00"/>
    <x v="6"/>
  </r>
  <r>
    <s v="ORD-2024-819778"/>
    <d v="2024-06-02T00:00:00"/>
    <d v="2024-06-15T00:00:00"/>
    <s v="all good"/>
    <n v="13"/>
    <s v="Africa"/>
    <x v="8"/>
    <s v="Mombasa"/>
    <s v="Education"/>
    <s v="Online"/>
    <x v="3"/>
    <x v="478"/>
    <n v="21"/>
    <n v="1295.18"/>
    <n v="3024.03"/>
    <s v="high"/>
    <n v="0.192"/>
    <n v="51311.741040000008"/>
    <n v="27198.780000000002"/>
    <n v="0.469930673784832"/>
    <s v="O. Wang"/>
    <n v="24112.961040000006"/>
    <s v="Q2-2024"/>
    <s v="06 2024"/>
    <d v="2024-06-01T00:00:00"/>
    <d v="2023-01-01T00:00:00"/>
    <x v="26"/>
  </r>
  <r>
    <s v="ORD-2025-779574"/>
    <d v="2025-09-10T00:00:00"/>
    <d v="2025-09-12T00:00:00"/>
    <s v="all good"/>
    <n v="2"/>
    <s v="Asia"/>
    <x v="7"/>
    <s v="Tokyo"/>
    <s v="Consumer"/>
    <s v="Online"/>
    <x v="1"/>
    <x v="479"/>
    <n v="33"/>
    <n v="1470.15"/>
    <n v="2593.7800000000002"/>
    <s v="high"/>
    <n v="0.11"/>
    <n v="76179.318599999999"/>
    <n v="48514.950000000004"/>
    <n v="0.36314801849645301"/>
    <s v="O. Wang"/>
    <n v="27664.368599999994"/>
    <s v="Q3-2025"/>
    <s v="09 2025"/>
    <d v="2025-09-01T00:00:00"/>
    <d v="2023-04-01T00:00:00"/>
    <x v="3"/>
  </r>
  <r>
    <s v="ORD-2023-987700"/>
    <d v="2023-04-05T00:00:00"/>
    <d v="2023-04-16T00:00:00"/>
    <s v="all good"/>
    <n v="11"/>
    <s v="America"/>
    <x v="3"/>
    <s v="Vancouver"/>
    <s v="Non-Profit"/>
    <s v="Online"/>
    <x v="6"/>
    <x v="480"/>
    <n v="16"/>
    <n v="213.1"/>
    <n v="501.31"/>
    <s v="low"/>
    <n v="5.6000000000000001E-2"/>
    <n v="7571.7862399999995"/>
    <n v="3409.6"/>
    <n v="0.54969674368409005"/>
    <s v="O. Wang"/>
    <n v="4162.1862399999991"/>
    <s v="Q2-2023"/>
    <s v="04 2023"/>
    <d v="2023-04-01T00:00:00"/>
    <d v="2023-04-01T00:00:00"/>
    <x v="19"/>
  </r>
  <r>
    <s v="ORD-2025-650841"/>
    <d v="2025-07-03T00:00:00"/>
    <d v="2025-07-06T00:00:00"/>
    <s v="all good"/>
    <n v="3"/>
    <s v="Africa"/>
    <x v="16"/>
    <s v="Lagos"/>
    <s v="Consumer"/>
    <s v="Online"/>
    <x v="4"/>
    <x v="481"/>
    <n v="55"/>
    <n v="1313.3"/>
    <n v="2884.34"/>
    <s v="high"/>
    <n v="0.157"/>
    <n v="133732.4241"/>
    <n v="72231.5"/>
    <n v="0.45988042551305203"/>
    <s v="Unknown"/>
    <n v="61500.924100000004"/>
    <s v="Q3-2025"/>
    <s v="07 2025"/>
    <d v="2025-07-01T00:00:00"/>
    <d v="2023-01-01T00:00:00"/>
    <x v="20"/>
  </r>
  <r>
    <s v="ORD-2024-281211"/>
    <d v="2024-01-11T00:00:00"/>
    <d v="2024-02-02T00:00:00"/>
    <s v="all good"/>
    <n v="22"/>
    <s v="Asia"/>
    <x v="7"/>
    <s v="Nagoya"/>
    <s v="Small Business"/>
    <s v="Online"/>
    <x v="0"/>
    <x v="482"/>
    <n v="15"/>
    <n v="1237.68"/>
    <n v="1432.8"/>
    <s v="medium"/>
    <n v="6.8000000000000005E-2"/>
    <n v="20030.543999999998"/>
    <n v="18565.2"/>
    <n v="7.3155476955593296E-2"/>
    <s v="Unknown"/>
    <n v="1465.3439999999973"/>
    <s v="Q1-2024"/>
    <s v="01 2024"/>
    <d v="2024-01-01T00:00:00"/>
    <d v="2023-04-01T00:00:00"/>
    <x v="2"/>
  </r>
  <r>
    <s v="ORD-2024-446699"/>
    <d v="2024-08-28T00:00:00"/>
    <d v="2024-09-25T00:00:00"/>
    <s v="all good"/>
    <n v="28"/>
    <s v="America"/>
    <x v="15"/>
    <s v="Janeiro"/>
    <s v="Non-Profit"/>
    <s v="Online"/>
    <x v="2"/>
    <x v="483"/>
    <n v="11"/>
    <n v="1394.65"/>
    <n v="3144.1"/>
    <s v="high"/>
    <n v="0.13400000000000001"/>
    <n v="29950.696599999999"/>
    <n v="15341.150000000001"/>
    <n v="0.48778653782630199"/>
    <s v="Unknown"/>
    <n v="14609.546599999998"/>
    <s v="Q3-2024"/>
    <s v="08 2024"/>
    <d v="2024-08-01T00:00:00"/>
    <d v="2023-05-01T00:00:00"/>
    <x v="30"/>
  </r>
  <r>
    <s v="ORD-2023-674887"/>
    <d v="2023-12-16T00:00:00"/>
    <d v="2023-12-19T00:00:00"/>
    <s v="all good"/>
    <n v="3"/>
    <s v="Asia"/>
    <x v="4"/>
    <s v="Beijing"/>
    <s v="Education"/>
    <s v="Retail"/>
    <x v="2"/>
    <x v="484"/>
    <n v="13"/>
    <n v="1415.05"/>
    <n v="1972.38"/>
    <s v="high"/>
    <n v="0"/>
    <n v="25640.940000000002"/>
    <n v="18395.649999999998"/>
    <n v="0.28256725377462799"/>
    <s v="A. Patel"/>
    <n v="7245.2900000000045"/>
    <s v="Q4-2023"/>
    <s v="12 2023"/>
    <d v="2023-12-01T00:00:00"/>
    <d v="2023-01-01T00:00:00"/>
    <x v="21"/>
  </r>
  <r>
    <s v="ORD-2023-308124"/>
    <d v="2023-04-19T00:00:00"/>
    <d v="2023-04-30T00:00:00"/>
    <s v="all good"/>
    <n v="11"/>
    <s v="Asia"/>
    <x v="6"/>
    <s v="Delhi"/>
    <s v="Small Business"/>
    <s v="Retail"/>
    <x v="5"/>
    <x v="485"/>
    <n v="23"/>
    <n v="826.55"/>
    <n v="1397.05"/>
    <s v="medium"/>
    <n v="0.16900000000000001"/>
    <n v="26701.816649999997"/>
    <n v="19010.649999999998"/>
    <n v="0.28803907804527601"/>
    <s v="A. Patel"/>
    <n v="7691.1666499999992"/>
    <s v="Q2-2023"/>
    <s v="04 2023"/>
    <d v="2023-04-01T00:00:00"/>
    <d v="2023-01-01T00:00:00"/>
    <x v="11"/>
  </r>
  <r>
    <s v="ORD-2025-411385"/>
    <d v="2025-06-05T00:00:00"/>
    <d v="2025-06-14T00:00:00"/>
    <s v="all good"/>
    <n v="9"/>
    <s v="Asia"/>
    <x v="6"/>
    <s v="Delhi"/>
    <s v="Non-Profit"/>
    <s v="Retail"/>
    <x v="2"/>
    <x v="486"/>
    <n v="11"/>
    <n v="618.69000000000005"/>
    <n v="796.15"/>
    <s v="low"/>
    <n v="0.09"/>
    <n v="7969.4615000000003"/>
    <n v="6805.59"/>
    <n v="0.14604142325049199"/>
    <s v="A. Patel"/>
    <n v="1163.8715000000002"/>
    <s v="Q2-2025"/>
    <s v="06 2025"/>
    <d v="2025-06-01T00:00:00"/>
    <d v="2023-01-01T00:00:00"/>
    <x v="3"/>
  </r>
  <r>
    <s v="ORD-2025-831576"/>
    <d v="2025-09-15T00:00:00"/>
    <d v="2025-09-25T00:00:00"/>
    <s v="all good"/>
    <n v="10"/>
    <s v="Asia"/>
    <x v="6"/>
    <s v="Delhi"/>
    <s v="Consumer"/>
    <s v="Retail"/>
    <x v="3"/>
    <x v="487"/>
    <n v="15"/>
    <n v="1488.91"/>
    <n v="1483.74"/>
    <s v="medium"/>
    <n v="0.16800000000000001"/>
    <n v="18517.075199999999"/>
    <n v="22333.65"/>
    <n v="-0.206111103334505"/>
    <s v="A. Patel"/>
    <n v="-3816.5748000000021"/>
    <s v="Q3-2025"/>
    <s v="09 2025"/>
    <d v="2025-09-01T00:00:00"/>
    <d v="2023-01-01T00:00:00"/>
    <x v="32"/>
  </r>
  <r>
    <s v="ORD-2023-281890"/>
    <d v="2023-03-13T00:00:00"/>
    <d v="2023-04-04T00:00:00"/>
    <s v="all good"/>
    <n v="22"/>
    <s v="Africa"/>
    <x v="10"/>
    <s v="Durban"/>
    <s v="Small Business"/>
    <s v="Retail"/>
    <x v="1"/>
    <x v="488"/>
    <n v="29"/>
    <n v="1113.7"/>
    <n v="1620.6"/>
    <s v="medium"/>
    <n v="0.13900000000000001"/>
    <n v="40464.761399999996"/>
    <n v="32297.300000000003"/>
    <n v="0.20184133348182801"/>
    <s v="A. Patel"/>
    <n v="8167.4613999999929"/>
    <s v="Q1-2023"/>
    <s v="03 2023"/>
    <d v="2023-03-01T00:00:00"/>
    <d v="2023-02-01T00:00:00"/>
    <x v="17"/>
  </r>
  <r>
    <s v="ORD-2023-525643"/>
    <d v="2023-08-17T00:00:00"/>
    <d v="2023-09-03T00:00:00"/>
    <s v="all good"/>
    <n v="17"/>
    <s v="Africa"/>
    <x v="10"/>
    <s v="Durban"/>
    <s v="Enterprise"/>
    <s v="Retail"/>
    <x v="3"/>
    <x v="489"/>
    <n v="4"/>
    <n v="676.37"/>
    <n v="1276.67"/>
    <s v="medium"/>
    <n v="6.6000000000000003E-2"/>
    <n v="4769.6391199999998"/>
    <n v="2705.48"/>
    <n v="0.43277050277128698"/>
    <s v="A. Patel"/>
    <n v="2064.1591199999998"/>
    <s v="Q3-2023"/>
    <s v="08 2023"/>
    <d v="2023-08-01T00:00:00"/>
    <d v="2023-02-01T00:00:00"/>
    <x v="7"/>
  </r>
  <r>
    <s v="ORD-2023-249805"/>
    <d v="2023-12-22T00:00:00"/>
    <d v="2024-01-16T00:00:00"/>
    <s v="all good"/>
    <n v="25"/>
    <s v="Asia"/>
    <x v="6"/>
    <s v="Hyderabad"/>
    <s v="Small Business"/>
    <s v="Retail"/>
    <x v="1"/>
    <x v="490"/>
    <n v="5"/>
    <n v="1346.81"/>
    <n v="978.09"/>
    <s v="medium"/>
    <n v="0.159"/>
    <n v="4112.8684499999999"/>
    <n v="6734.0499999999993"/>
    <n v="-0.63731227532939905"/>
    <s v="A. Patel"/>
    <n v="-2621.1815499999993"/>
    <s v="Q4-2023"/>
    <s v="12 2023"/>
    <d v="2023-12-01T00:00:00"/>
    <d v="2023-01-01T00:00:00"/>
    <x v="21"/>
  </r>
  <r>
    <s v="ORD-2024-855073"/>
    <d v="2024-07-19T00:00:00"/>
    <d v="2024-07-19T00:00:00"/>
    <s v="all good"/>
    <n v="0"/>
    <s v="Africa"/>
    <x v="8"/>
    <s v="Kisumu"/>
    <s v="Small Business"/>
    <s v="Retail"/>
    <x v="3"/>
    <x v="491"/>
    <n v="10"/>
    <n v="857.24"/>
    <n v="758.23"/>
    <s v="low"/>
    <n v="0.125"/>
    <n v="6634.5124999999998"/>
    <n v="8572.4"/>
    <n v="-0.29209192084572899"/>
    <s v="A. Patel"/>
    <n v="-1937.8874999999998"/>
    <s v="Q3-2024"/>
    <s v="07 2024"/>
    <d v="2024-07-01T00:00:00"/>
    <d v="2023-01-01T00:00:00"/>
    <x v="22"/>
  </r>
  <r>
    <s v="ORD-2023-107265"/>
    <d v="2023-04-22T00:00:00"/>
    <d v="2023-05-14T00:00:00"/>
    <s v="all good"/>
    <n v="22"/>
    <s v="Asia"/>
    <x v="7"/>
    <s v="Nagoya"/>
    <s v="Enterprise"/>
    <s v="Retail"/>
    <x v="2"/>
    <x v="492"/>
    <n v="11"/>
    <n v="1209.22"/>
    <n v="1404.33"/>
    <s v="medium"/>
    <n v="0.10299999999999999"/>
    <n v="13856.52411"/>
    <n v="13301.42"/>
    <n v="4.00608482757513E-2"/>
    <s v="A. Patel"/>
    <n v="555.10411000000022"/>
    <s v="Q2-2023"/>
    <s v="04 2023"/>
    <d v="2023-04-01T00:00:00"/>
    <d v="2023-04-01T00:00:00"/>
    <x v="19"/>
  </r>
  <r>
    <s v="ORD-2023-159821"/>
    <d v="2023-07-01T00:00:00"/>
    <d v="2023-07-08T00:00:00"/>
    <s v="all good"/>
    <n v="7"/>
    <s v="Africa"/>
    <x v="11"/>
    <s v="Harcourt"/>
    <s v="Corporate"/>
    <s v="Retail"/>
    <x v="4"/>
    <x v="493"/>
    <n v="10"/>
    <n v="834.26"/>
    <n v="1780.56"/>
    <s v="high"/>
    <n v="1.4E-2"/>
    <n v="17556.321599999999"/>
    <n v="8342.6"/>
    <n v="0.52480934274979296"/>
    <s v="A. Patel"/>
    <n v="9213.7215999999989"/>
    <s v="Q3-2023"/>
    <s v="07 2023"/>
    <d v="2023-07-01T00:00:00"/>
    <d v="2023-05-01T00:00:00"/>
    <x v="1"/>
  </r>
  <r>
    <s v="ORD-2023-809913"/>
    <d v="2023-04-21T00:00:00"/>
    <d v="2023-05-10T00:00:00"/>
    <s v="all good"/>
    <n v="19"/>
    <s v="Asia"/>
    <x v="4"/>
    <s v="Shanghai"/>
    <s v="Corporate"/>
    <s v="Retail"/>
    <x v="1"/>
    <x v="494"/>
    <n v="19"/>
    <n v="882.33"/>
    <n v="1880.15"/>
    <s v="high"/>
    <n v="0.05"/>
    <n v="33936.707499999997"/>
    <n v="16764.27"/>
    <n v="0.50601365792483"/>
    <s v="A. Patel"/>
    <n v="17172.437499999996"/>
    <s v="Q2-2023"/>
    <s v="04 2023"/>
    <d v="2023-04-01T00:00:00"/>
    <d v="2023-01-01T00:00:00"/>
    <x v="11"/>
  </r>
  <r>
    <s v="ORD-2023-521819"/>
    <d v="2023-01-29T00:00:00"/>
    <d v="2023-02-28T00:00:00"/>
    <s v="all good"/>
    <n v="30"/>
    <s v="Asia"/>
    <x v="6"/>
    <s v="Bengaluru"/>
    <s v="Non-Profit"/>
    <s v="Retail"/>
    <x v="2"/>
    <x v="495"/>
    <n v="7"/>
    <n v="1262.0999999999999"/>
    <n v="1395.53"/>
    <s v="medium"/>
    <n v="0.23300000000000001"/>
    <n v="7492.6005699999996"/>
    <n v="8834.6999999999989"/>
    <n v="-0.179123312054522"/>
    <s v="B. Chen"/>
    <n v="-1342.0994299999993"/>
    <s v="Q1-2023"/>
    <s v="01 2023"/>
    <d v="2023-01-01T00:00:00"/>
    <d v="2023-01-01T00:00:00"/>
    <x v="19"/>
  </r>
  <r>
    <s v="ORD-2024-402240"/>
    <d v="2024-05-01T00:00:00"/>
    <d v="2024-05-26T00:00:00"/>
    <s v="all good"/>
    <n v="25"/>
    <s v="Europe"/>
    <x v="0"/>
    <s v="Berlin"/>
    <s v="Non-Profit"/>
    <s v="Retail"/>
    <x v="5"/>
    <x v="496"/>
    <n v="12"/>
    <n v="930.71"/>
    <n v="1625.42"/>
    <s v="medium"/>
    <n v="0.13800000000000001"/>
    <n v="16813.34448"/>
    <n v="11168.52"/>
    <n v="0.33573477821231201"/>
    <s v="B. Chen"/>
    <n v="5644.8244799999993"/>
    <s v="Q2-2024"/>
    <s v="05 2024"/>
    <d v="2024-05-01T00:00:00"/>
    <d v="2023-01-01T00:00:00"/>
    <x v="25"/>
  </r>
  <r>
    <s v="ORD-2023-920483"/>
    <d v="2023-07-02T00:00:00"/>
    <d v="2023-08-01T00:00:00"/>
    <s v="all good"/>
    <n v="30"/>
    <s v="Europe"/>
    <x v="1"/>
    <s v="Birmingham"/>
    <s v="Small Business"/>
    <s v="Retail"/>
    <x v="1"/>
    <x v="497"/>
    <n v="27"/>
    <n v="137.46"/>
    <n v="188.3"/>
    <s v="low"/>
    <n v="3.7999999999999999E-2"/>
    <n v="4890.9041999999999"/>
    <n v="3711.42"/>
    <n v="0.24115872071262401"/>
    <s v="B. Chen"/>
    <n v="1179.4841999999999"/>
    <s v="Q3-2023"/>
    <s v="07 2023"/>
    <d v="2023-07-01T00:00:00"/>
    <d v="2023-03-01T00:00:00"/>
    <x v="29"/>
  </r>
  <r>
    <s v="ORD-2024-548345"/>
    <d v="2024-05-14T00:00:00"/>
    <d v="2024-05-28T00:00:00"/>
    <s v="all good"/>
    <n v="14"/>
    <s v="Europe"/>
    <x v="1"/>
    <s v="Birmingham"/>
    <s v="Consumer"/>
    <s v="Retail"/>
    <x v="5"/>
    <x v="498"/>
    <n v="8"/>
    <n v="1421.14"/>
    <n v="3524"/>
    <s v="high"/>
    <n v="0"/>
    <n v="28192"/>
    <n v="11369.12"/>
    <n v="0.59672531214528901"/>
    <s v="B. Chen"/>
    <n v="16822.879999999997"/>
    <s v="Q2-2024"/>
    <s v="05 2024"/>
    <d v="2024-05-01T00:00:00"/>
    <d v="2023-03-01T00:00:00"/>
    <x v="24"/>
  </r>
  <r>
    <s v="ORD-2025-149156"/>
    <d v="2025-01-10T00:00:00"/>
    <d v="2025-02-06T00:00:00"/>
    <s v="all good"/>
    <n v="27"/>
    <s v="America"/>
    <x v="5"/>
    <s v="Brasília"/>
    <s v="Non-Profit"/>
    <s v="Retail"/>
    <x v="4"/>
    <x v="499"/>
    <n v="13"/>
    <n v="725.62"/>
    <n v="1559.19"/>
    <s v="medium"/>
    <n v="0.19"/>
    <n v="16418.270700000001"/>
    <n v="9433.06"/>
    <n v="0.42545349797405901"/>
    <s v="B. Chen"/>
    <n v="6985.2107000000015"/>
    <s v="Q1-2025"/>
    <s v="01 2025"/>
    <d v="2025-01-01T00:00:00"/>
    <d v="2024-05-01T00:00:00"/>
    <x v="5"/>
  </r>
  <r>
    <s v="ORD-2025-564184"/>
    <d v="2025-01-29T00:00:00"/>
    <d v="2025-02-06T00:00:00"/>
    <s v="all good"/>
    <n v="8"/>
    <s v="Africa"/>
    <x v="8"/>
    <s v="Kisumu"/>
    <s v="Education"/>
    <s v="Retail"/>
    <x v="3"/>
    <x v="500"/>
    <n v="22"/>
    <n v="1445.27"/>
    <n v="2691.45"/>
    <s v="high"/>
    <n v="0"/>
    <n v="59211.899999999994"/>
    <n v="31795.94"/>
    <n v="0.46301436028906401"/>
    <s v="B. Chen"/>
    <n v="27415.959999999995"/>
    <s v="Q1-2025"/>
    <s v="01 2025"/>
    <d v="2025-01-01T00:00:00"/>
    <d v="2023-01-01T00:00:00"/>
    <x v="14"/>
  </r>
  <r>
    <s v="ORD-2024-207669"/>
    <d v="2024-01-24T00:00:00"/>
    <d v="2024-02-04T00:00:00"/>
    <s v="all good"/>
    <n v="11"/>
    <s v="Europe"/>
    <x v="1"/>
    <s v="Manchester"/>
    <s v="Consumer"/>
    <s v="Retail"/>
    <x v="4"/>
    <x v="501"/>
    <n v="10"/>
    <n v="525.34"/>
    <n v="1233.79"/>
    <s v="medium"/>
    <n v="0.14299999999999999"/>
    <n v="10573.5803"/>
    <n v="5253.4000000000005"/>
    <n v="0.50315788494082703"/>
    <s v="B. Chen"/>
    <n v="5320.1802999999991"/>
    <s v="Q1-2024"/>
    <s v="01 2024"/>
    <d v="2024-01-01T00:00:00"/>
    <d v="2023-03-01T00:00:00"/>
    <x v="16"/>
  </r>
  <r>
    <s v="ORD-2023-552115"/>
    <d v="2023-09-17T00:00:00"/>
    <d v="2023-10-02T00:00:00"/>
    <s v="all good"/>
    <n v="15"/>
    <s v="America"/>
    <x v="15"/>
    <s v="Janeiro"/>
    <s v="Small Business"/>
    <s v="Retail"/>
    <x v="4"/>
    <x v="502"/>
    <n v="7"/>
    <n v="689.33"/>
    <n v="668.27"/>
    <s v="low"/>
    <n v="0.186"/>
    <n v="3807.8024599999999"/>
    <n v="4825.3100000000004"/>
    <n v="-0.26721647214861"/>
    <s v="B. Chen"/>
    <n v="-1017.5075400000005"/>
    <s v="Q3-2023"/>
    <s v="09 2023"/>
    <d v="2023-09-01T00:00:00"/>
    <d v="2023-05-01T00:00:00"/>
    <x v="29"/>
  </r>
  <r>
    <s v="ORD-2023-883066"/>
    <d v="2023-08-12T00:00:00"/>
    <d v="2023-09-06T00:00:00"/>
    <s v="all good"/>
    <n v="25"/>
    <s v="Asia"/>
    <x v="4"/>
    <s v="Shanghai"/>
    <s v="Small Business"/>
    <s v="Retail"/>
    <x v="1"/>
    <x v="503"/>
    <n v="5"/>
    <n v="950.77"/>
    <n v="694.78"/>
    <s v="low"/>
    <n v="8.4000000000000005E-2"/>
    <n v="3182.0924"/>
    <n v="4753.8500000000004"/>
    <n v="-0.49393839097821302"/>
    <s v="B. Chen"/>
    <n v="-1571.7576000000004"/>
    <s v="Q3-2023"/>
    <s v="08 2023"/>
    <d v="2023-08-01T00:00:00"/>
    <d v="2023-01-01T00:00:00"/>
    <x v="9"/>
  </r>
  <r>
    <s v="ORD-2025-652467"/>
    <d v="2025-08-21T00:00:00"/>
    <d v="2025-09-12T00:00:00"/>
    <s v="all good"/>
    <n v="22"/>
    <s v="Asia"/>
    <x v="4"/>
    <s v="Shenzhen"/>
    <s v="Education"/>
    <s v="Retail"/>
    <x v="0"/>
    <x v="504"/>
    <n v="9"/>
    <n v="352.66"/>
    <n v="411.18"/>
    <s v="low"/>
    <n v="0.17299999999999999"/>
    <n v="3060.4127399999998"/>
    <n v="3173.94"/>
    <n v="-3.7095408248758101E-2"/>
    <s v="B. Chen"/>
    <n v="-113.5272600000003"/>
    <s v="Q3-2025"/>
    <s v="08 2025"/>
    <d v="2025-08-01T00:00:00"/>
    <d v="2023-01-01T00:00:00"/>
    <x v="13"/>
  </r>
  <r>
    <s v="ORD-2024-102866"/>
    <d v="2024-12-12T00:00:00"/>
    <d v="2024-12-20T00:00:00"/>
    <s v="all good"/>
    <n v="8"/>
    <s v="Asia"/>
    <x v="7"/>
    <s v="Tokyo"/>
    <s v="Corporate"/>
    <s v="Retail"/>
    <x v="4"/>
    <x v="505"/>
    <n v="38"/>
    <n v="1202.47"/>
    <n v="1444.72"/>
    <s v="medium"/>
    <n v="0.24099999999999999"/>
    <n v="41668.614240000003"/>
    <n v="45693.86"/>
    <n v="-9.6601382921343806E-2"/>
    <s v="B. Chen"/>
    <n v="-4025.245759999998"/>
    <s v="Q4-2024"/>
    <s v="12 2024"/>
    <d v="2024-12-01T00:00:00"/>
    <d v="2023-04-01T00:00:00"/>
    <x v="27"/>
  </r>
  <r>
    <s v="ORD-2024-215294"/>
    <d v="2024-06-30T00:00:00"/>
    <d v="2024-07-14T00:00:00"/>
    <s v="all good"/>
    <n v="14"/>
    <s v="America"/>
    <x v="5"/>
    <s v="Brasília"/>
    <s v="Education"/>
    <s v="Retail"/>
    <x v="2"/>
    <x v="506"/>
    <n v="28"/>
    <n v="1491.85"/>
    <n v="2583.02"/>
    <s v="high"/>
    <n v="0.16800000000000001"/>
    <n v="60174.033919999994"/>
    <n v="41771.799999999996"/>
    <n v="0.30581685689321297"/>
    <s v="C. Otieno"/>
    <n v="18402.233919999999"/>
    <s v="Q2-2024"/>
    <s v="06 2024"/>
    <d v="2024-06-01T00:00:00"/>
    <d v="2024-05-01T00:00:00"/>
    <x v="17"/>
  </r>
  <r>
    <s v="ORD-2024-275203"/>
    <d v="2024-03-11T00:00:00"/>
    <d v="2024-04-06T00:00:00"/>
    <s v="all good"/>
    <n v="26"/>
    <s v="Africa"/>
    <x v="8"/>
    <s v="Kisumu"/>
    <s v="Corporate"/>
    <s v="Retail"/>
    <x v="1"/>
    <x v="507"/>
    <n v="6"/>
    <n v="279.24"/>
    <n v="608.9"/>
    <s v="low"/>
    <n v="0.112"/>
    <n v="3244.2191999999995"/>
    <n v="1675.44"/>
    <n v="0.483561406701495"/>
    <s v="C. Otieno"/>
    <n v="1568.7791999999995"/>
    <s v="Q1-2024"/>
    <s v="03 2024"/>
    <d v="2024-03-01T00:00:00"/>
    <d v="2023-01-01T00:00:00"/>
    <x v="24"/>
  </r>
  <r>
    <s v="ORD-2023-835010"/>
    <d v="2023-03-23T00:00:00"/>
    <d v="2023-04-15T00:00:00"/>
    <s v="all good"/>
    <n v="23"/>
    <s v="Africa"/>
    <x v="8"/>
    <s v="Mombasa"/>
    <s v="Small Business"/>
    <s v="Retail"/>
    <x v="2"/>
    <x v="508"/>
    <n v="10"/>
    <n v="875.36"/>
    <n v="1178.6199999999999"/>
    <s v="medium"/>
    <n v="0.151"/>
    <n v="10006.483799999998"/>
    <n v="8753.6"/>
    <n v="0.12520719815685899"/>
    <s v="C. Otieno"/>
    <n v="1252.8837999999978"/>
    <s v="Q1-2023"/>
    <s v="03 2023"/>
    <d v="2023-03-01T00:00:00"/>
    <d v="2023-01-01T00:00:00"/>
    <x v="1"/>
  </r>
  <r>
    <s v="ORD-2025-155182"/>
    <d v="2025-07-11T00:00:00"/>
    <d v="2025-08-03T00:00:00"/>
    <s v="all good"/>
    <n v="23"/>
    <s v="Africa"/>
    <x v="8"/>
    <s v="Nakuru"/>
    <s v="Small Business"/>
    <s v="Retail"/>
    <x v="3"/>
    <x v="509"/>
    <n v="5"/>
    <n v="389.93"/>
    <n v="486.13"/>
    <s v="low"/>
    <n v="0.13200000000000001"/>
    <n v="2109.8042"/>
    <n v="1949.65"/>
    <n v="7.5909508569562995E-2"/>
    <s v="C. Otieno"/>
    <n v="160.15419999999995"/>
    <s v="Q3-2025"/>
    <s v="07 2025"/>
    <d v="2025-07-01T00:00:00"/>
    <d v="2023-01-01T00:00:00"/>
    <x v="20"/>
  </r>
  <r>
    <s v="ORD-2023-825836"/>
    <d v="2023-07-19T00:00:00"/>
    <d v="2023-07-31T00:00:00"/>
    <s v="all good"/>
    <n v="12"/>
    <s v="America"/>
    <x v="15"/>
    <s v="Janeiro"/>
    <s v="Corporate"/>
    <s v="Retail"/>
    <x v="6"/>
    <x v="510"/>
    <n v="14"/>
    <n v="1334.64"/>
    <n v="2273.42"/>
    <s v="high"/>
    <n v="0.11799999999999999"/>
    <n v="28072.190160000002"/>
    <n v="18684.960000000003"/>
    <n v="0.334396073355753"/>
    <s v="C. Otieno"/>
    <n v="9387.2301599999992"/>
    <s v="Q3-2023"/>
    <s v="07 2023"/>
    <d v="2023-07-01T00:00:00"/>
    <d v="2023-05-01T00:00:00"/>
    <x v="1"/>
  </r>
  <r>
    <s v="ORD-2024-433936"/>
    <d v="2024-08-04T00:00:00"/>
    <d v="2024-08-17T00:00:00"/>
    <s v="all good"/>
    <n v="13"/>
    <s v="America"/>
    <x v="13"/>
    <s v="Austin"/>
    <s v="Consumer"/>
    <s v="Retail"/>
    <x v="6"/>
    <x v="511"/>
    <n v="12"/>
    <n v="352.79"/>
    <n v="754.22"/>
    <s v="low"/>
    <n v="0.113"/>
    <n v="8027.9176799999996"/>
    <n v="4233.4800000000005"/>
    <n v="0.47265528014233399"/>
    <s v="D. Smith"/>
    <n v="3794.4376799999991"/>
    <s v="Q3-2024"/>
    <s v="08 2024"/>
    <d v="2024-08-01T00:00:00"/>
    <d v="2024-01-01T00:00:00"/>
    <x v="9"/>
  </r>
  <r>
    <s v="ORD-2023-749324"/>
    <d v="2023-08-19T00:00:00"/>
    <d v="2023-09-07T00:00:00"/>
    <s v="all good"/>
    <n v="19"/>
    <s v="Africa"/>
    <x v="10"/>
    <s v="Johannesburg"/>
    <s v="Enterprise"/>
    <s v="Retail"/>
    <x v="6"/>
    <x v="512"/>
    <n v="33"/>
    <n v="494.61"/>
    <n v="605.23"/>
    <s v="low"/>
    <n v="0.20399999999999999"/>
    <n v="15898.181640000001"/>
    <n v="16322.130000000001"/>
    <n v="-2.66664685056398E-2"/>
    <s v="D. Smith"/>
    <n v="-423.94836000000032"/>
    <s v="Q3-2023"/>
    <s v="08 2023"/>
    <d v="2023-08-01T00:00:00"/>
    <d v="2023-02-01T00:00:00"/>
    <x v="7"/>
  </r>
  <r>
    <s v="ORD-2023-294716"/>
    <d v="2023-04-10T00:00:00"/>
    <d v="2023-04-25T00:00:00"/>
    <s v="all good"/>
    <n v="15"/>
    <s v="Europe"/>
    <x v="1"/>
    <s v="London"/>
    <s v="Small Business"/>
    <s v="Retail"/>
    <x v="0"/>
    <x v="513"/>
    <n v="5"/>
    <n v="405.66"/>
    <n v="962.51"/>
    <s v="medium"/>
    <n v="0.19"/>
    <n v="3898.1655000000005"/>
    <n v="2028.3000000000002"/>
    <n v="0.47967832561239399"/>
    <s v="D. Smith"/>
    <n v="1869.8655000000003"/>
    <s v="Q2-2023"/>
    <s v="04 2023"/>
    <d v="2023-04-01T00:00:00"/>
    <d v="2023-03-01T00:00:00"/>
    <x v="17"/>
  </r>
  <r>
    <s v="ORD-2024-930679"/>
    <d v="2024-12-17T00:00:00"/>
    <d v="2025-01-16T00:00:00"/>
    <s v="all good"/>
    <n v="30"/>
    <s v="Europe"/>
    <x v="1"/>
    <s v="Manchester"/>
    <s v="Corporate"/>
    <s v="Retail"/>
    <x v="6"/>
    <x v="514"/>
    <n v="11"/>
    <n v="722.87"/>
    <n v="33.659999999999997"/>
    <s v="low"/>
    <n v="0.10199999999999999"/>
    <n v="332.49347999999998"/>
    <n v="7951.57"/>
    <n v="-22.914965189693302"/>
    <s v="D. Smith"/>
    <n v="-7619.0765199999996"/>
    <s v="Q4-2024"/>
    <s v="12 2024"/>
    <d v="2024-12-01T00:00:00"/>
    <d v="2023-03-01T00:00:00"/>
    <x v="6"/>
  </r>
  <r>
    <s v="ORD-2024-544865"/>
    <d v="2024-02-16T00:00:00"/>
    <d v="2024-03-04T00:00:00"/>
    <s v="all good"/>
    <n v="17"/>
    <s v="America"/>
    <x v="3"/>
    <s v="Montreal"/>
    <s v="Non-Profit"/>
    <s v="Retail"/>
    <x v="4"/>
    <x v="515"/>
    <n v="11"/>
    <n v="1350.98"/>
    <n v="2210.4"/>
    <s v="high"/>
    <n v="0.26300000000000001"/>
    <n v="17919.712800000001"/>
    <n v="14860.78"/>
    <n v="0.170702110806151"/>
    <s v="D. Smith"/>
    <n v="3058.9328000000005"/>
    <s v="Q1-2024"/>
    <s v="02 2024"/>
    <d v="2024-02-01T00:00:00"/>
    <d v="2023-06-01T00:00:00"/>
    <x v="5"/>
  </r>
  <r>
    <s v="ORD-2023-957692"/>
    <d v="2023-05-07T00:00:00"/>
    <d v="2023-05-20T00:00:00"/>
    <s v="all good"/>
    <n v="13"/>
    <s v="Asia"/>
    <x v="6"/>
    <s v="Mumbai"/>
    <s v="Enterprise"/>
    <s v="Retail"/>
    <x v="2"/>
    <x v="516"/>
    <n v="27"/>
    <n v="1443.28"/>
    <n v="2580.5700000000002"/>
    <s v="high"/>
    <n v="0"/>
    <n v="69675.39"/>
    <n v="38968.559999999998"/>
    <n v="0.44071271075770102"/>
    <s v="D. Smith"/>
    <n v="30706.83"/>
    <s v="Q2-2023"/>
    <s v="05 2023"/>
    <d v="2023-05-01T00:00:00"/>
    <d v="2023-05-01T00:00:00"/>
    <x v="19"/>
  </r>
  <r>
    <s v="ORD-2024-468615"/>
    <d v="2024-07-09T00:00:00"/>
    <d v="2024-07-12T00:00:00"/>
    <s v="all good"/>
    <n v="3"/>
    <s v="Asia"/>
    <x v="4"/>
    <s v="Shanghai"/>
    <s v="Small Business"/>
    <s v="Retail"/>
    <x v="2"/>
    <x v="517"/>
    <n v="8"/>
    <n v="748.39"/>
    <n v="979.42"/>
    <s v="medium"/>
    <n v="0"/>
    <n v="7835.36"/>
    <n v="5987.12"/>
    <n v="0.23588450307324699"/>
    <s v="D. Smith"/>
    <n v="1848.2399999999998"/>
    <s v="Q3-2024"/>
    <s v="07 2024"/>
    <d v="2024-07-01T00:00:00"/>
    <d v="2023-01-01T00:00:00"/>
    <x v="22"/>
  </r>
  <r>
    <s v="ORD-2023-868460"/>
    <d v="2023-06-01T00:00:00"/>
    <d v="2023-06-01T00:00:00"/>
    <s v="all good"/>
    <n v="0"/>
    <s v="Asia"/>
    <x v="6"/>
    <s v="Bengaluru"/>
    <s v="Corporate"/>
    <s v="Retail"/>
    <x v="2"/>
    <x v="518"/>
    <n v="7"/>
    <n v="669.37"/>
    <n v="997.2"/>
    <s v="medium"/>
    <n v="8.2000000000000003E-2"/>
    <n v="6408.0072000000009"/>
    <n v="4685.59"/>
    <n v="0.26879139586484901"/>
    <s v="E. Garcia"/>
    <n v="1722.4172000000008"/>
    <s v="Q2-2023"/>
    <s v="06 2023"/>
    <d v="2023-06-01T00:00:00"/>
    <d v="2023-05-01T00:00:00"/>
    <x v="17"/>
  </r>
  <r>
    <s v="ORD-2024-503082"/>
    <d v="2024-05-19T00:00:00"/>
    <d v="2024-06-08T00:00:00"/>
    <s v="all good"/>
    <n v="20"/>
    <s v="America"/>
    <x v="5"/>
    <s v="Brasília"/>
    <s v="Small Business"/>
    <s v="Retail"/>
    <x v="6"/>
    <x v="519"/>
    <n v="3"/>
    <n v="1075.9000000000001"/>
    <n v="1242.1500000000001"/>
    <s v="medium"/>
    <n v="1.2E-2"/>
    <n v="3681.7326000000003"/>
    <n v="3227.7000000000003"/>
    <n v="0.123320362809618"/>
    <s v="E. Garcia"/>
    <n v="454.0326"/>
    <s v="Q2-2024"/>
    <s v="05 2024"/>
    <d v="2024-05-01T00:00:00"/>
    <d v="2024-05-01T00:00:00"/>
    <x v="19"/>
  </r>
  <r>
    <s v="ORD-2024-496601"/>
    <d v="2024-11-11T00:00:00"/>
    <d v="2024-11-24T00:00:00"/>
    <s v="all good"/>
    <n v="13"/>
    <s v="Europe"/>
    <x v="1"/>
    <s v="London"/>
    <s v="Corporate"/>
    <s v="Retail"/>
    <x v="5"/>
    <x v="520"/>
    <n v="6"/>
    <n v="164.53"/>
    <n v="327.72"/>
    <s v="low"/>
    <n v="6.7000000000000004E-2"/>
    <n v="1834.5765600000002"/>
    <n v="987.18000000000006"/>
    <n v="0.46190307805960401"/>
    <s v="E. Garcia"/>
    <n v="847.39656000000014"/>
    <s v="Q4-2024"/>
    <s v="11 2024"/>
    <d v="2024-11-01T00:00:00"/>
    <d v="2023-03-01T00:00:00"/>
    <x v="27"/>
  </r>
  <r>
    <s v="ORD-2025-548982"/>
    <d v="2025-04-07T00:00:00"/>
    <d v="2025-04-11T00:00:00"/>
    <s v="all good"/>
    <n v="4"/>
    <s v="Europe"/>
    <x v="2"/>
    <s v="Lyon"/>
    <s v="Education"/>
    <s v="Retail"/>
    <x v="5"/>
    <x v="521"/>
    <n v="23"/>
    <n v="754.77"/>
    <n v="1666.18"/>
    <s v="high"/>
    <n v="0.13900000000000001"/>
    <n v="32995.362540000002"/>
    <n v="17359.71"/>
    <n v="0.47387424584424698"/>
    <s v="E. Garcia"/>
    <n v="15635.652540000003"/>
    <s v="Q2-2025"/>
    <s v="04 2025"/>
    <d v="2025-04-01T00:00:00"/>
    <d v="2023-02-01T00:00:00"/>
    <x v="18"/>
  </r>
  <r>
    <s v="ORD-2023-427304"/>
    <d v="2023-06-09T00:00:00"/>
    <d v="2023-06-19T00:00:00"/>
    <s v="all good"/>
    <n v="10"/>
    <s v="Asia"/>
    <x v="4"/>
    <s v="Beijing"/>
    <s v="Enterprise"/>
    <s v="Retail"/>
    <x v="6"/>
    <x v="522"/>
    <n v="23"/>
    <n v="339.61"/>
    <n v="621.02"/>
    <s v="low"/>
    <n v="7.0999999999999994E-2"/>
    <n v="13269.334339999999"/>
    <n v="7811.0300000000007"/>
    <n v="0.41134726129750998"/>
    <s v="F. Müller"/>
    <n v="5458.3043399999988"/>
    <s v="Q2-2023"/>
    <s v="06 2023"/>
    <d v="2023-06-01T00:00:00"/>
    <d v="2023-01-01T00:00:00"/>
    <x v="15"/>
  </r>
  <r>
    <s v="ORD-2024-655710"/>
    <d v="2024-11-30T00:00:00"/>
    <d v="2024-12-10T00:00:00"/>
    <s v="all good"/>
    <n v="10"/>
    <s v="Asia"/>
    <x v="6"/>
    <s v="Hyderabad"/>
    <s v="Small Business"/>
    <s v="Retail"/>
    <x v="2"/>
    <x v="523"/>
    <n v="15"/>
    <n v="851.49"/>
    <n v="901.79"/>
    <s v="medium"/>
    <n v="0.245"/>
    <n v="10212.771749999998"/>
    <n v="12772.35"/>
    <n v="-0.25062522816100402"/>
    <s v="F. Müller"/>
    <n v="-2559.5782500000023"/>
    <s v="Q4-2024"/>
    <s v="11 2024"/>
    <d v="2024-11-01T00:00:00"/>
    <d v="2023-05-01T00:00:00"/>
    <x v="22"/>
  </r>
  <r>
    <s v="ORD-2024-398783"/>
    <d v="2024-07-18T00:00:00"/>
    <d v="2024-08-07T00:00:00"/>
    <s v="all good"/>
    <n v="20"/>
    <s v="Europe"/>
    <x v="2"/>
    <s v="Marseille"/>
    <s v="Corporate"/>
    <s v="Retail"/>
    <x v="6"/>
    <x v="524"/>
    <n v="4"/>
    <n v="941.35"/>
    <n v="899.83"/>
    <s v="medium"/>
    <n v="5.8000000000000003E-2"/>
    <n v="3390.55944"/>
    <n v="3765.4"/>
    <n v="-0.110554192201391"/>
    <s v="F. Müller"/>
    <n v="-374.8405600000001"/>
    <s v="Q3-2024"/>
    <s v="07 2024"/>
    <d v="2024-07-01T00:00:00"/>
    <d v="2023-02-01T00:00:00"/>
    <x v="26"/>
  </r>
  <r>
    <s v="ORD-2024-605518"/>
    <d v="2024-05-30T00:00:00"/>
    <d v="2024-06-13T00:00:00"/>
    <s v="all good"/>
    <n v="14"/>
    <s v="America"/>
    <x v="12"/>
    <s v="Francisco"/>
    <s v="Small Business"/>
    <s v="Retail"/>
    <x v="3"/>
    <x v="525"/>
    <n v="13"/>
    <n v="157.78"/>
    <n v="361.1"/>
    <s v="low"/>
    <n v="0.187"/>
    <n v="3816.4658999999997"/>
    <n v="2051.14"/>
    <n v="0.46255513510549101"/>
    <s v="F. Müller"/>
    <n v="1765.3258999999998"/>
    <s v="Q2-2024"/>
    <s v="05 2024"/>
    <d v="2024-05-01T00:00:00"/>
    <d v="2023-02-01T00:00:00"/>
    <x v="30"/>
  </r>
  <r>
    <s v="ORD-2023-304451"/>
    <d v="2023-10-07T00:00:00"/>
    <d v="2023-10-23T00:00:00"/>
    <s v="all good"/>
    <n v="16"/>
    <s v="Asia"/>
    <x v="6"/>
    <s v="Hyderabad"/>
    <s v="Consumer"/>
    <s v="Retail"/>
    <x v="6"/>
    <x v="526"/>
    <n v="21"/>
    <n v="906.81"/>
    <n v="1395.56"/>
    <s v="medium"/>
    <n v="0.185"/>
    <n v="23885.009399999995"/>
    <n v="19043.009999999998"/>
    <n v="0.20272126834498999"/>
    <s v="G. Dubois"/>
    <n v="4841.999399999997"/>
    <s v="Q4-2023"/>
    <s v="10 2023"/>
    <d v="2023-10-01T00:00:00"/>
    <d v="2023-05-01T00:00:00"/>
    <x v="15"/>
  </r>
  <r>
    <s v="ORD-2024-500109"/>
    <d v="2024-05-18T00:00:00"/>
    <d v="2024-05-23T00:00:00"/>
    <s v="all good"/>
    <n v="5"/>
    <s v="America"/>
    <x v="13"/>
    <s v="Chicago"/>
    <s v="Enterprise"/>
    <s v="Retail"/>
    <x v="4"/>
    <x v="527"/>
    <n v="8"/>
    <n v="1274.5899999999999"/>
    <n v="2553.69"/>
    <s v="high"/>
    <n v="0.01"/>
    <n v="20225.2248"/>
    <n v="10196.719999999999"/>
    <n v="0.49584145042481798"/>
    <s v="H. Kim"/>
    <n v="10028.504800000001"/>
    <s v="Q2-2024"/>
    <s v="05 2024"/>
    <d v="2024-05-01T00:00:00"/>
    <d v="2024-01-01T00:00:00"/>
    <x v="29"/>
  </r>
  <r>
    <s v="ORD-2024-960952"/>
    <d v="2024-02-03T00:00:00"/>
    <d v="2024-02-21T00:00:00"/>
    <s v="all good"/>
    <n v="18"/>
    <s v="Europe"/>
    <x v="0"/>
    <s v="Frankfurt"/>
    <s v="Corporate"/>
    <s v="Retail"/>
    <x v="1"/>
    <x v="528"/>
    <n v="39"/>
    <n v="39.229999999999997"/>
    <n v="30.09"/>
    <s v="low"/>
    <n v="0.17699999999999999"/>
    <n v="965.79872999999998"/>
    <n v="1529.9699999999998"/>
    <n v="-0.58414993981199403"/>
    <s v="H. Kim"/>
    <n v="-564.17126999999982"/>
    <s v="Q1-2024"/>
    <s v="02 2024"/>
    <d v="2024-02-01T00:00:00"/>
    <d v="2023-01-01T00:00:00"/>
    <x v="23"/>
  </r>
  <r>
    <s v="ORD-2025-192876"/>
    <d v="2025-01-31T00:00:00"/>
    <d v="2025-02-17T00:00:00"/>
    <s v="all good"/>
    <n v="17"/>
    <s v="Europe"/>
    <x v="1"/>
    <s v="London"/>
    <s v="Enterprise"/>
    <s v="Retail"/>
    <x v="1"/>
    <x v="106"/>
    <n v="10"/>
    <n v="378.26"/>
    <n v="541.55999999999995"/>
    <s v="low"/>
    <n v="0.16300000000000001"/>
    <n v="4532.8571999999995"/>
    <n v="3782.6"/>
    <n v="0.16551529573885501"/>
    <s v="H. Kim"/>
    <n v="750.25719999999956"/>
    <s v="Q1-2025"/>
    <s v="01 2025"/>
    <d v="2025-01-01T00:00:00"/>
    <d v="2023-03-01T00:00:00"/>
    <x v="28"/>
  </r>
  <r>
    <s v="ORD-2025-330203"/>
    <d v="2025-03-25T00:00:00"/>
    <d v="2025-04-17T00:00:00"/>
    <s v="all good"/>
    <n v="23"/>
    <s v="Europe"/>
    <x v="1"/>
    <s v="London"/>
    <s v="Consumer"/>
    <s v="Retail"/>
    <x v="5"/>
    <x v="529"/>
    <n v="9"/>
    <n v="1421.19"/>
    <n v="1808.26"/>
    <s v="high"/>
    <n v="0.104"/>
    <n v="14581.808640000001"/>
    <n v="12790.710000000001"/>
    <n v="0.122831034490931"/>
    <s v="H. Kim"/>
    <n v="1791.0986400000002"/>
    <s v="Q1-2025"/>
    <s v="03 2025"/>
    <d v="2025-03-01T00:00:00"/>
    <d v="2023-03-01T00:00:00"/>
    <x v="14"/>
  </r>
  <r>
    <s v="ORD-2024-382152"/>
    <d v="2024-12-08T00:00:00"/>
    <d v="2024-12-08T00:00:00"/>
    <s v="all good"/>
    <n v="0"/>
    <s v="Europe"/>
    <x v="2"/>
    <s v="Lyon"/>
    <s v="Enterprise"/>
    <s v="Retail"/>
    <x v="1"/>
    <x v="530"/>
    <n v="5"/>
    <n v="257.44"/>
    <n v="290.33"/>
    <s v="low"/>
    <n v="9.1999999999999998E-2"/>
    <n v="1318.0981999999999"/>
    <n v="1287.2"/>
    <n v="2.3441500792581199E-2"/>
    <s v="H. Kim"/>
    <n v="30.898199999999861"/>
    <s v="Q4-2024"/>
    <s v="12 2024"/>
    <d v="2024-12-01T00:00:00"/>
    <d v="2023-02-01T00:00:00"/>
    <x v="28"/>
  </r>
  <r>
    <s v="ORD-2024-890180"/>
    <d v="2024-01-20T00:00:00"/>
    <d v="2024-02-13T00:00:00"/>
    <s v="all good"/>
    <n v="24"/>
    <s v="Europe"/>
    <x v="2"/>
    <s v="Marseille"/>
    <s v="Corporate"/>
    <s v="Retail"/>
    <x v="0"/>
    <x v="531"/>
    <n v="9"/>
    <n v="643.53"/>
    <n v="1439.01"/>
    <s v="medium"/>
    <n v="0"/>
    <n v="12951.09"/>
    <n v="5791.7699999999995"/>
    <n v="0.55279671440782197"/>
    <s v="H. Kim"/>
    <n v="7159.3200000000006"/>
    <s v="Q1-2024"/>
    <s v="01 2024"/>
    <d v="2024-01-01T00:00:00"/>
    <d v="2023-02-01T00:00:00"/>
    <x v="21"/>
  </r>
  <r>
    <s v="ORD-2025-364852"/>
    <d v="2025-05-18T00:00:00"/>
    <d v="2025-06-09T00:00:00"/>
    <s v="all good"/>
    <n v="22"/>
    <s v="America"/>
    <x v="17"/>
    <s v="York"/>
    <s v="Consumer"/>
    <s v="Retail"/>
    <x v="5"/>
    <x v="532"/>
    <n v="10"/>
    <n v="382.96"/>
    <n v="552.84"/>
    <s v="low"/>
    <n v="0.17599999999999999"/>
    <n v="4555.4016000000011"/>
    <n v="3829.6"/>
    <n v="0.15932768693763499"/>
    <s v="H. Kim"/>
    <n v="725.80160000000114"/>
    <s v="Q2-2025"/>
    <s v="05 2025"/>
    <d v="2025-05-01T00:00:00"/>
    <d v="2023-07-01T00:00:00"/>
    <x v="28"/>
  </r>
  <r>
    <s v="ORD-2024-915495"/>
    <d v="2024-08-08T00:00:00"/>
    <d v="2024-08-20T00:00:00"/>
    <s v="all good"/>
    <n v="12"/>
    <s v="Asia"/>
    <x v="7"/>
    <s v="Osaka"/>
    <s v="Small Business"/>
    <s v="Retail"/>
    <x v="5"/>
    <x v="533"/>
    <n v="20"/>
    <n v="1233.3599999999999"/>
    <n v="2120.4"/>
    <s v="high"/>
    <n v="0.17899999999999999"/>
    <n v="34816.968000000001"/>
    <n v="24667.199999999997"/>
    <n v="0.291517859912443"/>
    <s v="H. Kim"/>
    <n v="10149.768000000004"/>
    <s v="Q3-2024"/>
    <s v="08 2024"/>
    <d v="2024-08-01T00:00:00"/>
    <d v="2023-04-01T00:00:00"/>
    <x v="25"/>
  </r>
  <r>
    <s v="ORD-2025-486350"/>
    <d v="2025-05-27T00:00:00"/>
    <d v="2025-06-08T00:00:00"/>
    <s v="all good"/>
    <n v="12"/>
    <s v="Asia"/>
    <x v="7"/>
    <s v="Osaka"/>
    <s v="Corporate"/>
    <s v="Retail"/>
    <x v="2"/>
    <x v="534"/>
    <n v="12"/>
    <n v="653.6"/>
    <n v="842.09"/>
    <s v="medium"/>
    <n v="9.8000000000000004E-2"/>
    <n v="9114.7821600000007"/>
    <n v="7843.2000000000007"/>
    <n v="0.13950768517324599"/>
    <s v="H. Kim"/>
    <n v="1271.5821599999999"/>
    <s v="Q2-2025"/>
    <s v="05 2025"/>
    <d v="2025-05-01T00:00:00"/>
    <d v="2023-04-01T00:00:00"/>
    <x v="31"/>
  </r>
  <r>
    <s v="ORD-2023-157993"/>
    <d v="2023-04-18T00:00:00"/>
    <d v="2023-05-18T00:00:00"/>
    <s v="all good"/>
    <n v="30"/>
    <s v="Asia"/>
    <x v="4"/>
    <s v="Shenzhen"/>
    <s v="Non-Profit"/>
    <s v="Retail"/>
    <x v="4"/>
    <x v="535"/>
    <n v="14"/>
    <n v="329.03"/>
    <n v="391.15"/>
    <s v="low"/>
    <n v="0.19700000000000001"/>
    <n v="4397.3082999999988"/>
    <n v="4606.42"/>
    <n v="-4.7554477815440303E-2"/>
    <s v="H. Kim"/>
    <n v="-209.11170000000129"/>
    <s v="Q2-2023"/>
    <s v="04 2023"/>
    <d v="2023-04-01T00:00:00"/>
    <d v="2023-01-01T00:00:00"/>
    <x v="11"/>
  </r>
  <r>
    <s v="ORD-2025-137394"/>
    <d v="2025-01-04T00:00:00"/>
    <d v="2025-01-05T00:00:00"/>
    <s v="all good"/>
    <n v="1"/>
    <s v="Asia"/>
    <x v="6"/>
    <s v="Delhi"/>
    <s v="Education"/>
    <s v="Retail"/>
    <x v="1"/>
    <x v="536"/>
    <n v="21"/>
    <n v="1428.33"/>
    <n v="3028.05"/>
    <s v="high"/>
    <n v="0"/>
    <n v="63589.05"/>
    <n v="29994.93"/>
    <n v="0.52830039134096196"/>
    <s v="I. Johnson"/>
    <n v="33594.120000000003"/>
    <s v="Q1-2025"/>
    <s v="01 2025"/>
    <d v="2025-01-01T00:00:00"/>
    <d v="2023-05-01T00:00:00"/>
    <x v="27"/>
  </r>
  <r>
    <s v="ORD-2023-479747"/>
    <d v="2023-07-14T00:00:00"/>
    <d v="2023-07-14T00:00:00"/>
    <s v="all good"/>
    <n v="0"/>
    <s v="Africa"/>
    <x v="16"/>
    <s v="Lagos"/>
    <s v="Education"/>
    <s v="Retail"/>
    <x v="2"/>
    <x v="537"/>
    <n v="15"/>
    <n v="956.38"/>
    <n v="1454.22"/>
    <s v="medium"/>
    <n v="3.9E-2"/>
    <n v="20962.581299999998"/>
    <n v="14345.7"/>
    <n v="0.31565202802576597"/>
    <s v="I. Johnson"/>
    <n v="6616.8812999999973"/>
    <s v="Q3-2023"/>
    <s v="07 2023"/>
    <d v="2023-07-01T00:00:00"/>
    <d v="2023-01-01T00:00:00"/>
    <x v="7"/>
  </r>
  <r>
    <s v="ORD-2023-373538"/>
    <d v="2023-02-28T00:00:00"/>
    <d v="2023-03-25T00:00:00"/>
    <s v="all good"/>
    <n v="25"/>
    <s v="Africa"/>
    <x v="8"/>
    <s v="Nairobi"/>
    <s v="Corporate"/>
    <s v="Retail"/>
    <x v="5"/>
    <x v="538"/>
    <n v="32"/>
    <n v="1460.76"/>
    <n v="30.66"/>
    <s v="low"/>
    <n v="0.13100000000000001"/>
    <n v="852.59328000000005"/>
    <n v="46744.32"/>
    <n v="-53.826047890032598"/>
    <s v="I. Johnson"/>
    <n v="-45891.726719999999"/>
    <s v="Q1-2023"/>
    <s v="02 2023"/>
    <d v="2023-02-01T00:00:00"/>
    <d v="2023-01-01T00:00:00"/>
    <x v="17"/>
  </r>
  <r>
    <s v="ORD-2025-683043"/>
    <d v="2025-08-13T00:00:00"/>
    <d v="2025-09-03T00:00:00"/>
    <s v="all good"/>
    <n v="21"/>
    <s v="Europe"/>
    <x v="2"/>
    <s v="Paris"/>
    <s v="Education"/>
    <s v="Retail"/>
    <x v="3"/>
    <x v="539"/>
    <n v="10"/>
    <n v="603.47"/>
    <n v="1344.05"/>
    <s v="medium"/>
    <n v="0.20499999999999999"/>
    <n v="10685.1975"/>
    <n v="6034.7000000000007"/>
    <n v="0.43522803392262999"/>
    <s v="I. Johnson"/>
    <n v="4650.4974999999995"/>
    <s v="Q3-2025"/>
    <s v="08 2025"/>
    <d v="2025-08-01T00:00:00"/>
    <d v="2023-02-01T00:00:00"/>
    <x v="20"/>
  </r>
  <r>
    <s v="ORD-2023-651638"/>
    <d v="2023-06-17T00:00:00"/>
    <d v="2023-06-24T00:00:00"/>
    <s v="all good"/>
    <n v="7"/>
    <s v="America"/>
    <x v="12"/>
    <s v="Francisco"/>
    <s v="Corporate"/>
    <s v="Retail"/>
    <x v="0"/>
    <x v="540"/>
    <n v="7"/>
    <n v="313.99"/>
    <n v="454.42"/>
    <s v="low"/>
    <n v="0.129"/>
    <n v="2770.5987399999999"/>
    <n v="2197.9300000000003"/>
    <n v="0.206694939881478"/>
    <s v="I. Johnson"/>
    <n v="572.66873999999962"/>
    <s v="Q2-2023"/>
    <s v="06 2023"/>
    <d v="2023-06-01T00:00:00"/>
    <d v="2023-02-01T00:00:00"/>
    <x v="29"/>
  </r>
  <r>
    <s v="ORD-2023-343322"/>
    <d v="2023-08-19T00:00:00"/>
    <d v="2023-09-12T00:00:00"/>
    <s v="all good"/>
    <n v="24"/>
    <s v="America"/>
    <x v="3"/>
    <s v="Vancouver"/>
    <s v="Enterprise"/>
    <s v="Retail"/>
    <x v="0"/>
    <x v="541"/>
    <n v="16"/>
    <n v="1183.95"/>
    <n v="1503.53"/>
    <s v="medium"/>
    <n v="0.24099999999999999"/>
    <n v="18258.868320000001"/>
    <n v="18943.2"/>
    <n v="-3.7479413729623698E-2"/>
    <s v="I. Johnson"/>
    <n v="-684.33167999999932"/>
    <s v="Q3-2023"/>
    <s v="08 2023"/>
    <d v="2023-08-01T00:00:00"/>
    <d v="2023-06-01T00:00:00"/>
    <x v="1"/>
  </r>
  <r>
    <s v="ORD-2023-619385"/>
    <d v="2023-09-30T00:00:00"/>
    <d v="2023-10-03T00:00:00"/>
    <s v="all good"/>
    <n v="3"/>
    <s v="Asia"/>
    <x v="4"/>
    <s v="Beijing"/>
    <s v="Non-Profit"/>
    <s v="Retail"/>
    <x v="4"/>
    <x v="226"/>
    <n v="6"/>
    <n v="1019.36"/>
    <n v="972.91"/>
    <s v="medium"/>
    <n v="0.14699999999999999"/>
    <n v="4979.3533799999996"/>
    <n v="6116.16"/>
    <n v="-0.228304065456788"/>
    <s v="J. Njeri"/>
    <n v="-1136.8066200000003"/>
    <s v="Q3-2023"/>
    <s v="09 2023"/>
    <d v="2023-09-01T00:00:00"/>
    <d v="2023-01-01T00:00:00"/>
    <x v="5"/>
  </r>
  <r>
    <s v="ORD-2024-817997"/>
    <d v="2024-07-28T00:00:00"/>
    <d v="2024-08-23T00:00:00"/>
    <s v="all good"/>
    <n v="26"/>
    <s v="Asia"/>
    <x v="6"/>
    <s v="Hyderabad"/>
    <s v="Corporate"/>
    <s v="Retail"/>
    <x v="5"/>
    <x v="542"/>
    <n v="14"/>
    <n v="1339.24"/>
    <n v="1558.89"/>
    <s v="medium"/>
    <n v="0.192"/>
    <n v="17634.163680000005"/>
    <n v="18749.36"/>
    <n v="-6.3240669659021503E-2"/>
    <s v="J. Njeri"/>
    <n v="-1115.1963199999955"/>
    <s v="Q3-2024"/>
    <s v="07 2024"/>
    <d v="2024-07-01T00:00:00"/>
    <d v="2023-05-01T00:00:00"/>
    <x v="24"/>
  </r>
  <r>
    <s v="ORD-2023-378104"/>
    <d v="2023-10-18T00:00:00"/>
    <d v="2023-10-20T00:00:00"/>
    <s v="all good"/>
    <n v="2"/>
    <s v="Africa"/>
    <x v="8"/>
    <s v="Kisumu"/>
    <s v="Consumer"/>
    <s v="Retail"/>
    <x v="3"/>
    <x v="543"/>
    <n v="8"/>
    <n v="774.12"/>
    <n v="908.3"/>
    <s v="medium"/>
    <n v="0"/>
    <n v="7266.4"/>
    <n v="6192.96"/>
    <n v="0.147726522074204"/>
    <s v="J. Njeri"/>
    <n v="1073.4399999999996"/>
    <s v="Q4-2023"/>
    <s v="10 2023"/>
    <d v="2023-10-01T00:00:00"/>
    <d v="2023-01-01T00:00:00"/>
    <x v="2"/>
  </r>
  <r>
    <s v="ORD-2023-399631"/>
    <d v="2023-06-22T00:00:00"/>
    <d v="2023-07-21T00:00:00"/>
    <s v="all good"/>
    <n v="29"/>
    <s v="Europe"/>
    <x v="2"/>
    <s v="Lyon"/>
    <s v="Corporate"/>
    <s v="Retail"/>
    <x v="2"/>
    <x v="544"/>
    <n v="6"/>
    <n v="734.34"/>
    <n v="887.9"/>
    <s v="medium"/>
    <n v="2.5000000000000001E-2"/>
    <n v="5194.2149999999992"/>
    <n v="4406.04"/>
    <n v="0.151740927166088"/>
    <s v="J. Njeri"/>
    <n v="788.17499999999927"/>
    <s v="Q2-2023"/>
    <s v="06 2023"/>
    <d v="2023-06-01T00:00:00"/>
    <d v="2023-02-01T00:00:00"/>
    <x v="29"/>
  </r>
  <r>
    <s v="ORD-2025-146850"/>
    <d v="2025-01-21T00:00:00"/>
    <d v="2025-02-14T00:00:00"/>
    <s v="all good"/>
    <n v="24"/>
    <s v="Africa"/>
    <x v="8"/>
    <s v="Nairobi"/>
    <s v="Small Business"/>
    <s v="Retail"/>
    <x v="2"/>
    <x v="545"/>
    <n v="8"/>
    <n v="1030.44"/>
    <n v="2562.84"/>
    <s v="high"/>
    <n v="0.14799999999999999"/>
    <n v="17468.317439999999"/>
    <n v="8243.52"/>
    <n v="0.52808734852026995"/>
    <s v="J. Njeri"/>
    <n v="9224.7974399999985"/>
    <s v="Q1-2025"/>
    <s v="01 2025"/>
    <d v="2025-01-01T00:00:00"/>
    <d v="2023-01-01T00:00:00"/>
    <x v="14"/>
  </r>
  <r>
    <s v="ORD-2024-792558"/>
    <d v="2024-10-16T00:00:00"/>
    <d v="2024-11-08T00:00:00"/>
    <s v="all good"/>
    <n v="23"/>
    <s v="Asia"/>
    <x v="7"/>
    <s v="Osaka"/>
    <s v="Small Business"/>
    <s v="Retail"/>
    <x v="5"/>
    <x v="546"/>
    <n v="29"/>
    <n v="82.14"/>
    <n v="166.04"/>
    <s v="low"/>
    <n v="0"/>
    <n v="4815.16"/>
    <n v="2382.06"/>
    <n v="0.50529992772825805"/>
    <s v="J. Njeri"/>
    <n v="2433.1"/>
    <s v="Q4-2024"/>
    <s v="10 2024"/>
    <d v="2024-10-01T00:00:00"/>
    <d v="2023-04-01T00:00:00"/>
    <x v="22"/>
  </r>
  <r>
    <s v="ORD-2024-134084"/>
    <d v="2024-06-04T00:00:00"/>
    <d v="2024-06-16T00:00:00"/>
    <s v="all good"/>
    <n v="12"/>
    <s v="Asia"/>
    <x v="4"/>
    <s v="Shanghai"/>
    <s v="Corporate"/>
    <s v="Retail"/>
    <x v="0"/>
    <x v="547"/>
    <n v="12"/>
    <n v="918.42"/>
    <n v="1511.71"/>
    <s v="medium"/>
    <n v="0.02"/>
    <n v="17777.709599999998"/>
    <n v="11021.039999999999"/>
    <n v="0.38006412254590999"/>
    <s v="J. Njeri"/>
    <n v="6756.6695999999993"/>
    <s v="Q2-2024"/>
    <s v="06 2024"/>
    <d v="2024-06-01T00:00:00"/>
    <d v="2023-01-01T00:00:00"/>
    <x v="26"/>
  </r>
  <r>
    <s v="ORD-2025-752192"/>
    <d v="2025-05-16T00:00:00"/>
    <d v="2025-05-18T00:00:00"/>
    <s v="all good"/>
    <n v="2"/>
    <s v="Asia"/>
    <x v="7"/>
    <s v="Tokyo"/>
    <s v="Enterprise"/>
    <s v="Retail"/>
    <x v="0"/>
    <x v="548"/>
    <n v="15"/>
    <n v="1144.3800000000001"/>
    <n v="2755.04"/>
    <s v="high"/>
    <n v="0.15"/>
    <n v="35126.759999999995"/>
    <n v="17165.7"/>
    <n v="0.51132128326096704"/>
    <s v="J. Njeri"/>
    <n v="17961.059999999994"/>
    <s v="Q2-2025"/>
    <s v="05 2025"/>
    <d v="2025-05-01T00:00:00"/>
    <d v="2023-04-01T00:00:00"/>
    <x v="31"/>
  </r>
  <r>
    <s v="ORD-2024-902741"/>
    <d v="2024-12-23T00:00:00"/>
    <d v="2025-01-11T00:00:00"/>
    <s v="all good"/>
    <n v="19"/>
    <s v="Europe"/>
    <x v="0"/>
    <s v="Berlin"/>
    <s v="Education"/>
    <s v="Retail"/>
    <x v="3"/>
    <x v="549"/>
    <n v="11"/>
    <n v="501.81"/>
    <n v="921.62"/>
    <s v="medium"/>
    <n v="0.01"/>
    <n v="10036.441800000001"/>
    <n v="5519.91"/>
    <n v="0.45001325071201997"/>
    <s v="K. Singh"/>
    <n v="4516.5318000000007"/>
    <s v="Q4-2024"/>
    <s v="12 2024"/>
    <d v="2024-12-01T00:00:00"/>
    <d v="2023-01-01T00:00:00"/>
    <x v="10"/>
  </r>
  <r>
    <s v="ORD-2025-840976"/>
    <d v="2025-09-01T00:00:00"/>
    <d v="2025-09-30T00:00:00"/>
    <s v="all good"/>
    <n v="29"/>
    <s v="America"/>
    <x v="5"/>
    <s v="Brasília"/>
    <s v="Education"/>
    <s v="Retail"/>
    <x v="2"/>
    <x v="550"/>
    <n v="11"/>
    <n v="780.59"/>
    <n v="631.57000000000005"/>
    <s v="low"/>
    <n v="0"/>
    <n v="6947.27"/>
    <n v="8586.49"/>
    <n v="-0.235951675982076"/>
    <s v="K. Singh"/>
    <n v="-1639.2199999999993"/>
    <s v="Q3-2025"/>
    <s v="09 2025"/>
    <d v="2025-09-01T00:00:00"/>
    <d v="2025-09-01T00:00:00"/>
    <x v="19"/>
  </r>
  <r>
    <s v="ORD-2023-704111"/>
    <d v="2023-05-17T00:00:00"/>
    <d v="2023-06-15T00:00:00"/>
    <s v="all good"/>
    <n v="29"/>
    <s v="Africa"/>
    <x v="10"/>
    <s v="Durban"/>
    <s v="Enterprise"/>
    <s v="Retail"/>
    <x v="2"/>
    <x v="551"/>
    <n v="22"/>
    <n v="40.89"/>
    <n v="62.82"/>
    <s v="low"/>
    <n v="0.129"/>
    <n v="1203.75684"/>
    <n v="899.58"/>
    <n v="0.25268960465470702"/>
    <s v="K. Singh"/>
    <n v="304.17683999999997"/>
    <s v="Q2-2023"/>
    <s v="05 2023"/>
    <d v="2023-05-01T00:00:00"/>
    <d v="2023-02-01T00:00:00"/>
    <x v="11"/>
  </r>
  <r>
    <s v="ORD-2023-480975"/>
    <d v="2023-02-15T00:00:00"/>
    <d v="2023-02-26T00:00:00"/>
    <s v="all good"/>
    <n v="11"/>
    <s v="Africa"/>
    <x v="10"/>
    <s v="Johannesburg"/>
    <s v="Non-Profit"/>
    <s v="Retail"/>
    <x v="4"/>
    <x v="552"/>
    <n v="12"/>
    <n v="498.5"/>
    <n v="755.87"/>
    <s v="low"/>
    <n v="0.13"/>
    <n v="7891.2828"/>
    <n v="5982"/>
    <n v="0.24194834330357501"/>
    <s v="K. Singh"/>
    <n v="1909.2828"/>
    <s v="Q1-2023"/>
    <s v="02 2023"/>
    <d v="2023-02-01T00:00:00"/>
    <d v="2023-02-01T00:00:00"/>
    <x v="19"/>
  </r>
  <r>
    <s v="ORD-2024-442776"/>
    <d v="2024-06-30T00:00:00"/>
    <d v="2024-07-21T00:00:00"/>
    <s v="all good"/>
    <n v="21"/>
    <s v="Africa"/>
    <x v="8"/>
    <s v="Kisumu"/>
    <s v="Small Business"/>
    <s v="Retail"/>
    <x v="4"/>
    <x v="553"/>
    <n v="13"/>
    <n v="753.43"/>
    <n v="1787.2"/>
    <s v="high"/>
    <n v="7.2999999999999995E-2"/>
    <n v="21537.547200000005"/>
    <n v="9794.59"/>
    <n v="0.54523187301476905"/>
    <s v="K. Singh"/>
    <n v="11742.957200000004"/>
    <s v="Q2-2024"/>
    <s v="06 2024"/>
    <d v="2024-06-01T00:00:00"/>
    <d v="2023-01-01T00:00:00"/>
    <x v="26"/>
  </r>
  <r>
    <s v="ORD-2024-206081"/>
    <d v="2024-12-10T00:00:00"/>
    <d v="2025-01-08T00:00:00"/>
    <s v="all good"/>
    <n v="29"/>
    <s v="Europe"/>
    <x v="2"/>
    <s v="Marseille"/>
    <s v="Small Business"/>
    <s v="Retail"/>
    <x v="0"/>
    <x v="554"/>
    <n v="18"/>
    <n v="891.08"/>
    <n v="1040.0999999999999"/>
    <s v="medium"/>
    <n v="0.109"/>
    <n v="16681.123800000001"/>
    <n v="16039.44"/>
    <n v="3.8467660074556903E-2"/>
    <s v="K. Singh"/>
    <n v="641.6838000000007"/>
    <s v="Q4-2024"/>
    <s v="12 2024"/>
    <d v="2024-12-01T00:00:00"/>
    <d v="2023-02-01T00:00:00"/>
    <x v="28"/>
  </r>
  <r>
    <s v="ORD-2024-777623"/>
    <d v="2024-09-19T00:00:00"/>
    <d v="2024-10-14T00:00:00"/>
    <s v="all good"/>
    <n v="25"/>
    <s v="America"/>
    <x v="15"/>
    <s v="Janeiro"/>
    <s v="Small Business"/>
    <s v="Retail"/>
    <x v="0"/>
    <x v="555"/>
    <n v="27"/>
    <n v="386.96"/>
    <n v="937.46"/>
    <s v="medium"/>
    <n v="0.26600000000000001"/>
    <n v="18578.582280000002"/>
    <n v="10447.92"/>
    <n v="0.43763631462626301"/>
    <s v="K. Singh"/>
    <n v="8130.6622800000023"/>
    <s v="Q3-2024"/>
    <s v="09 2024"/>
    <d v="2024-09-01T00:00:00"/>
    <d v="2023-05-01T00:00:00"/>
    <x v="25"/>
  </r>
  <r>
    <s v="ORD-2024-594592"/>
    <d v="2024-04-06T00:00:00"/>
    <d v="2024-04-25T00:00:00"/>
    <s v="all good"/>
    <n v="19"/>
    <s v="Asia"/>
    <x v="4"/>
    <s v="Shanghai"/>
    <s v="Corporate"/>
    <s v="Retail"/>
    <x v="1"/>
    <x v="556"/>
    <n v="9"/>
    <n v="1366.48"/>
    <n v="1678.14"/>
    <s v="high"/>
    <n v="0.154"/>
    <n v="12777.357959999999"/>
    <n v="12298.32"/>
    <n v="3.7491159087790001E-2"/>
    <s v="K. Singh"/>
    <n v="479.03795999999966"/>
    <s v="Q2-2024"/>
    <s v="04 2024"/>
    <d v="2024-04-01T00:00:00"/>
    <d v="2023-01-01T00:00:00"/>
    <x v="30"/>
  </r>
  <r>
    <s v="ORD-2023-126505"/>
    <d v="2023-12-19T00:00:00"/>
    <d v="2024-01-01T00:00:00"/>
    <s v="all good"/>
    <n v="13"/>
    <s v="America"/>
    <x v="3"/>
    <s v="Toronto"/>
    <s v="Enterprise"/>
    <s v="Retail"/>
    <x v="6"/>
    <x v="557"/>
    <n v="9"/>
    <n v="856.1"/>
    <n v="901.48"/>
    <s v="medium"/>
    <n v="5.6000000000000001E-2"/>
    <n v="7658.974079999999"/>
    <n v="7704.9000000000005"/>
    <n v="-5.9963540182135597E-3"/>
    <s v="K. Singh"/>
    <n v="-45.925920000001497"/>
    <s v="Q4-2023"/>
    <s v="12 2023"/>
    <d v="2023-12-01T00:00:00"/>
    <d v="2023-06-01T00:00:00"/>
    <x v="7"/>
  </r>
  <r>
    <s v="ORD-2023-573656"/>
    <d v="2023-05-02T00:00:00"/>
    <d v="2023-05-16T00:00:00"/>
    <s v="all good"/>
    <n v="14"/>
    <s v="Asia"/>
    <x v="6"/>
    <s v="Bengaluru"/>
    <s v="Non-Profit"/>
    <s v="Retail"/>
    <x v="6"/>
    <x v="558"/>
    <n v="25"/>
    <n v="475.37"/>
    <n v="963.73"/>
    <s v="medium"/>
    <n v="4.1000000000000002E-2"/>
    <n v="23105.426749999999"/>
    <n v="11884.25"/>
    <n v="0.48565113604750898"/>
    <s v="L. Okafor"/>
    <n v="11221.176749999999"/>
    <s v="Q2-2023"/>
    <s v="05 2023"/>
    <d v="2023-05-01T00:00:00"/>
    <d v="2023-05-01T00:00:00"/>
    <x v="19"/>
  </r>
  <r>
    <s v="ORD-2024-851993"/>
    <d v="2024-05-01T00:00:00"/>
    <d v="2024-05-16T00:00:00"/>
    <s v="all good"/>
    <n v="15"/>
    <s v="Asia"/>
    <x v="6"/>
    <s v="Bengaluru"/>
    <s v="Small Business"/>
    <s v="Retail"/>
    <x v="1"/>
    <x v="559"/>
    <n v="15"/>
    <n v="901.19"/>
    <n v="2125.44"/>
    <s v="high"/>
    <n v="7.0999999999999994E-2"/>
    <n v="29618.006400000002"/>
    <n v="13517.85"/>
    <n v="0.54359352154100404"/>
    <s v="L. Okafor"/>
    <n v="16100.156400000002"/>
    <s v="Q2-2024"/>
    <s v="05 2024"/>
    <d v="2024-05-01T00:00:00"/>
    <d v="2023-05-01T00:00:00"/>
    <x v="4"/>
  </r>
  <r>
    <s v="ORD-2024-745424"/>
    <d v="2024-08-22T00:00:00"/>
    <d v="2024-09-04T00:00:00"/>
    <s v="all good"/>
    <n v="13"/>
    <s v="Europe"/>
    <x v="0"/>
    <s v="Frankfurt"/>
    <s v="Non-Profit"/>
    <s v="Retail"/>
    <x v="0"/>
    <x v="560"/>
    <n v="19"/>
    <n v="90.04"/>
    <n v="194.62"/>
    <s v="low"/>
    <n v="4.2999999999999997E-2"/>
    <n v="3538.7754599999998"/>
    <n v="1710.7600000000002"/>
    <n v="0.51656723650954695"/>
    <s v="L. Okafor"/>
    <n v="1828.0154599999996"/>
    <s v="Q3-2024"/>
    <s v="08 2024"/>
    <d v="2024-08-01T00:00:00"/>
    <d v="2023-01-01T00:00:00"/>
    <x v="8"/>
  </r>
  <r>
    <s v="ORD-2023-369150"/>
    <d v="2023-07-18T00:00:00"/>
    <d v="2023-08-10T00:00:00"/>
    <s v="all good"/>
    <n v="23"/>
    <s v="Africa"/>
    <x v="10"/>
    <s v="Johannesburg"/>
    <s v="Small Business"/>
    <s v="Retail"/>
    <x v="1"/>
    <x v="561"/>
    <n v="6"/>
    <n v="1271.56"/>
    <n v="995.47"/>
    <s v="medium"/>
    <n v="0.192"/>
    <n v="4826.03856"/>
    <n v="7629.36"/>
    <n v="-0.58087423155607798"/>
    <s v="L. Okafor"/>
    <n v="-2803.3214399999997"/>
    <s v="Q3-2023"/>
    <s v="07 2023"/>
    <d v="2023-07-01T00:00:00"/>
    <d v="2023-05-01T00:00:00"/>
    <x v="1"/>
  </r>
  <r>
    <s v="ORD-2024-687100"/>
    <d v="2024-09-10T00:00:00"/>
    <d v="2024-10-07T00:00:00"/>
    <s v="all good"/>
    <n v="27"/>
    <s v="Africa"/>
    <x v="8"/>
    <s v="Kisumu"/>
    <s v="Consumer"/>
    <s v="Retail"/>
    <x v="0"/>
    <x v="562"/>
    <n v="15"/>
    <n v="1248.3900000000001"/>
    <n v="1805.11"/>
    <s v="high"/>
    <n v="0.20300000000000001"/>
    <n v="21580.090049999995"/>
    <n v="18725.850000000002"/>
    <n v="0.132262657078208"/>
    <s v="L. Okafor"/>
    <n v="2854.2400499999931"/>
    <s v="Q3-2024"/>
    <s v="09 2024"/>
    <d v="2024-09-01T00:00:00"/>
    <d v="2023-01-01T00:00:00"/>
    <x v="27"/>
  </r>
  <r>
    <s v="ORD-2023-548874"/>
    <d v="2023-03-19T00:00:00"/>
    <d v="2023-04-09T00:00:00"/>
    <s v="all good"/>
    <n v="21"/>
    <s v="Europe"/>
    <x v="1"/>
    <s v="Manchester"/>
    <s v="Consumer"/>
    <s v="Retail"/>
    <x v="2"/>
    <x v="563"/>
    <n v="4"/>
    <n v="1082.17"/>
    <n v="1234.0999999999999"/>
    <s v="medium"/>
    <n v="0.189"/>
    <n v="4003.4203999999995"/>
    <n v="4328.68"/>
    <n v="-8.1245427035342294E-2"/>
    <s v="L. Okafor"/>
    <n v="-325.25960000000077"/>
    <s v="Q1-2023"/>
    <s v="03 2023"/>
    <d v="2023-03-01T00:00:00"/>
    <d v="2023-03-01T00:00:00"/>
    <x v="19"/>
  </r>
  <r>
    <s v="ORD-2024-289089"/>
    <d v="2024-12-17T00:00:00"/>
    <d v="2024-12-18T00:00:00"/>
    <s v="all good"/>
    <n v="1"/>
    <s v="Europe"/>
    <x v="0"/>
    <s v="Munich"/>
    <s v="Education"/>
    <s v="Retail"/>
    <x v="2"/>
    <x v="564"/>
    <n v="13"/>
    <n v="346.82"/>
    <n v="701.95"/>
    <s v="low"/>
    <n v="0.14699999999999999"/>
    <n v="7783.9235500000004"/>
    <n v="4508.66"/>
    <n v="0.42077283120284498"/>
    <s v="L. Okafor"/>
    <n v="3275.2635500000006"/>
    <s v="Q4-2024"/>
    <s v="12 2024"/>
    <d v="2024-12-01T00:00:00"/>
    <d v="2023-01-01T00:00:00"/>
    <x v="10"/>
  </r>
  <r>
    <s v="ORD-2025-337268"/>
    <d v="2025-02-16T00:00:00"/>
    <d v="2025-03-17T00:00:00"/>
    <s v="all good"/>
    <n v="29"/>
    <s v="Europe"/>
    <x v="0"/>
    <s v="Munich"/>
    <s v="Consumer"/>
    <s v="Retail"/>
    <x v="2"/>
    <x v="565"/>
    <n v="23"/>
    <n v="730.42"/>
    <n v="956.7"/>
    <s v="medium"/>
    <n v="4.2000000000000003E-2"/>
    <n v="21079.927800000001"/>
    <n v="16799.66"/>
    <n v="0.20304945256975701"/>
    <s v="L. Okafor"/>
    <n v="4280.2678000000014"/>
    <s v="Q1-2025"/>
    <s v="02 2025"/>
    <d v="2025-02-01T00:00:00"/>
    <d v="2023-01-01T00:00:00"/>
    <x v="31"/>
  </r>
  <r>
    <s v="ORD-2023-824839"/>
    <d v="2023-12-06T00:00:00"/>
    <d v="2023-12-31T00:00:00"/>
    <s v="all good"/>
    <n v="25"/>
    <s v="Asia"/>
    <x v="7"/>
    <s v="Osaka"/>
    <s v="Consumer"/>
    <s v="Retail"/>
    <x v="0"/>
    <x v="566"/>
    <n v="17"/>
    <n v="663.03"/>
    <n v="813.51"/>
    <s v="low"/>
    <n v="0.10199999999999999"/>
    <n v="12419.043660000001"/>
    <n v="11271.51"/>
    <n v="9.2401129379715896E-2"/>
    <s v="L. Okafor"/>
    <n v="1147.533660000001"/>
    <s v="Q4-2023"/>
    <s v="12 2023"/>
    <d v="2023-12-01T00:00:00"/>
    <d v="2023-04-01T00:00:00"/>
    <x v="5"/>
  </r>
  <r>
    <s v="ORD-2023-975863"/>
    <d v="2023-11-20T00:00:00"/>
    <d v="2023-12-05T00:00:00"/>
    <s v="all good"/>
    <n v="15"/>
    <s v="Asia"/>
    <x v="7"/>
    <s v="Tokyo"/>
    <s v="Enterprise"/>
    <s v="Retail"/>
    <x v="5"/>
    <x v="567"/>
    <n v="12"/>
    <n v="354.24"/>
    <n v="249.87"/>
    <s v="low"/>
    <n v="0"/>
    <n v="2998.44"/>
    <n v="4250.88"/>
    <n v="-0.417697202545324"/>
    <s v="L. Okafor"/>
    <n v="-1252.44"/>
    <s v="Q4-2023"/>
    <s v="11 2023"/>
    <d v="2023-11-01T00:00:00"/>
    <d v="2023-04-01T00:00:00"/>
    <x v="9"/>
  </r>
  <r>
    <s v="ORD-2024-390951"/>
    <d v="2024-12-20T00:00:00"/>
    <d v="2025-01-14T00:00:00"/>
    <s v="all good"/>
    <n v="25"/>
    <s v="Asia"/>
    <x v="6"/>
    <s v="Delhi"/>
    <s v="Small Business"/>
    <s v="Retail"/>
    <x v="0"/>
    <x v="568"/>
    <n v="12"/>
    <n v="1361.34"/>
    <n v="1737.9"/>
    <s v="high"/>
    <n v="7.6999999999999999E-2"/>
    <n v="19248.980400000004"/>
    <n v="16336.079999999998"/>
    <n v="0.15132751654731799"/>
    <s v="M. Rossi"/>
    <n v="2912.9004000000059"/>
    <s v="Q4-2024"/>
    <s v="12 2024"/>
    <d v="2024-12-01T00:00:00"/>
    <d v="2023-05-01T00:00:00"/>
    <x v="8"/>
  </r>
  <r>
    <s v="ORD-2023-586275"/>
    <d v="2023-01-20T00:00:00"/>
    <d v="2023-02-03T00:00:00"/>
    <s v="all good"/>
    <n v="14"/>
    <s v="Africa"/>
    <x v="8"/>
    <s v="Kisumu"/>
    <s v="Corporate"/>
    <s v="Retail"/>
    <x v="5"/>
    <x v="569"/>
    <n v="5"/>
    <n v="884.36"/>
    <n v="1545.34"/>
    <s v="medium"/>
    <n v="0.24299999999999999"/>
    <n v="5849.1118999999999"/>
    <n v="4421.8"/>
    <n v="0.24402198562828001"/>
    <s v="M. Rossi"/>
    <n v="1427.3118999999997"/>
    <s v="Q1-2023"/>
    <s v="01 2023"/>
    <d v="2023-01-01T00:00:00"/>
    <d v="2023-01-01T00:00:00"/>
    <x v="19"/>
  </r>
  <r>
    <s v="ORD-2024-925626"/>
    <d v="2024-11-04T00:00:00"/>
    <d v="2024-11-05T00:00:00"/>
    <s v="all good"/>
    <n v="1"/>
    <s v="Europe"/>
    <x v="1"/>
    <s v="London"/>
    <s v="Corporate"/>
    <s v="Retail"/>
    <x v="0"/>
    <x v="570"/>
    <n v="19"/>
    <n v="840.68"/>
    <n v="1493.53"/>
    <s v="medium"/>
    <n v="0"/>
    <n v="28377.07"/>
    <n v="15972.919999999998"/>
    <n v="0.43711877230453999"/>
    <s v="M. Rossi"/>
    <n v="12404.150000000001"/>
    <s v="Q4-2024"/>
    <s v="11 2024"/>
    <d v="2024-11-01T00:00:00"/>
    <d v="2023-04-01T00:00:00"/>
    <x v="8"/>
  </r>
  <r>
    <s v="ORD-2023-813340"/>
    <d v="2023-12-26T00:00:00"/>
    <d v="2024-01-03T00:00:00"/>
    <s v="all good"/>
    <n v="8"/>
    <s v="Europe"/>
    <x v="2"/>
    <s v="Lyon"/>
    <s v="Small Business"/>
    <s v="Retail"/>
    <x v="4"/>
    <x v="571"/>
    <n v="32"/>
    <n v="492.75"/>
    <n v="731.29"/>
    <s v="low"/>
    <n v="5.8000000000000003E-2"/>
    <n v="22044.005759999996"/>
    <n v="15768"/>
    <n v="0.28470350753528401"/>
    <s v="M. Rossi"/>
    <n v="6276.0057599999964"/>
    <s v="Q4-2023"/>
    <s v="12 2023"/>
    <d v="2023-12-01T00:00:00"/>
    <d v="2023-02-01T00:00:00"/>
    <x v="16"/>
  </r>
  <r>
    <s v="ORD-2024-805860"/>
    <d v="2024-09-13T00:00:00"/>
    <d v="2024-10-02T00:00:00"/>
    <s v="all good"/>
    <n v="19"/>
    <s v="Africa"/>
    <x v="8"/>
    <s v="Mombasa"/>
    <s v="Small Business"/>
    <s v="Retail"/>
    <x v="3"/>
    <x v="572"/>
    <n v="17"/>
    <n v="1338.99"/>
    <n v="1765.76"/>
    <s v="high"/>
    <n v="0.126"/>
    <n v="26235.662079999998"/>
    <n v="22762.83"/>
    <n v="0.132370666667772"/>
    <s v="M. Rossi"/>
    <n v="3472.8320799999965"/>
    <s v="Q3-2024"/>
    <s v="09 2024"/>
    <d v="2024-09-01T00:00:00"/>
    <d v="2023-04-01T00:00:00"/>
    <x v="26"/>
  </r>
  <r>
    <s v="ORD-2023-472050"/>
    <d v="2023-05-10T00:00:00"/>
    <d v="2023-05-27T00:00:00"/>
    <s v="all good"/>
    <n v="17"/>
    <s v="Asia"/>
    <x v="6"/>
    <s v="Mumbai"/>
    <s v="Consumer"/>
    <s v="Retail"/>
    <x v="4"/>
    <x v="573"/>
    <n v="5"/>
    <n v="1286.1600000000001"/>
    <n v="3101.11"/>
    <s v="high"/>
    <n v="0.1"/>
    <n v="13954.995000000001"/>
    <n v="6430.8"/>
    <n v="0.53917575749758395"/>
    <s v="M. Rossi"/>
    <n v="7524.1950000000006"/>
    <s v="Q2-2023"/>
    <s v="05 2023"/>
    <d v="2023-05-01T00:00:00"/>
    <d v="2023-05-01T00:00:00"/>
    <x v="19"/>
  </r>
  <r>
    <s v="ORD-2023-912395"/>
    <d v="2023-07-26T00:00:00"/>
    <d v="2023-08-25T00:00:00"/>
    <s v="all good"/>
    <n v="30"/>
    <s v="America"/>
    <x v="17"/>
    <s v="York"/>
    <s v="Consumer"/>
    <s v="Retail"/>
    <x v="2"/>
    <x v="574"/>
    <n v="15"/>
    <n v="1261.48"/>
    <n v="1643.18"/>
    <s v="high"/>
    <n v="0.151"/>
    <n v="20925.897300000001"/>
    <n v="18922.2"/>
    <n v="9.5752037357079101E-2"/>
    <s v="M. Rossi"/>
    <n v="2003.6972999999998"/>
    <s v="Q3-2023"/>
    <s v="07 2023"/>
    <d v="2023-07-01T00:00:00"/>
    <d v="2023-07-01T00:00:00"/>
    <x v="19"/>
  </r>
  <r>
    <s v="ORD-2024-687073"/>
    <d v="2024-03-11T00:00:00"/>
    <d v="2024-03-29T00:00:00"/>
    <s v="all good"/>
    <n v="18"/>
    <s v="America"/>
    <x v="17"/>
    <s v="York"/>
    <s v="Corporate"/>
    <s v="Retail"/>
    <x v="6"/>
    <x v="575"/>
    <n v="43"/>
    <n v="710.98"/>
    <n v="1481.45"/>
    <s v="medium"/>
    <n v="0.21099999999999999"/>
    <n v="50261.154150000002"/>
    <n v="30572.14"/>
    <n v="0.391734222641205"/>
    <s v="M. Rossi"/>
    <n v="19689.014150000003"/>
    <s v="Q1-2024"/>
    <s v="03 2024"/>
    <d v="2024-03-01T00:00:00"/>
    <d v="2024-03-01T00:00:00"/>
    <x v="19"/>
  </r>
  <r>
    <s v="ORD-2025-960931"/>
    <d v="2025-08-20T00:00:00"/>
    <d v="2025-08-26T00:00:00"/>
    <s v="all good"/>
    <n v="6"/>
    <s v="America"/>
    <x v="17"/>
    <s v="York"/>
    <s v="Corporate"/>
    <s v="Retail"/>
    <x v="5"/>
    <x v="576"/>
    <n v="7"/>
    <n v="1304.95"/>
    <n v="1712.03"/>
    <s v="high"/>
    <n v="0.21199999999999999"/>
    <n v="9443.5574799999995"/>
    <n v="9134.65"/>
    <n v="3.2710922833287998E-2"/>
    <s v="M. Rossi"/>
    <n v="308.90747999999985"/>
    <s v="Q3-2025"/>
    <s v="08 2025"/>
    <d v="2025-08-01T00:00:00"/>
    <d v="2025-08-01T00:00:00"/>
    <x v="19"/>
  </r>
  <r>
    <s v="ORD-2023-588455"/>
    <d v="2023-05-23T00:00:00"/>
    <d v="2023-05-25T00:00:00"/>
    <s v="all good"/>
    <n v="2"/>
    <s v="America"/>
    <x v="15"/>
    <s v="Janeiro"/>
    <s v="Enterprise"/>
    <s v="Retail"/>
    <x v="0"/>
    <x v="577"/>
    <n v="14"/>
    <n v="690.49"/>
    <n v="1290.29"/>
    <s v="medium"/>
    <n v="4.2000000000000003E-2"/>
    <n v="17305.369479999998"/>
    <n v="9666.86"/>
    <n v="0.44139534199647701"/>
    <s v="M. Rossi"/>
    <n v="7638.509479999997"/>
    <s v="Q2-2023"/>
    <s v="05 2023"/>
    <d v="2023-05-01T00:00:00"/>
    <d v="2023-05-01T00:00:00"/>
    <x v="19"/>
  </r>
  <r>
    <s v="ORD-2023-700699"/>
    <d v="2023-01-12T00:00:00"/>
    <d v="2023-01-26T00:00:00"/>
    <s v="all good"/>
    <n v="14"/>
    <s v="Asia"/>
    <x v="4"/>
    <s v="Shenzhen"/>
    <s v="Non-Profit"/>
    <s v="Retail"/>
    <x v="0"/>
    <x v="578"/>
    <n v="17"/>
    <n v="1083.0899999999999"/>
    <n v="1425.87"/>
    <s v="medium"/>
    <n v="0"/>
    <n v="24239.789999999997"/>
    <n v="18412.53"/>
    <n v="0.24040059752992901"/>
    <s v="M. Rossi"/>
    <n v="5827.2599999999984"/>
    <s v="Q1-2023"/>
    <s v="01 2023"/>
    <d v="2023-01-01T00:00:00"/>
    <d v="2023-01-01T00:00:00"/>
    <x v="19"/>
  </r>
  <r>
    <s v="ORD-2023-501220"/>
    <d v="2023-04-19T00:00:00"/>
    <d v="2023-05-07T00:00:00"/>
    <s v="all good"/>
    <n v="18"/>
    <s v="Europe"/>
    <x v="1"/>
    <s v="Birmingham"/>
    <s v="Enterprise"/>
    <s v="Retail"/>
    <x v="4"/>
    <x v="579"/>
    <n v="3"/>
    <n v="1089.1500000000001"/>
    <n v="1088.2"/>
    <s v="medium"/>
    <n v="5.0999999999999997E-2"/>
    <n v="3098.1054000000004"/>
    <n v="3267.4500000000003"/>
    <n v="-5.46606968245818E-2"/>
    <s v="N. Brown"/>
    <n v="-169.3445999999999"/>
    <s v="Q2-2023"/>
    <s v="04 2023"/>
    <d v="2023-04-01T00:00:00"/>
    <d v="2023-04-01T00:00:00"/>
    <x v="19"/>
  </r>
  <r>
    <s v="ORD-2023-274037"/>
    <d v="2023-08-15T00:00:00"/>
    <d v="2023-08-25T00:00:00"/>
    <s v="all good"/>
    <n v="10"/>
    <s v="Africa"/>
    <x v="8"/>
    <s v="Nairobi"/>
    <s v="Small Business"/>
    <s v="Retail"/>
    <x v="3"/>
    <x v="580"/>
    <n v="27"/>
    <n v="91.85"/>
    <n v="111.29"/>
    <s v="low"/>
    <n v="0"/>
    <n v="3004.8300000000004"/>
    <n v="2479.9499999999998"/>
    <n v="0.17467876718483299"/>
    <s v="N. Brown"/>
    <n v="524.88000000000056"/>
    <s v="Q3-2023"/>
    <s v="08 2023"/>
    <d v="2023-08-01T00:00:00"/>
    <d v="2023-04-01T00:00:00"/>
    <x v="29"/>
  </r>
  <r>
    <s v="ORD-2023-521280"/>
    <d v="2023-05-27T00:00:00"/>
    <d v="2023-06-19T00:00:00"/>
    <s v="all good"/>
    <n v="23"/>
    <s v="Europe"/>
    <x v="0"/>
    <s v="Berlin"/>
    <s v="Education"/>
    <s v="Retail"/>
    <x v="2"/>
    <x v="581"/>
    <n v="21"/>
    <n v="1471.58"/>
    <n v="2576.65"/>
    <s v="high"/>
    <n v="4.0000000000000001E-3"/>
    <n v="53893.2114"/>
    <n v="30903.18"/>
    <n v="0.42658492234515499"/>
    <s v="O. Wang"/>
    <n v="22990.0314"/>
    <s v="Q2-2023"/>
    <s v="05 2023"/>
    <d v="2023-05-01T00:00:00"/>
    <d v="2023-01-01T00:00:00"/>
    <x v="29"/>
  </r>
  <r>
    <s v="ORD-2023-842488"/>
    <d v="2023-10-31T00:00:00"/>
    <d v="2023-11-02T00:00:00"/>
    <s v="all good"/>
    <n v="2"/>
    <s v="Africa"/>
    <x v="8"/>
    <s v="Kisumu"/>
    <s v="Education"/>
    <s v="Retail"/>
    <x v="2"/>
    <x v="582"/>
    <n v="4"/>
    <n v="867.89"/>
    <n v="1349.94"/>
    <s v="medium"/>
    <n v="0.184"/>
    <n v="4406.2041600000002"/>
    <n v="3471.56"/>
    <n v="0.21212003031652499"/>
    <s v="O. Wang"/>
    <n v="934.64416000000028"/>
    <s v="Q4-2023"/>
    <s v="10 2023"/>
    <d v="2023-10-01T00:00:00"/>
    <d v="2023-04-01T00:00:00"/>
    <x v="7"/>
  </r>
  <r>
    <s v="ORD-2024-837651"/>
    <d v="2024-12-10T00:00:00"/>
    <d v="2024-12-19T00:00:00"/>
    <s v="all good"/>
    <n v="9"/>
    <s v="Africa"/>
    <x v="16"/>
    <s v="Lagos"/>
    <s v="Corporate"/>
    <s v="Retail"/>
    <x v="6"/>
    <x v="583"/>
    <n v="21"/>
    <n v="488.68"/>
    <n v="984.36"/>
    <s v="medium"/>
    <n v="5.8999999999999997E-2"/>
    <n v="19451.937960000003"/>
    <n v="10262.280000000001"/>
    <n v="0.47242891576649898"/>
    <s v="O. Wang"/>
    <n v="9189.6579600000023"/>
    <s v="Q4-2024"/>
    <s v="12 2024"/>
    <d v="2024-12-01T00:00:00"/>
    <d v="2023-01-01T00:00:00"/>
    <x v="10"/>
  </r>
  <r>
    <s v="ORD-2023-933238"/>
    <d v="2023-03-17T00:00:00"/>
    <d v="2023-04-06T00:00:00"/>
    <s v="all good"/>
    <n v="20"/>
    <s v="Europe"/>
    <x v="0"/>
    <s v="Munich"/>
    <s v="Consumer"/>
    <s v="Retail"/>
    <x v="3"/>
    <x v="584"/>
    <n v="3"/>
    <n v="692.18"/>
    <n v="1159.3499999999999"/>
    <s v="medium"/>
    <n v="0.112"/>
    <n v="3088.5083999999997"/>
    <n v="2076.54"/>
    <n v="0.32765602968733998"/>
    <s v="O. Wang"/>
    <n v="1011.9683999999997"/>
    <s v="Q1-2023"/>
    <s v="03 2023"/>
    <d v="2023-03-01T00:00:00"/>
    <d v="2023-01-01T00:00:00"/>
    <x v="1"/>
  </r>
  <r>
    <s v="ORD-2023-239789"/>
    <d v="2023-12-03T00:00:00"/>
    <d v="2023-12-26T00:00:00"/>
    <s v="all good"/>
    <n v="23"/>
    <s v="America"/>
    <x v="15"/>
    <s v="Janeiro"/>
    <s v="Education"/>
    <s v="Retail"/>
    <x v="3"/>
    <x v="585"/>
    <n v="16"/>
    <n v="1303.1099999999999"/>
    <n v="1145.67"/>
    <s v="medium"/>
    <n v="0.184"/>
    <n v="14957.867520000002"/>
    <n v="20849.759999999998"/>
    <n v="-0.39389922875851202"/>
    <s v="O. Wang"/>
    <n v="-5891.8924799999968"/>
    <s v="Q4-2023"/>
    <s v="12 2023"/>
    <d v="2023-12-01T00:00:00"/>
    <d v="2023-06-01T00:00:00"/>
    <x v="7"/>
  </r>
  <r>
    <s v="ORD-2024-626925"/>
    <d v="2024-06-07T00:00:00"/>
    <d v="2024-06-09T00:00:00"/>
    <s v="all good"/>
    <n v="2"/>
    <s v="Asia"/>
    <x v="4"/>
    <s v="Shanghai"/>
    <s v="Corporate"/>
    <s v="Retail"/>
    <x v="6"/>
    <x v="586"/>
    <n v="25"/>
    <n v="1370.28"/>
    <n v="2209.66"/>
    <s v="high"/>
    <n v="0.13300000000000001"/>
    <n v="47894.380499999999"/>
    <n v="34257"/>
    <n v="0.284738634420796"/>
    <s v="O. Wang"/>
    <n v="13637.380499999999"/>
    <s v="Q2-2024"/>
    <s v="06 2024"/>
    <d v="2024-06-01T00:00:00"/>
    <d v="2023-08-01T00:00:00"/>
    <x v="16"/>
  </r>
  <r>
    <s v="ORD-2023-455933"/>
    <d v="2023-11-19T00:00:00"/>
    <d v="2023-12-19T00:00:00"/>
    <s v="all good"/>
    <n v="30"/>
    <s v="Asia"/>
    <x v="7"/>
    <s v="Nagoya"/>
    <s v="Consumer"/>
    <s v="Retail"/>
    <x v="3"/>
    <x v="587"/>
    <n v="6"/>
    <n v="807.11"/>
    <n v="1853.86"/>
    <s v="high"/>
    <n v="0.13900000000000001"/>
    <n v="9577.0407599999999"/>
    <n v="4842.66"/>
    <n v="0.494346936453886"/>
    <s v="Unknown"/>
    <n v="4734.38076"/>
    <s v="Q4-2023"/>
    <s v="11 2023"/>
    <d v="2023-11-01T00:00:00"/>
    <d v="2023-04-01T00:00:00"/>
    <x v="9"/>
  </r>
  <r>
    <s v="ORD-2023-842820"/>
    <d v="2023-09-20T00:00:00"/>
    <d v="2023-09-28T00:00:00"/>
    <s v="all good"/>
    <n v="8"/>
    <s v="Asia"/>
    <x v="6"/>
    <s v="Unknown"/>
    <s v="Corporate"/>
    <s v="Unknown"/>
    <x v="2"/>
    <x v="588"/>
    <n v="15"/>
    <n v="1362.06"/>
    <n v="3398.37"/>
    <s v="high"/>
    <n v="0.157"/>
    <n v="42972.388649999994"/>
    <n v="20430.899999999998"/>
    <n v="0.52455749745714897"/>
    <s v="B. Chen"/>
    <n v="22541.488649999996"/>
    <s v="Q3-2023"/>
    <s v="09 2023"/>
    <d v="2023-09-01T00:00:00"/>
    <d v="2023-07-01T00:00:00"/>
    <x v="1"/>
  </r>
  <r>
    <s v="ORD-2024-741404"/>
    <d v="2024-10-19T00:00:00"/>
    <d v="2024-11-06T00:00:00"/>
    <s v="all good"/>
    <n v="18"/>
    <s v="America"/>
    <x v="13"/>
    <s v="Chicago"/>
    <s v="Education"/>
    <s v="Unknown"/>
    <x v="6"/>
    <x v="589"/>
    <n v="15"/>
    <n v="942.02"/>
    <n v="1028.46"/>
    <s v="medium"/>
    <n v="0"/>
    <n v="15426.900000000001"/>
    <n v="14130.3"/>
    <n v="8.4047994088248604E-2"/>
    <s v="C. Otieno"/>
    <n v="1296.6000000000022"/>
    <s v="Q4-2024"/>
    <s v="10 2024"/>
    <d v="2024-10-01T00:00:00"/>
    <d v="2024-01-01T00:00:00"/>
    <x v="2"/>
  </r>
  <r>
    <s v="ORD-2024-629525"/>
    <d v="2024-04-18T00:00:00"/>
    <d v="2024-05-08T00:00:00"/>
    <s v="all good"/>
    <n v="20"/>
    <s v="Europe"/>
    <x v="1"/>
    <s v="London"/>
    <s v="Non-Profit"/>
    <s v="Unknown"/>
    <x v="4"/>
    <x v="590"/>
    <n v="26"/>
    <n v="645.33000000000004"/>
    <n v="1321.85"/>
    <s v="medium"/>
    <n v="0"/>
    <n v="34368.1"/>
    <n v="16778.580000000002"/>
    <n v="0.51179785906116404"/>
    <s v="D. Smith"/>
    <n v="17589.519999999997"/>
    <s v="Q2-2024"/>
    <s v="04 2024"/>
    <d v="2024-04-01T00:00:00"/>
    <d v="2024-04-01T00:00:00"/>
    <x v="19"/>
  </r>
  <r>
    <s v="ORD-2025-542939"/>
    <d v="2025-01-13T00:00:00"/>
    <d v="2025-02-08T00:00:00"/>
    <s v="all good"/>
    <n v="26"/>
    <s v="Europe"/>
    <x v="2"/>
    <s v="Paris"/>
    <s v="Non-Profit"/>
    <s v="Unknown"/>
    <x v="6"/>
    <x v="591"/>
    <n v="5"/>
    <n v="594.74"/>
    <n v="1020.69"/>
    <s v="medium"/>
    <n v="0.21099999999999999"/>
    <n v="4026.6220500000009"/>
    <n v="2973.7"/>
    <n v="0.26149016146176401"/>
    <s v="E. Garcia"/>
    <n v="1052.922050000001"/>
    <s v="Q1-2025"/>
    <s v="01 2025"/>
    <d v="2025-01-01T00:00:00"/>
    <d v="2023-02-01T00:00:00"/>
    <x v="10"/>
  </r>
  <r>
    <s v="ORD-2025-306251"/>
    <d v="2025-04-10T00:00:00"/>
    <d v="2025-04-19T00:00:00"/>
    <s v="all good"/>
    <n v="9"/>
    <s v="Africa"/>
    <x v="10"/>
    <s v="Durban"/>
    <s v="Enterprise"/>
    <s v="Unknown"/>
    <x v="5"/>
    <x v="592"/>
    <n v="13"/>
    <n v="113.74"/>
    <n v="165.7"/>
    <s v="low"/>
    <n v="0.124"/>
    <n v="1886.9915999999998"/>
    <n v="1478.62"/>
    <n v="0.216414105923948"/>
    <s v="G. Dubois"/>
    <n v="408.37159999999994"/>
    <s v="Q2-2025"/>
    <s v="04 2025"/>
    <d v="2025-04-01T00:00:00"/>
    <d v="2023-05-01T00:00:00"/>
    <x v="10"/>
  </r>
  <r>
    <s v="ORD-2025-262434"/>
    <d v="2025-06-19T00:00:00"/>
    <d v="2025-06-21T00:00:00"/>
    <s v="all good"/>
    <n v="2"/>
    <s v="Africa"/>
    <x v="10"/>
    <s v="Johannesburg"/>
    <s v="Small Business"/>
    <s v="Unknown"/>
    <x v="3"/>
    <x v="593"/>
    <n v="9"/>
    <n v="1466.27"/>
    <n v="3589.89"/>
    <s v="high"/>
    <n v="9.7000000000000003E-2"/>
    <n v="29175.036029999999"/>
    <n v="13196.43"/>
    <n v="0.54768076425234202"/>
    <s v="H. Kim"/>
    <n v="15978.606029999999"/>
    <s v="Q2-2025"/>
    <s v="06 2025"/>
    <d v="2025-06-01T00:00:00"/>
    <d v="2023-05-01T00:00:00"/>
    <x v="31"/>
  </r>
  <r>
    <s v="ORD-2023-166668"/>
    <d v="2023-10-05T00:00:00"/>
    <d v="2023-10-31T00:00:00"/>
    <s v="all good"/>
    <n v="26"/>
    <s v="Asia"/>
    <x v="4"/>
    <s v="Shanghai"/>
    <s v="Consumer"/>
    <s v="Unknown"/>
    <x v="0"/>
    <x v="594"/>
    <n v="5"/>
    <n v="649.91"/>
    <n v="1360.12"/>
    <s v="medium"/>
    <n v="0.19400000000000001"/>
    <n v="5481.2835999999998"/>
    <n v="3249.5499999999997"/>
    <n v="0.40715528749506802"/>
    <s v="J. Njeri"/>
    <n v="2231.7336"/>
    <s v="Q4-2023"/>
    <s v="10 2023"/>
    <d v="2023-10-01T00:00:00"/>
    <d v="2023-08-01T00:00:00"/>
    <x v="1"/>
  </r>
  <r>
    <s v="ORD-2025-863978"/>
    <d v="2025-08-07T00:00:00"/>
    <d v="2025-08-19T00:00:00"/>
    <s v="all good"/>
    <n v="12"/>
    <s v="Africa"/>
    <x v="8"/>
    <s v="Nakuru"/>
    <s v="Corporate"/>
    <s v="Unknown"/>
    <x v="1"/>
    <x v="595"/>
    <n v="5"/>
    <n v="601.51"/>
    <n v="679.35"/>
    <s v="low"/>
    <n v="0.188"/>
    <n v="2758.1610000000001"/>
    <n v="3007.55"/>
    <n v="-9.0418579626062506E-2"/>
    <s v="M. Rossi"/>
    <n v="-249.38900000000012"/>
    <s v="Q3-2025"/>
    <s v="08 2025"/>
    <d v="2025-08-01T00:00:00"/>
    <d v="2023-04-01T00:00:00"/>
    <x v="0"/>
  </r>
  <r>
    <s v="ORD-2024-594527"/>
    <d v="2024-09-04T00:00:00"/>
    <d v="2024-09-06T00:00:00"/>
    <s v="all good"/>
    <n v="2"/>
    <s v="Asia"/>
    <x v="7"/>
    <s v="Osaka"/>
    <s v="Corporate"/>
    <s v="Direct"/>
    <x v="4"/>
    <x v="596"/>
    <n v="4"/>
    <n v="1368.17"/>
    <n v="2307.75"/>
    <s v="high"/>
    <n v="0.16300000000000001"/>
    <n v="7726.3469999999998"/>
    <n v="5472.68"/>
    <n v="0.29168596750831899"/>
    <s v="A. Patel"/>
    <n v="2253.6669999999995"/>
    <s v="Q3-2024"/>
    <s v="09 2024"/>
    <d v="2024-09-01T00:00:00"/>
    <d v="2023-04-01T00:00:00"/>
    <x v="26"/>
  </r>
  <r>
    <s v="ORD-2023-937291"/>
    <d v="2023-04-22T00:00:00"/>
    <d v="2023-04-23T00:00:00"/>
    <s v="all good"/>
    <n v="1"/>
    <s v="Africa"/>
    <x v="8"/>
    <s v="Nairobi"/>
    <s v="Small Business"/>
    <s v="Direct"/>
    <x v="4"/>
    <x v="597"/>
    <n v="25"/>
    <n v="756.51"/>
    <n v="850.8"/>
    <s v="medium"/>
    <n v="7.3999999999999996E-2"/>
    <n v="19696.02"/>
    <n v="18912.75"/>
    <n v="3.9767932810791197E-2"/>
    <s v="E. Garcia"/>
    <n v="783.27000000000044"/>
    <s v="Q2-2023"/>
    <s v="04 2023"/>
    <d v="2023-04-01T00:00:00"/>
    <d v="2023-04-01T00:00:00"/>
    <x v="19"/>
  </r>
  <r>
    <s v="ORD-2023-613317"/>
    <d v="2023-01-21T00:00:00"/>
    <d v="2023-01-22T00:00:00"/>
    <s v="all good"/>
    <n v="1"/>
    <s v="Europe"/>
    <x v="0"/>
    <s v="Munich"/>
    <s v="Corporate"/>
    <s v="Direct"/>
    <x v="6"/>
    <x v="598"/>
    <n v="19"/>
    <n v="150.86000000000001"/>
    <n v="346.96"/>
    <s v="low"/>
    <n v="0.19600000000000001"/>
    <n v="5300.1609600000002"/>
    <n v="2866.34"/>
    <n v="0.45919755614365299"/>
    <s v="F. Müller"/>
    <n v="2433.82096"/>
    <s v="Q1-2023"/>
    <s v="01 2023"/>
    <d v="2023-01-01T00:00:00"/>
    <d v="2023-01-01T00:00:00"/>
    <x v="19"/>
  </r>
  <r>
    <s v="ORD-2024-516704"/>
    <d v="2024-02-29T00:00:00"/>
    <d v="2024-03-01T00:00:00"/>
    <s v="all good"/>
    <n v="1"/>
    <s v="America"/>
    <x v="9"/>
    <s v="Paulo"/>
    <s v="Non-Profit"/>
    <s v="Direct"/>
    <x v="3"/>
    <x v="599"/>
    <n v="7"/>
    <n v="5.34"/>
    <n v="12.69"/>
    <s v="low"/>
    <n v="0.13200000000000001"/>
    <n v="77.104439999999997"/>
    <n v="37.379999999999995"/>
    <n v="0.51520301554618697"/>
    <s v="I. Johnson"/>
    <n v="39.724440000000001"/>
    <s v="Q1-2024"/>
    <s v="02 2024"/>
    <d v="2024-02-01T00:00:00"/>
    <d v="2024-02-01T00:00:00"/>
    <x v="19"/>
  </r>
  <r>
    <s v="ORD-2024-798002"/>
    <d v="2024-07-24T00:00:00"/>
    <d v="2024-07-25T00:00:00"/>
    <s v="all good"/>
    <n v="1"/>
    <s v="Africa"/>
    <x v="8"/>
    <s v="Mombasa"/>
    <s v="Non-Profit"/>
    <s v="Direct"/>
    <x v="4"/>
    <x v="600"/>
    <n v="2"/>
    <n v="1494.4"/>
    <n v="3661.07"/>
    <s v="high"/>
    <n v="7.1999999999999995E-2"/>
    <n v="6794.945920000001"/>
    <n v="2988.8"/>
    <n v="0.56014366630897305"/>
    <s v="J. Njeri"/>
    <n v="3806.1459200000008"/>
    <s v="Q3-2024"/>
    <s v="07 2024"/>
    <d v="2024-07-01T00:00:00"/>
    <d v="2024-07-01T00:00:00"/>
    <x v="19"/>
  </r>
  <r>
    <s v="ORD-2023-885216"/>
    <d v="2023-08-02T00:00:00"/>
    <d v="2023-08-03T00:00:00"/>
    <s v="all good"/>
    <n v="1"/>
    <s v="Asia"/>
    <x v="4"/>
    <s v="Shanghai"/>
    <s v="Non-Profit"/>
    <s v="Direct"/>
    <x v="5"/>
    <x v="601"/>
    <n v="17"/>
    <n v="1021.97"/>
    <n v="2296.25"/>
    <s v="high"/>
    <n v="0.161"/>
    <n v="32751.41375"/>
    <n v="17373.490000000002"/>
    <n v="0.46953465482081702"/>
    <s v="J. Njeri"/>
    <n v="15377.923749999998"/>
    <s v="Q3-2023"/>
    <s v="08 2023"/>
    <d v="2023-08-01T00:00:00"/>
    <d v="2023-08-01T00:00:00"/>
    <x v="19"/>
  </r>
  <r>
    <s v="ORD-2024-451005"/>
    <d v="2024-06-28T00:00:00"/>
    <d v="2024-06-30T00:00:00"/>
    <s v="all good"/>
    <n v="2"/>
    <s v="America"/>
    <x v="15"/>
    <s v="Janeiro"/>
    <s v="Small Business"/>
    <s v="Direct"/>
    <x v="2"/>
    <x v="602"/>
    <n v="7"/>
    <n v="1112.98"/>
    <n v="2095.73"/>
    <s v="high"/>
    <n v="7.1999999999999995E-2"/>
    <n v="13613.862080000001"/>
    <n v="7790.8600000000006"/>
    <n v="0.42772594916724799"/>
    <s v="L. Okafor"/>
    <n v="5823.0020800000002"/>
    <s v="Q2-2024"/>
    <s v="06 2024"/>
    <d v="2024-06-01T00:00:00"/>
    <d v="2023-06-01T00:00:00"/>
    <x v="4"/>
  </r>
  <r>
    <s v="ORD-2023-752962"/>
    <d v="2023-04-19T00:00:00"/>
    <d v="2023-04-21T00:00:00"/>
    <s v="all good"/>
    <n v="2"/>
    <s v="Asia"/>
    <x v="7"/>
    <s v="Nagoya"/>
    <s v="Small Business"/>
    <s v="Direct"/>
    <x v="1"/>
    <x v="603"/>
    <n v="13"/>
    <n v="607.04"/>
    <n v="1229.3399999999999"/>
    <s v="medium"/>
    <n v="0.14699999999999999"/>
    <n v="13632.151259999999"/>
    <n v="7891.5199999999995"/>
    <n v="0.42110970972310102"/>
    <s v="M. Rossi"/>
    <n v="5740.6312599999992"/>
    <s v="Q2-2023"/>
    <s v="04 2023"/>
    <d v="2023-04-01T00:00:00"/>
    <d v="2023-04-01T00:00:00"/>
    <x v="19"/>
  </r>
  <r>
    <s v="ORD-2024-585443"/>
    <d v="2024-08-15T00:00:00"/>
    <d v="2024-08-17T00:00:00"/>
    <s v="all good"/>
    <n v="2"/>
    <s v="America"/>
    <x v="15"/>
    <s v="Janeiro"/>
    <s v="Consumer"/>
    <s v="Direct"/>
    <x v="6"/>
    <x v="604"/>
    <n v="11"/>
    <n v="165.3"/>
    <n v="275.07"/>
    <s v="low"/>
    <n v="0.13300000000000001"/>
    <n v="2623.3425899999997"/>
    <n v="1818.3000000000002"/>
    <n v="0.30687665159280603"/>
    <s v="M. Rossi"/>
    <n v="805.04258999999956"/>
    <s v="Q3-2024"/>
    <s v="08 2024"/>
    <d v="2024-08-01T00:00:00"/>
    <d v="2023-06-01T00:00:00"/>
    <x v="24"/>
  </r>
  <r>
    <s v="ORD-2024-838925"/>
    <d v="2024-01-27T00:00:00"/>
    <d v="2024-01-28T00:00:00"/>
    <s v="all good"/>
    <n v="1"/>
    <s v="Africa"/>
    <x v="14"/>
    <s v="Town"/>
    <s v="Enterprise"/>
    <s v="Direct"/>
    <x v="1"/>
    <x v="605"/>
    <n v="9"/>
    <n v="109.75"/>
    <n v="124.25"/>
    <s v="low"/>
    <n v="0.12"/>
    <n v="984.06000000000006"/>
    <n v="987.75"/>
    <n v="-3.7497713554051001E-3"/>
    <s v="O. Wang"/>
    <n v="-3.6899999999999409"/>
    <s v="Q1-2024"/>
    <s v="01 2024"/>
    <d v="2024-01-01T00:00:00"/>
    <d v="2024-01-01T00:00:00"/>
    <x v="19"/>
  </r>
  <r>
    <s v="ORD-2023-382272"/>
    <d v="2023-05-18T00:00:00"/>
    <d v="2023-05-20T00:00:00"/>
    <s v="all good"/>
    <n v="2"/>
    <s v="Africa"/>
    <x v="10"/>
    <s v="Durban"/>
    <s v="Corporate"/>
    <s v="Distributor"/>
    <x v="1"/>
    <x v="606"/>
    <n v="14"/>
    <n v="917.88"/>
    <n v="1347.92"/>
    <s v="medium"/>
    <n v="0.34300000000000003"/>
    <n v="12398.168160000001"/>
    <n v="12850.32"/>
    <n v="-3.64692456308802E-2"/>
    <s v="A. Patel"/>
    <n v="-452.15183999999863"/>
    <s v="Q2-2023"/>
    <s v="05 2023"/>
    <d v="2023-05-01T00:00:00"/>
    <d v="2023-05-01T00:00:00"/>
    <x v="19"/>
  </r>
  <r>
    <s v="ORD-2025-488349"/>
    <d v="2025-04-22T00:00:00"/>
    <d v="2025-04-23T00:00:00"/>
    <s v="all good"/>
    <n v="1"/>
    <s v="America"/>
    <x v="12"/>
    <s v="Francisco"/>
    <s v="Non-Profit"/>
    <s v="Distributor"/>
    <x v="6"/>
    <x v="607"/>
    <n v="19"/>
    <n v="23.24"/>
    <n v="44.57"/>
    <s v="low"/>
    <n v="0.215"/>
    <n v="664.76155000000006"/>
    <n v="441.55999999999995"/>
    <n v="0.335761823168022"/>
    <s v="D. Smith"/>
    <n v="223.20155000000011"/>
    <s v="Q2-2025"/>
    <s v="04 2025"/>
    <d v="2025-04-01T00:00:00"/>
    <d v="2023-02-01T00:00:00"/>
    <x v="18"/>
  </r>
  <r>
    <s v="ORD-2023-109927"/>
    <d v="2023-07-21T00:00:00"/>
    <d v="2023-07-22T00:00:00"/>
    <s v="all good"/>
    <n v="1"/>
    <s v="Asia"/>
    <x v="6"/>
    <s v="Delhi"/>
    <s v="Small Business"/>
    <s v="Distributor"/>
    <x v="0"/>
    <x v="608"/>
    <n v="8"/>
    <n v="946.99"/>
    <n v="2132.19"/>
    <s v="high"/>
    <n v="0.16500000000000001"/>
    <n v="14243.029199999999"/>
    <n v="7575.92"/>
    <n v="0.468096295133622"/>
    <s v="E. Garcia"/>
    <n v="6667.109199999999"/>
    <s v="Q3-2023"/>
    <s v="07 2023"/>
    <d v="2023-07-01T00:00:00"/>
    <d v="2023-07-01T00:00:00"/>
    <x v="19"/>
  </r>
  <r>
    <s v="ORD-2025-874124"/>
    <d v="2025-05-12T00:00:00"/>
    <d v="2025-05-14T00:00:00"/>
    <s v="all good"/>
    <n v="2"/>
    <s v="America"/>
    <x v="3"/>
    <s v="Vancouver"/>
    <s v="Non-Profit"/>
    <s v="Distributor"/>
    <x v="0"/>
    <x v="609"/>
    <n v="14"/>
    <n v="883.5"/>
    <n v="1978.91"/>
    <s v="high"/>
    <n v="5.3999999999999999E-2"/>
    <n v="26208.68404"/>
    <n v="12369"/>
    <n v="0.52805718970390603"/>
    <s v="F. Müller"/>
    <n v="13839.68404"/>
    <s v="Q2-2025"/>
    <s v="05 2025"/>
    <d v="2025-05-01T00:00:00"/>
    <d v="2023-06-01T00:00:00"/>
    <x v="10"/>
  </r>
  <r>
    <s v="ORD-2025-779530"/>
    <d v="2025-05-17T00:00:00"/>
    <d v="2025-05-19T00:00:00"/>
    <s v="all good"/>
    <n v="2"/>
    <s v="America"/>
    <x v="9"/>
    <s v="Paulo"/>
    <s v="Small Business"/>
    <s v="Distributor"/>
    <x v="6"/>
    <x v="610"/>
    <n v="9"/>
    <n v="383.77"/>
    <n v="952.56"/>
    <s v="medium"/>
    <n v="0.34599999999999997"/>
    <n v="5606.7681599999996"/>
    <n v="3453.93"/>
    <n v="0.383971317979376"/>
    <s v="L. Okafor"/>
    <n v="2152.8381599999998"/>
    <s v="Q2-2025"/>
    <s v="05 2025"/>
    <d v="2025-05-01T00:00:00"/>
    <d v="2025-05-01T00:00:00"/>
    <x v="19"/>
  </r>
  <r>
    <s v="ORD-2024-567435"/>
    <d v="2024-04-24T00:00:00"/>
    <d v="2024-04-26T00:00:00"/>
    <s v="all good"/>
    <n v="2"/>
    <s v="Europe"/>
    <x v="1"/>
    <s v="London"/>
    <s v="Non-Profit"/>
    <s v="Distributor"/>
    <x v="3"/>
    <x v="611"/>
    <n v="26"/>
    <n v="1232.77"/>
    <n v="891.73"/>
    <s v="medium"/>
    <n v="0.16700000000000001"/>
    <n v="19313.088339999998"/>
    <n v="32052.02"/>
    <n v="-0.65960096260813805"/>
    <s v="N. Brown"/>
    <n v="-12738.931660000002"/>
    <s v="Q2-2024"/>
    <s v="04 2024"/>
    <d v="2024-04-01T00:00:00"/>
    <d v="2024-04-01T00:00:00"/>
    <x v="19"/>
  </r>
  <r>
    <s v="ORD-2025-700847"/>
    <d v="2025-05-19T00:00:00"/>
    <d v="2025-05-21T00:00:00"/>
    <s v="all good"/>
    <n v="2"/>
    <s v="Africa"/>
    <x v="10"/>
    <s v="Johannesburg"/>
    <s v="Non-Profit"/>
    <s v="Distributor"/>
    <x v="4"/>
    <x v="612"/>
    <n v="8"/>
    <n v="1263.8399999999999"/>
    <n v="2281.7199999999998"/>
    <s v="high"/>
    <n v="7.8E-2"/>
    <n v="16829.96672"/>
    <n v="10110.719999999999"/>
    <n v="0.399243018823985"/>
    <s v="O. Wang"/>
    <n v="6719.246720000001"/>
    <s v="Q2-2025"/>
    <s v="05 2025"/>
    <d v="2025-05-01T00:00:00"/>
    <d v="2023-11-01T00:00:00"/>
    <x v="22"/>
  </r>
  <r>
    <s v="ORD-2023-632893"/>
    <d v="2023-05-05T00:00:00"/>
    <d v="2023-05-07T00:00:00"/>
    <s v="all good"/>
    <n v="2"/>
    <s v="Africa"/>
    <x v="11"/>
    <s v="Harcourt"/>
    <s v="Non-Profit"/>
    <s v="Marketplace"/>
    <x v="1"/>
    <x v="613"/>
    <n v="6"/>
    <n v="1269.6500000000001"/>
    <n v="2462.77"/>
    <s v="high"/>
    <n v="0.107"/>
    <n v="13195.521659999999"/>
    <n v="7617.9000000000005"/>
    <n v="0.42269050089225502"/>
    <s v="A. Patel"/>
    <n v="5577.621659999998"/>
    <s v="Q2-2023"/>
    <s v="05 2023"/>
    <d v="2023-05-01T00:00:00"/>
    <d v="2023-05-01T00:00:00"/>
    <x v="19"/>
  </r>
  <r>
    <s v="ORD-2024-719055"/>
    <d v="2024-01-01T00:00:00"/>
    <d v="2024-01-02T00:00:00"/>
    <s v="all good"/>
    <n v="1"/>
    <s v="America"/>
    <x v="13"/>
    <s v="Chicago"/>
    <s v="Education"/>
    <s v="Marketplace"/>
    <x v="5"/>
    <x v="614"/>
    <n v="12"/>
    <n v="404.77"/>
    <n v="433.88"/>
    <s v="low"/>
    <n v="0.215"/>
    <n v="4087.1495999999997"/>
    <n v="4857.24"/>
    <n v="-0.18841747314558799"/>
    <s v="B. Chen"/>
    <n v="-770.09040000000005"/>
    <s v="Q1-2024"/>
    <s v="01 2024"/>
    <d v="2024-01-01T00:00:00"/>
    <d v="2024-01-01T00:00:00"/>
    <x v="19"/>
  </r>
  <r>
    <s v="ORD-2023-825495"/>
    <d v="2023-11-29T00:00:00"/>
    <d v="2023-11-30T00:00:00"/>
    <s v="all good"/>
    <n v="1"/>
    <s v="Africa"/>
    <x v="10"/>
    <s v="Durban"/>
    <s v="Small Business"/>
    <s v="Marketplace"/>
    <x v="4"/>
    <x v="615"/>
    <n v="28"/>
    <n v="275.56"/>
    <n v="630.72"/>
    <s v="low"/>
    <n v="0.107"/>
    <n v="15770.52288"/>
    <n v="7715.68"/>
    <n v="0.51075306388319297"/>
    <s v="E. Garcia"/>
    <n v="8054.8428800000002"/>
    <s v="Q4-2023"/>
    <s v="11 2023"/>
    <d v="2023-11-01T00:00:00"/>
    <d v="2023-11-01T00:00:00"/>
    <x v="19"/>
  </r>
  <r>
    <s v="ORD-2024-892908"/>
    <d v="2024-07-12T00:00:00"/>
    <d v="2024-07-13T00:00:00"/>
    <s v="all good"/>
    <n v="1"/>
    <s v="Asia"/>
    <x v="7"/>
    <s v="Nagoya"/>
    <s v="Small Business"/>
    <s v="Marketplace"/>
    <x v="5"/>
    <x v="616"/>
    <n v="26"/>
    <n v="105.13"/>
    <n v="244.13"/>
    <s v="low"/>
    <n v="7.0999999999999994E-2"/>
    <n v="5896.7160200000008"/>
    <n v="2733.38"/>
    <n v="0.53645724319618804"/>
    <s v="F. Müller"/>
    <n v="3163.3360200000006"/>
    <s v="Q3-2024"/>
    <s v="07 2024"/>
    <d v="2024-07-01T00:00:00"/>
    <d v="2023-12-01T00:00:00"/>
    <x v="9"/>
  </r>
  <r>
    <s v="ORD-2023-766015"/>
    <d v="2023-04-11T00:00:00"/>
    <d v="2023-04-13T00:00:00"/>
    <s v="all good"/>
    <n v="2"/>
    <s v="America"/>
    <x v="12"/>
    <s v="Francisco"/>
    <s v="Education"/>
    <s v="Marketplace"/>
    <x v="5"/>
    <x v="617"/>
    <n v="43"/>
    <n v="32.1"/>
    <n v="70.599999999999994"/>
    <s v="low"/>
    <n v="0.28199999999999997"/>
    <n v="2179.7043999999996"/>
    <n v="1380.3"/>
    <n v="0.36674899587301801"/>
    <s v="G. Dubois"/>
    <n v="799.40439999999967"/>
    <s v="Q2-2023"/>
    <s v="04 2023"/>
    <d v="2023-04-01T00:00:00"/>
    <d v="2023-02-01T00:00:00"/>
    <x v="1"/>
  </r>
  <r>
    <s v="ORD-2023-596758"/>
    <d v="2023-12-05T00:00:00"/>
    <d v="2023-12-07T00:00:00"/>
    <s v="all good"/>
    <n v="2"/>
    <s v="Asia"/>
    <x v="7"/>
    <s v="Tokyo"/>
    <s v="Non-Profit"/>
    <s v="Marketplace"/>
    <x v="0"/>
    <x v="618"/>
    <n v="3"/>
    <n v="1097.5899999999999"/>
    <n v="845.55"/>
    <s v="medium"/>
    <n v="0.184"/>
    <n v="2069.9063999999998"/>
    <n v="3292.7699999999995"/>
    <n v="-0.59078207594314402"/>
    <s v="H. Kim"/>
    <n v="-1222.8635999999997"/>
    <s v="Q4-2023"/>
    <s v="12 2023"/>
    <d v="2023-12-01T00:00:00"/>
    <d v="2023-12-01T00:00:00"/>
    <x v="19"/>
  </r>
  <r>
    <s v="ORD-2024-638884"/>
    <d v="2024-05-26T00:00:00"/>
    <d v="2024-05-28T00:00:00"/>
    <s v="all good"/>
    <n v="2"/>
    <s v="Africa"/>
    <x v="16"/>
    <s v="Abuja"/>
    <s v="Enterprise"/>
    <s v="Online"/>
    <x v="2"/>
    <x v="619"/>
    <n v="7"/>
    <n v="1227.08"/>
    <n v="1896.62"/>
    <s v="high"/>
    <n v="0"/>
    <n v="13276.34"/>
    <n v="8589.56"/>
    <n v="0.353017473189147"/>
    <s v="F. Müller"/>
    <n v="4686.7800000000007"/>
    <s v="Q2-2024"/>
    <s v="05 2024"/>
    <d v="2024-05-01T00:00:00"/>
    <d v="2023-01-01T00:00:00"/>
    <x v="25"/>
  </r>
  <r>
    <s v="ORD-2024-358795"/>
    <d v="2024-10-22T00:00:00"/>
    <d v="2024-10-23T00:00:00"/>
    <s v="all good"/>
    <n v="1"/>
    <s v="Africa"/>
    <x v="11"/>
    <s v="Harcourt"/>
    <s v="Education"/>
    <s v="Online"/>
    <x v="0"/>
    <x v="620"/>
    <n v="24"/>
    <n v="1084.3900000000001"/>
    <n v="759.33"/>
    <s v="low"/>
    <n v="0.23699999999999999"/>
    <n v="13904.850960000002"/>
    <n v="26025.360000000001"/>
    <n v="-0.87167486187856302"/>
    <s v="J. Njeri"/>
    <n v="-12120.509039999999"/>
    <s v="Q4-2024"/>
    <s v="10 2024"/>
    <d v="2024-10-01T00:00:00"/>
    <d v="2024-10-01T00:00:00"/>
    <x v="19"/>
  </r>
  <r>
    <s v="ORD-2023-619493"/>
    <d v="2023-02-26T00:00:00"/>
    <d v="2023-02-27T00:00:00"/>
    <s v="all good"/>
    <n v="1"/>
    <s v="America"/>
    <x v="12"/>
    <s v="Francisco"/>
    <s v="Non-Profit"/>
    <s v="Online"/>
    <x v="5"/>
    <x v="621"/>
    <n v="14"/>
    <n v="1015.91"/>
    <n v="2331.48"/>
    <s v="high"/>
    <n v="0.14599999999999999"/>
    <n v="27875.174879999999"/>
    <n v="14222.74"/>
    <n v="0.48977037592669598"/>
    <s v="L. Okafor"/>
    <n v="13652.434879999999"/>
    <s v="Q1-2023"/>
    <s v="02 2023"/>
    <d v="2023-02-01T00:00:00"/>
    <d v="2023-02-01T00:00:00"/>
    <x v="19"/>
  </r>
  <r>
    <s v="ORD-2025-745263"/>
    <d v="2025-05-19T00:00:00"/>
    <d v="2025-05-21T00:00:00"/>
    <s v="all good"/>
    <n v="2"/>
    <s v="Europe"/>
    <x v="1"/>
    <s v="Birmingham"/>
    <s v="Enterprise"/>
    <s v="Online"/>
    <x v="4"/>
    <x v="622"/>
    <n v="26"/>
    <n v="1015.16"/>
    <n v="2148.14"/>
    <s v="high"/>
    <n v="3.7999999999999999E-2"/>
    <n v="53729.277679999999"/>
    <n v="26394.16"/>
    <n v="0.50875647059322204"/>
    <s v="M. Rossi"/>
    <n v="27335.117679999999"/>
    <s v="Q2-2025"/>
    <s v="05 2025"/>
    <d v="2025-05-01T00:00:00"/>
    <d v="2025-05-01T00:00:00"/>
    <x v="19"/>
  </r>
  <r>
    <s v="ORD-2023-112666"/>
    <d v="2023-01-13T00:00:00"/>
    <d v="2023-01-15T00:00:00"/>
    <s v="all good"/>
    <n v="2"/>
    <s v="Africa"/>
    <x v="16"/>
    <s v="Abuja"/>
    <s v="Education"/>
    <s v="Online"/>
    <x v="0"/>
    <x v="623"/>
    <n v="14"/>
    <n v="28.38"/>
    <n v="47.22"/>
    <s v="low"/>
    <n v="0.19400000000000001"/>
    <n v="532.83047999999997"/>
    <n v="397.32"/>
    <n v="0.25432193743871401"/>
    <s v="O. Wang"/>
    <n v="135.51047999999997"/>
    <s v="Q1-2023"/>
    <s v="01 2023"/>
    <d v="2023-01-01T00:00:00"/>
    <d v="2023-01-01T00:00:00"/>
    <x v="19"/>
  </r>
  <r>
    <s v="ORD-2025-922513"/>
    <d v="2025-08-26T00:00:00"/>
    <d v="2025-08-28T00:00:00"/>
    <s v="all good"/>
    <n v="2"/>
    <s v="Africa"/>
    <x v="11"/>
    <s v="Harcourt"/>
    <s v="Small Business"/>
    <s v="Retail"/>
    <x v="2"/>
    <x v="624"/>
    <n v="17"/>
    <n v="521.05999999999995"/>
    <n v="1240.31"/>
    <s v="medium"/>
    <n v="0.14599999999999999"/>
    <n v="18006.82058"/>
    <n v="8858.0199999999986"/>
    <n v="0.50807417885650996"/>
    <s v="A. Patel"/>
    <n v="9148.800580000001"/>
    <s v="Q3-2025"/>
    <s v="08 2025"/>
    <d v="2025-08-01T00:00:00"/>
    <d v="2025-08-01T00:00:00"/>
    <x v="19"/>
  </r>
  <r>
    <s v="ORD-2025-705398"/>
    <d v="2025-02-15T00:00:00"/>
    <d v="2025-02-17T00:00:00"/>
    <s v="all good"/>
    <n v="2"/>
    <s v="America"/>
    <x v="3"/>
    <s v="Toronto"/>
    <s v="Small Business"/>
    <s v="Retail"/>
    <x v="1"/>
    <x v="625"/>
    <n v="11"/>
    <n v="1133.47"/>
    <n v="1698.75"/>
    <s v="high"/>
    <n v="4.2999999999999997E-2"/>
    <n v="17882.741249999999"/>
    <n v="12468.17"/>
    <n v="0.30278194904821998"/>
    <s v="D. Smith"/>
    <n v="5414.5712499999991"/>
    <s v="Q1-2025"/>
    <s v="02 2025"/>
    <d v="2025-02-01T00:00:00"/>
    <d v="2023-06-01T00:00:00"/>
    <x v="27"/>
  </r>
  <r>
    <s v="ORD-2024-167215"/>
    <d v="2024-08-21T00:00:00"/>
    <d v="2024-08-23T00:00:00"/>
    <s v="all good"/>
    <n v="2"/>
    <s v="Africa"/>
    <x v="10"/>
    <s v="Johannesburg"/>
    <s v="Education"/>
    <s v="Retail"/>
    <x v="1"/>
    <x v="626"/>
    <n v="23"/>
    <n v="1432.52"/>
    <n v="3036.87"/>
    <s v="high"/>
    <n v="0"/>
    <n v="69848.009999999995"/>
    <n v="32947.96"/>
    <n v="0.52829064135112802"/>
    <s v="E. Garcia"/>
    <n v="36900.049999999996"/>
    <s v="Q3-2024"/>
    <s v="08 2024"/>
    <d v="2024-08-01T00:00:00"/>
    <d v="2024-08-01T00:00:00"/>
    <x v="19"/>
  </r>
  <r>
    <s v="ORD-2023-374486"/>
    <d v="2023-06-23T00:00:00"/>
    <d v="2023-06-24T00:00:00"/>
    <s v="all good"/>
    <n v="1"/>
    <s v="America"/>
    <x v="15"/>
    <s v="Janeiro"/>
    <s v="Non-Profit"/>
    <s v="Retail"/>
    <x v="0"/>
    <x v="627"/>
    <n v="18"/>
    <n v="804.01"/>
    <n v="1405.07"/>
    <s v="medium"/>
    <n v="9.6000000000000002E-2"/>
    <n v="22863.299039999998"/>
    <n v="14472.18"/>
    <n v="0.367012609392874"/>
    <s v="E. Garcia"/>
    <n v="8391.1190399999978"/>
    <s v="Q2-2023"/>
    <s v="06 2023"/>
    <d v="2023-06-01T00:00:00"/>
    <d v="2023-06-01T00:00:00"/>
    <x v="19"/>
  </r>
  <r>
    <s v="ORD-2023-888245"/>
    <d v="2023-02-27T00:00:00"/>
    <d v="2023-02-28T00:00:00"/>
    <s v="all good"/>
    <n v="1"/>
    <s v="Europe"/>
    <x v="2"/>
    <s v="Marseille"/>
    <s v="Corporate"/>
    <s v="Retail"/>
    <x v="5"/>
    <x v="628"/>
    <n v="8"/>
    <n v="1299.81"/>
    <n v="3149.13"/>
    <s v="high"/>
    <n v="0.10299999999999999"/>
    <n v="22598.156880000002"/>
    <n v="10398.48"/>
    <n v="0.53985273864511696"/>
    <s v="K. Singh"/>
    <n v="12199.676880000003"/>
    <s v="Q1-2023"/>
    <s v="02 2023"/>
    <d v="2023-02-01T00:00:00"/>
    <d v="2023-02-01T00:00:00"/>
    <x v="19"/>
  </r>
  <r>
    <s v="ORD-2023-890605"/>
    <d v="2023-06-22T00:00:00"/>
    <d v="2023-06-24T00:00:00"/>
    <s v="all good"/>
    <n v="2"/>
    <s v="America"/>
    <x v="3"/>
    <s v="Toronto"/>
    <s v="Non-Profit"/>
    <s v="Retail"/>
    <x v="2"/>
    <x v="629"/>
    <n v="7"/>
    <n v="471.42"/>
    <n v="824.81"/>
    <s v="medium"/>
    <n v="8.7999999999999995E-2"/>
    <n v="5265.5870400000003"/>
    <n v="3299.94"/>
    <n v="0.37330064531608198"/>
    <s v="M. Rossi"/>
    <n v="1965.6470400000003"/>
    <s v="Q2-2023"/>
    <s v="06 2023"/>
    <d v="2023-06-01T00:00:00"/>
    <d v="2023-06-01T00:00:0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6784D-39D6-4534-80B1-6E62BFEE5DFE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7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2"/>
        <item sd="0" x="1"/>
        <item sd="0" x="4"/>
        <item sd="0" x="6"/>
        <item sd="0" x="5"/>
        <item sd="0" x="3"/>
        <item sd="0" x="0"/>
        <item t="default"/>
      </items>
    </pivotField>
    <pivotField axis="axisRow" showAll="0">
      <items count="631">
        <item x="223"/>
        <item x="374"/>
        <item x="69"/>
        <item x="523"/>
        <item x="236"/>
        <item x="534"/>
        <item x="588"/>
        <item x="252"/>
        <item x="269"/>
        <item x="105"/>
        <item x="545"/>
        <item x="550"/>
        <item x="16"/>
        <item x="314"/>
        <item x="581"/>
        <item x="383"/>
        <item x="218"/>
        <item x="54"/>
        <item x="311"/>
        <item x="465"/>
        <item x="224"/>
        <item x="486"/>
        <item x="629"/>
        <item x="508"/>
        <item x="148"/>
        <item x="351"/>
        <item x="169"/>
        <item x="186"/>
        <item x="544"/>
        <item x="5"/>
        <item x="319"/>
        <item x="259"/>
        <item x="196"/>
        <item x="517"/>
        <item x="80"/>
        <item x="90"/>
        <item x="366"/>
        <item x="354"/>
        <item x="61"/>
        <item x="582"/>
        <item x="624"/>
        <item x="483"/>
        <item x="425"/>
        <item x="518"/>
        <item x="495"/>
        <item x="83"/>
        <item x="363"/>
        <item x="256"/>
        <item x="110"/>
        <item x="565"/>
        <item x="619"/>
        <item x="551"/>
        <item x="350"/>
        <item x="537"/>
        <item x="391"/>
        <item x="564"/>
        <item x="44"/>
        <item x="173"/>
        <item x="138"/>
        <item x="356"/>
        <item x="95"/>
        <item x="112"/>
        <item x="149"/>
        <item x="574"/>
        <item x="431"/>
        <item x="73"/>
        <item x="123"/>
        <item x="492"/>
        <item x="349"/>
        <item x="28"/>
        <item x="427"/>
        <item x="136"/>
        <item x="304"/>
        <item x="206"/>
        <item x="36"/>
        <item x="2"/>
        <item x="276"/>
        <item x="506"/>
        <item x="119"/>
        <item x="183"/>
        <item x="563"/>
        <item x="602"/>
        <item x="516"/>
        <item x="266"/>
        <item x="195"/>
        <item x="228"/>
        <item x="484"/>
        <item x="262"/>
        <item x="9"/>
        <item x="210"/>
        <item x="536"/>
        <item x="463"/>
        <item x="260"/>
        <item x="605"/>
        <item x="490"/>
        <item x="626"/>
        <item x="466"/>
        <item x="175"/>
        <item x="376"/>
        <item x="360"/>
        <item x="275"/>
        <item x="188"/>
        <item x="530"/>
        <item x="41"/>
        <item x="488"/>
        <item x="472"/>
        <item x="595"/>
        <item x="343"/>
        <item x="96"/>
        <item x="418"/>
        <item x="30"/>
        <item x="263"/>
        <item x="445"/>
        <item x="450"/>
        <item x="388"/>
        <item x="467"/>
        <item x="10"/>
        <item x="164"/>
        <item x="261"/>
        <item x="197"/>
        <item x="122"/>
        <item x="281"/>
        <item x="414"/>
        <item x="180"/>
        <item x="347"/>
        <item x="437"/>
        <item x="120"/>
        <item x="19"/>
        <item x="190"/>
        <item x="625"/>
        <item x="12"/>
        <item x="606"/>
        <item x="406"/>
        <item x="40"/>
        <item x="93"/>
        <item x="50"/>
        <item x="337"/>
        <item x="106"/>
        <item x="94"/>
        <item x="47"/>
        <item x="346"/>
        <item x="38"/>
        <item x="503"/>
        <item x="451"/>
        <item x="428"/>
        <item x="102"/>
        <item x="247"/>
        <item x="559"/>
        <item x="400"/>
        <item x="194"/>
        <item x="181"/>
        <item x="479"/>
        <item x="182"/>
        <item x="128"/>
        <item x="497"/>
        <item x="494"/>
        <item x="62"/>
        <item x="392"/>
        <item x="79"/>
        <item x="464"/>
        <item x="227"/>
        <item x="332"/>
        <item x="556"/>
        <item x="217"/>
        <item x="507"/>
        <item x="135"/>
        <item x="104"/>
        <item x="603"/>
        <item x="292"/>
        <item x="561"/>
        <item x="1"/>
        <item x="436"/>
        <item x="220"/>
        <item x="528"/>
        <item x="33"/>
        <item x="613"/>
        <item x="244"/>
        <item x="387"/>
        <item x="56"/>
        <item x="446"/>
        <item x="330"/>
        <item x="535"/>
        <item x="615"/>
        <item x="179"/>
        <item x="597"/>
        <item x="171"/>
        <item x="17"/>
        <item x="315"/>
        <item x="404"/>
        <item x="353"/>
        <item x="208"/>
        <item x="417"/>
        <item x="515"/>
        <item x="312"/>
        <item x="424"/>
        <item x="571"/>
        <item x="245"/>
        <item x="331"/>
        <item x="211"/>
        <item x="622"/>
        <item x="552"/>
        <item x="301"/>
        <item x="382"/>
        <item x="6"/>
        <item x="132"/>
        <item x="64"/>
        <item x="253"/>
        <item x="493"/>
        <item x="243"/>
        <item x="596"/>
        <item x="291"/>
        <item x="35"/>
        <item x="92"/>
        <item x="242"/>
        <item x="134"/>
        <item x="48"/>
        <item x="502"/>
        <item x="527"/>
        <item x="273"/>
        <item x="71"/>
        <item x="434"/>
        <item x="435"/>
        <item x="501"/>
        <item x="226"/>
        <item x="204"/>
        <item x="184"/>
        <item x="573"/>
        <item x="553"/>
        <item x="335"/>
        <item x="159"/>
        <item x="471"/>
        <item x="371"/>
        <item x="612"/>
        <item x="31"/>
        <item x="440"/>
        <item x="499"/>
        <item x="385"/>
        <item x="289"/>
        <item x="270"/>
        <item x="202"/>
        <item x="216"/>
        <item x="45"/>
        <item x="505"/>
        <item x="307"/>
        <item x="147"/>
        <item x="161"/>
        <item x="413"/>
        <item x="461"/>
        <item x="481"/>
        <item x="152"/>
        <item x="325"/>
        <item x="221"/>
        <item x="361"/>
        <item x="579"/>
        <item x="469"/>
        <item x="600"/>
        <item x="313"/>
        <item x="11"/>
        <item x="590"/>
        <item x="378"/>
        <item x="477"/>
        <item x="200"/>
        <item x="137"/>
        <item x="302"/>
        <item x="357"/>
        <item x="591"/>
        <item x="408"/>
        <item x="141"/>
        <item x="22"/>
        <item x="470"/>
        <item x="340"/>
        <item x="512"/>
        <item x="454"/>
        <item x="162"/>
        <item x="598"/>
        <item x="57"/>
        <item x="272"/>
        <item x="604"/>
        <item x="299"/>
        <item x="610"/>
        <item x="300"/>
        <item x="39"/>
        <item x="29"/>
        <item x="177"/>
        <item x="607"/>
        <item x="282"/>
        <item x="68"/>
        <item x="246"/>
        <item x="176"/>
        <item x="514"/>
        <item x="519"/>
        <item x="129"/>
        <item x="144"/>
        <item x="42"/>
        <item x="251"/>
        <item x="423"/>
        <item x="338"/>
        <item x="583"/>
        <item x="558"/>
        <item x="452"/>
        <item x="279"/>
        <item x="97"/>
        <item x="21"/>
        <item x="255"/>
        <item x="172"/>
        <item x="480"/>
        <item x="201"/>
        <item x="60"/>
        <item x="257"/>
        <item x="87"/>
        <item x="444"/>
        <item x="460"/>
        <item x="26"/>
        <item x="178"/>
        <item x="557"/>
        <item x="468"/>
        <item x="367"/>
        <item x="15"/>
        <item x="459"/>
        <item x="108"/>
        <item x="165"/>
        <item x="303"/>
        <item x="372"/>
        <item x="339"/>
        <item x="575"/>
        <item x="329"/>
        <item x="280"/>
        <item x="125"/>
        <item x="526"/>
        <item x="524"/>
        <item x="58"/>
        <item x="432"/>
        <item x="510"/>
        <item x="81"/>
        <item x="589"/>
        <item x="235"/>
        <item x="288"/>
        <item x="66"/>
        <item x="586"/>
        <item x="209"/>
        <item x="238"/>
        <item x="511"/>
        <item x="433"/>
        <item x="25"/>
        <item x="522"/>
        <item x="341"/>
        <item x="205"/>
        <item x="398"/>
        <item x="85"/>
        <item x="379"/>
        <item x="411"/>
        <item x="233"/>
        <item x="34"/>
        <item x="296"/>
        <item x="441"/>
        <item x="23"/>
        <item x="621"/>
        <item x="121"/>
        <item x="453"/>
        <item x="156"/>
        <item x="264"/>
        <item x="52"/>
        <item x="369"/>
        <item x="617"/>
        <item x="98"/>
        <item x="309"/>
        <item x="133"/>
        <item x="485"/>
        <item x="498"/>
        <item x="8"/>
        <item x="67"/>
        <item x="24"/>
        <item x="419"/>
        <item x="355"/>
        <item x="365"/>
        <item x="59"/>
        <item x="520"/>
        <item x="567"/>
        <item x="290"/>
        <item x="295"/>
        <item x="308"/>
        <item x="359"/>
        <item x="422"/>
        <item x="207"/>
        <item x="532"/>
        <item x="254"/>
        <item x="375"/>
        <item x="154"/>
        <item x="107"/>
        <item x="386"/>
        <item x="496"/>
        <item x="155"/>
        <item x="401"/>
        <item x="614"/>
        <item x="542"/>
        <item x="601"/>
        <item x="116"/>
        <item x="628"/>
        <item x="576"/>
        <item x="476"/>
        <item x="592"/>
        <item x="310"/>
        <item x="191"/>
        <item x="139"/>
        <item x="449"/>
        <item x="118"/>
        <item x="170"/>
        <item x="569"/>
        <item x="420"/>
        <item x="51"/>
        <item x="143"/>
        <item x="546"/>
        <item x="49"/>
        <item x="63"/>
        <item x="529"/>
        <item x="403"/>
        <item x="82"/>
        <item x="100"/>
        <item x="457"/>
        <item x="285"/>
        <item x="250"/>
        <item x="426"/>
        <item x="77"/>
        <item x="78"/>
        <item x="336"/>
        <item x="265"/>
        <item x="475"/>
        <item x="344"/>
        <item x="533"/>
        <item x="130"/>
        <item x="142"/>
        <item x="397"/>
        <item x="321"/>
        <item x="616"/>
        <item x="538"/>
        <item x="521"/>
        <item x="277"/>
        <item x="158"/>
        <item x="131"/>
        <item x="316"/>
        <item x="166"/>
        <item x="580"/>
        <item x="327"/>
        <item x="500"/>
        <item x="293"/>
        <item x="364"/>
        <item x="462"/>
        <item x="381"/>
        <item x="456"/>
        <item x="222"/>
        <item x="74"/>
        <item x="447"/>
        <item x="323"/>
        <item x="352"/>
        <item x="153"/>
        <item x="395"/>
        <item x="487"/>
        <item x="394"/>
        <item x="438"/>
        <item x="32"/>
        <item x="274"/>
        <item x="65"/>
        <item x="84"/>
        <item x="234"/>
        <item x="416"/>
        <item x="298"/>
        <item x="241"/>
        <item x="317"/>
        <item x="348"/>
        <item x="55"/>
        <item x="525"/>
        <item x="333"/>
        <item x="306"/>
        <item x="229"/>
        <item x="474"/>
        <item x="585"/>
        <item x="473"/>
        <item x="324"/>
        <item x="402"/>
        <item x="193"/>
        <item x="390"/>
        <item x="3"/>
        <item x="358"/>
        <item x="278"/>
        <item x="127"/>
        <item x="18"/>
        <item x="89"/>
        <item x="318"/>
        <item x="167"/>
        <item x="442"/>
        <item x="271"/>
        <item x="199"/>
        <item x="75"/>
        <item x="43"/>
        <item x="334"/>
        <item x="294"/>
        <item x="491"/>
        <item x="478"/>
        <item x="111"/>
        <item x="189"/>
        <item x="239"/>
        <item x="212"/>
        <item x="593"/>
        <item x="7"/>
        <item x="509"/>
        <item x="430"/>
        <item x="599"/>
        <item x="109"/>
        <item x="393"/>
        <item x="396"/>
        <item x="549"/>
        <item x="489"/>
        <item x="322"/>
        <item x="115"/>
        <item x="72"/>
        <item x="584"/>
        <item x="124"/>
        <item x="572"/>
        <item x="543"/>
        <item x="448"/>
        <item x="611"/>
        <item x="587"/>
        <item x="86"/>
        <item x="410"/>
        <item x="539"/>
        <item x="192"/>
        <item x="20"/>
        <item x="215"/>
        <item x="412"/>
        <item x="103"/>
        <item x="46"/>
        <item x="577"/>
        <item x="240"/>
        <item x="151"/>
        <item x="268"/>
        <item x="578"/>
        <item x="145"/>
        <item x="286"/>
        <item x="407"/>
        <item x="163"/>
        <item x="232"/>
        <item x="345"/>
        <item x="570"/>
        <item x="608"/>
        <item x="609"/>
        <item x="389"/>
        <item x="443"/>
        <item x="405"/>
        <item x="555"/>
        <item x="320"/>
        <item x="230"/>
        <item x="114"/>
        <item x="70"/>
        <item x="409"/>
        <item x="99"/>
        <item x="326"/>
        <item x="185"/>
        <item x="248"/>
        <item x="547"/>
        <item x="297"/>
        <item x="13"/>
        <item x="231"/>
        <item x="328"/>
        <item x="362"/>
        <item x="380"/>
        <item x="368"/>
        <item x="560"/>
        <item x="237"/>
        <item x="198"/>
        <item x="429"/>
        <item x="214"/>
        <item x="88"/>
        <item x="513"/>
        <item x="370"/>
        <item x="160"/>
        <item x="150"/>
        <item x="267"/>
        <item x="157"/>
        <item x="283"/>
        <item x="421"/>
        <item x="455"/>
        <item x="342"/>
        <item x="174"/>
        <item x="439"/>
        <item x="562"/>
        <item x="548"/>
        <item x="219"/>
        <item x="623"/>
        <item x="373"/>
        <item x="258"/>
        <item x="627"/>
        <item x="594"/>
        <item x="540"/>
        <item x="37"/>
        <item x="225"/>
        <item x="4"/>
        <item x="554"/>
        <item x="117"/>
        <item x="91"/>
        <item x="287"/>
        <item x="14"/>
        <item x="101"/>
        <item x="384"/>
        <item x="27"/>
        <item x="482"/>
        <item x="140"/>
        <item x="399"/>
        <item x="566"/>
        <item x="504"/>
        <item x="618"/>
        <item x="531"/>
        <item x="146"/>
        <item x="126"/>
        <item x="458"/>
        <item x="113"/>
        <item x="305"/>
        <item x="203"/>
        <item x="249"/>
        <item x="620"/>
        <item x="568"/>
        <item x="187"/>
        <item x="53"/>
        <item x="415"/>
        <item x="284"/>
        <item x="541"/>
        <item x="0"/>
        <item x="168"/>
        <item x="76"/>
        <item x="213"/>
        <item x="377"/>
        <item t="default"/>
      </items>
    </pivotField>
    <pivotField numFmtId="1" showAll="0"/>
    <pivotField showAll="0"/>
    <pivotField numFmtId="2" showAll="0"/>
    <pivotField showAll="0"/>
    <pivotField numFmtId="10" showAll="0"/>
    <pivotField dataField="1" numFmtId="2" showAll="0"/>
    <pivotField numFmtId="2" showAll="0"/>
    <pivotField numFmtId="10" showAll="0"/>
    <pivotField showAll="0"/>
    <pivotField numFmtId="2" showAll="0"/>
    <pivotField showAll="0"/>
    <pivotField showAll="0"/>
    <pivotField numFmtId="14" showAll="0"/>
    <pivotField numFmtId="164" showAll="0"/>
    <pivotField showAll="0"/>
  </pivotFields>
  <rowFields count="2">
    <field x="10"/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Revenue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EAA73-A3A3-4C77-B3D9-A81595DAD461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T37" firstHeaderRow="1" firstDataRow="2" firstDataCol="1"/>
  <pivotFields count="27">
    <pivotField showAll="0"/>
    <pivotField numFmtId="164" showAll="0"/>
    <pivotField numFmtId="164" showAll="0"/>
    <pivotField showAll="0"/>
    <pivotField showAll="0"/>
    <pivotField showAll="0"/>
    <pivotField axis="axisCol" showAll="0">
      <items count="19">
        <item x="5"/>
        <item x="15"/>
        <item x="9"/>
        <item x="3"/>
        <item x="4"/>
        <item x="2"/>
        <item x="0"/>
        <item x="6"/>
        <item x="7"/>
        <item x="8"/>
        <item x="16"/>
        <item x="11"/>
        <item x="10"/>
        <item x="14"/>
        <item x="1"/>
        <item x="13"/>
        <item x="17"/>
        <item x="12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showAll="0"/>
    <pivotField numFmtId="10" showAll="0"/>
    <pivotField dataField="1" showAll="0"/>
    <pivotField numFmtId="2" showAll="0"/>
    <pivotField numFmtId="10" showAll="0"/>
    <pivotField showAll="0"/>
    <pivotField numFmtId="2" showAll="0"/>
    <pivotField showAll="0"/>
    <pivotField showAll="0"/>
    <pivotField numFmtId="14" showAll="0"/>
    <pivotField numFmtId="164" showAll="0"/>
    <pivotField axis="axisRow" showAll="0">
      <items count="34">
        <item x="19"/>
        <item x="17"/>
        <item x="1"/>
        <item x="11"/>
        <item x="29"/>
        <item x="15"/>
        <item x="7"/>
        <item x="9"/>
        <item x="5"/>
        <item x="2"/>
        <item x="16"/>
        <item x="21"/>
        <item x="4"/>
        <item x="23"/>
        <item x="24"/>
        <item x="30"/>
        <item x="25"/>
        <item x="26"/>
        <item x="22"/>
        <item x="8"/>
        <item x="27"/>
        <item x="6"/>
        <item x="28"/>
        <item x="10"/>
        <item x="14"/>
        <item x="31"/>
        <item x="18"/>
        <item x="12"/>
        <item x="0"/>
        <item x="3"/>
        <item x="20"/>
        <item x="13"/>
        <item x="32"/>
        <item t="default"/>
      </items>
    </pivotField>
  </pivotFields>
  <rowFields count="1">
    <field x="26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6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Gross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21F6D9-40BF-41D6-8A4A-B7BEA97D8867}" autoFormatId="16" applyNumberFormats="0" applyBorderFormats="0" applyFontFormats="0" applyPatternFormats="0" applyAlignmentFormats="0" applyWidthHeightFormats="0">
  <queryTableRefresh nextId="35" unboundColumnsRight="3">
    <queryTableFields count="27">
      <queryTableField id="1" name="OrderID" tableColumnId="1"/>
      <queryTableField id="2" name="OrderDate" tableColumnId="2"/>
      <queryTableField id="3" name="RequiredDate" tableColumnId="3"/>
      <queryTableField id="4" name="Required date check" tableColumnId="4"/>
      <queryTableField id="5" name="Leadtimedays" tableColumnId="5"/>
      <queryTableField id="6" name="Region" tableColumnId="6"/>
      <queryTableField id="7" name="Country" tableColumnId="7"/>
      <queryTableField id="8" name="Location" tableColumnId="8"/>
      <queryTableField id="9" name="CustomerSegment" tableColumnId="9"/>
      <queryTableField id="10" name="Channel" tableColumnId="10"/>
      <queryTableField id="11" name="ProductCategory" tableColumnId="11"/>
      <queryTableField id="12" name="SKU" tableColumnId="12"/>
      <queryTableField id="13" name="Quantity" tableColumnId="13"/>
      <queryTableField id="14" name="UnitCost" tableColumnId="14"/>
      <queryTableField id="15" name="UnitPrice" tableColumnId="15"/>
      <queryTableField id="16" name="price band" tableColumnId="16"/>
      <queryTableField id="17" name="DiscountPct" tableColumnId="17"/>
      <queryTableField id="18" name="GrossRevenue" tableColumnId="18"/>
      <queryTableField id="19" name="Costof Goods" tableColumnId="19"/>
      <queryTableField id="20" name="Marginpct" tableColumnId="20"/>
      <queryTableField id="21" name="Salesperson" tableColumnId="21"/>
      <queryTableField id="22" name="GrossProfit" tableColumnId="22"/>
      <queryTableField id="23" name="Quarter" tableColumnId="23"/>
      <queryTableField id="26" name="0" tableColumnId="26"/>
      <queryTableField id="31" dataBound="0" tableColumnId="31"/>
      <queryTableField id="33" dataBound="0" tableColumnId="33"/>
      <queryTableField id="34" dataBound="0" tableColumnId="34"/>
    </queryTableFields>
    <queryTableDeletedFields count="2">
      <deletedField name=" Month"/>
      <deletedField name="Std Order da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01B11D-98DD-4B01-915A-1BF211E063CC}" autoFormatId="16" applyNumberFormats="0" applyBorderFormats="0" applyFontFormats="0" applyPatternFormats="0" applyAlignmentFormats="0" applyWidthHeightFormats="0">
  <queryTableRefresh nextId="28" unboundColumnsRight="3">
    <queryTableFields count="24">
      <queryTableField id="1" name="OrderID" tableColumnId="1"/>
      <queryTableField id="2" name="OrderDate" tableColumnId="2"/>
      <queryTableField id="3" name="RequiredDate" tableColumnId="3"/>
      <queryTableField id="4" name="Required date check" tableColumnId="4"/>
      <queryTableField id="5" name="Leadtimedays" tableColumnId="5"/>
      <queryTableField id="6" name="Region Hierarchy" tableColumnId="6"/>
      <queryTableField id="7" name="CustomerSegment" tableColumnId="7"/>
      <queryTableField id="8" name="Channel" tableColumnId="8"/>
      <queryTableField id="9" name="ProductCategory" tableColumnId="9"/>
      <queryTableField id="10" name="SKU" tableColumnId="10"/>
      <queryTableField id="11" name="Quantity" tableColumnId="11"/>
      <queryTableField id="12" name="UnitCost" tableColumnId="12"/>
      <queryTableField id="13" name="UnitPrice" tableColumnId="13"/>
      <queryTableField id="25" dataBound="0" tableColumnId="20"/>
      <queryTableField id="14" name="DiscountPct" tableColumnId="14"/>
      <queryTableField id="15" name="GrossRevenue" tableColumnId="15"/>
      <queryTableField id="16" name="Costof Goods" tableColumnId="16"/>
      <queryTableField id="17" name="Marginpct" tableColumnId="17"/>
      <queryTableField id="18" name="Salesperson" tableColumnId="18"/>
      <queryTableField id="19" name="GrossProfit" tableColumnId="19"/>
      <queryTableField id="21" name="Quarter" tableColumnId="21"/>
      <queryTableField id="22" dataBound="0" tableColumnId="22"/>
      <queryTableField id="26" dataBound="0" tableColumnId="23"/>
      <queryTableField id="27" dataBound="0" tableColumnId="24"/>
    </queryTableFields>
    <queryTableDeletedFields count="1">
      <deletedField name="StandardisedM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4D900-B664-407D-83FA-FE8F32D0B4D1}" name="Table1_1" displayName="Table1_1" ref="A1:AA633" tableType="queryTable" totalsRowShown="0">
  <autoFilter ref="A1:AA633" xr:uid="{8004D900-B664-407D-83FA-FE8F32D0B4D1}"/>
  <tableColumns count="27">
    <tableColumn id="1" xr3:uid="{E75BA27C-8844-4D25-B31D-E89082AABD80}" uniqueName="1" name="OrderID" queryTableFieldId="1" dataDxfId="23"/>
    <tableColumn id="2" xr3:uid="{5093445A-ABA1-4B10-A629-7556D0887915}" uniqueName="2" name="OrderDate" queryTableFieldId="2" dataDxfId="8"/>
    <tableColumn id="3" xr3:uid="{A4443040-A4DF-49A6-8415-8FD4621F1314}" uniqueName="3" name="RequiredDate" queryTableFieldId="3" dataDxfId="9"/>
    <tableColumn id="4" xr3:uid="{FF84040F-7E37-4A62-81B7-08F47FC61BF5}" uniqueName="4" name="Required date check" queryTableFieldId="4" dataDxfId="22"/>
    <tableColumn id="5" xr3:uid="{B2F356FC-8BAC-4989-B6D8-551D3ECC7345}" uniqueName="5" name="Leadtimedays" queryTableFieldId="5"/>
    <tableColumn id="6" xr3:uid="{DF97D6C4-3ABA-4FDF-918D-6B54BCF831F8}" uniqueName="6" name="Region" queryTableFieldId="6" dataDxfId="21"/>
    <tableColumn id="7" xr3:uid="{F54376B1-87AF-45EA-A865-9ADFEAAEF263}" uniqueName="7" name="Country" queryTableFieldId="7" dataDxfId="20"/>
    <tableColumn id="8" xr3:uid="{105CDDB7-821C-48DC-9243-169D0BA4288A}" uniqueName="8" name="Location" queryTableFieldId="8" dataDxfId="19"/>
    <tableColumn id="9" xr3:uid="{D75BB354-D054-49D4-9C67-6E39CF1A00D0}" uniqueName="9" name="CustomerSegment" queryTableFieldId="9" dataDxfId="18"/>
    <tableColumn id="10" xr3:uid="{5DC259FE-C348-41FD-9C5A-93AD9A6C5DF4}" uniqueName="10" name="Channel" queryTableFieldId="10" dataDxfId="17"/>
    <tableColumn id="11" xr3:uid="{DDC9E176-970C-4A45-B3AF-D3C86D331973}" uniqueName="11" name="ProductCategory" queryTableFieldId="11" dataDxfId="16"/>
    <tableColumn id="12" xr3:uid="{CCC84C65-584B-45D8-A785-4C02251768E8}" uniqueName="12" name="SKU" queryTableFieldId="12" dataDxfId="7"/>
    <tableColumn id="13" xr3:uid="{6860C14D-EBA1-430F-BF45-09AB4F560148}" uniqueName="13" name="Quantity" queryTableFieldId="13" dataDxfId="6"/>
    <tableColumn id="14" xr3:uid="{B7C40A9D-C89D-4EF3-A78E-60CA87160637}" uniqueName="14" name="UnitCost" queryTableFieldId="14"/>
    <tableColumn id="15" xr3:uid="{B8D76BBE-5D9C-405C-9ABC-283F9367745E}" uniqueName="15" name="UnitPrice" queryTableFieldId="15" dataDxfId="10"/>
    <tableColumn id="16" xr3:uid="{E119F0A4-0A7B-43C6-81F3-0E7B3580AE62}" uniqueName="16" name="price band" queryTableFieldId="16" dataDxfId="11"/>
    <tableColumn id="17" xr3:uid="{187B0537-5C07-4517-95A0-B6E78E3F5136}" uniqueName="17" name="DiscountPct" queryTableFieldId="17" dataDxfId="2"/>
    <tableColumn id="18" xr3:uid="{2B6F2E76-2427-4FFF-9C65-55F5082CE945}" uniqueName="18" name="GrossRevenue" queryTableFieldId="18" dataDxfId="0"/>
    <tableColumn id="19" xr3:uid="{9D28339D-4E2F-432A-AAF8-D1790FEFF10B}" uniqueName="19" name="Costof Goods" queryTableFieldId="19" dataDxfId="1"/>
    <tableColumn id="20" xr3:uid="{B185C8FC-15E1-43E3-985F-3E5ACE7E93FC}" uniqueName="20" name="Marginpct" queryTableFieldId="20" dataDxfId="12"/>
    <tableColumn id="21" xr3:uid="{89832591-11AB-4043-8627-2ED73172DFBE}" uniqueName="21" name="Salesperson" queryTableFieldId="21" dataDxfId="13"/>
    <tableColumn id="22" xr3:uid="{D180F35E-44AA-405E-AB49-BAC6867F73FA}" uniqueName="22" name="GrossProfit" queryTableFieldId="22" dataDxfId="14"/>
    <tableColumn id="23" xr3:uid="{E41F0AA9-2F24-46D3-94BD-173BC6041188}" uniqueName="23" name="Quarter" queryTableFieldId="23" dataDxfId="15"/>
    <tableColumn id="26" xr3:uid="{7933635C-C972-4A99-A03C-767650B76360}" uniqueName="26" name="STD Order date" queryTableFieldId="26"/>
    <tableColumn id="31" xr3:uid="{1EC1718B-114C-4A72-96CB-CDC0A92605D4}" uniqueName="31" name="OrderMonth" queryTableFieldId="31" dataDxfId="5">
      <calculatedColumnFormula>DATE(YEAR(Table1_1[[#This Row],[OrderDate]]),MONTH(B2),1)</calculatedColumnFormula>
    </tableColumn>
    <tableColumn id="33" xr3:uid="{7702342A-C370-423C-8D7C-280024C18A35}" uniqueName="33" name="Firstmonth" queryTableFieldId="33" dataDxfId="4">
      <calculatedColumnFormula>_xlfn.MINIFS(Y2:Y633,G2:G633,G2)</calculatedColumnFormula>
    </tableColumn>
    <tableColumn id="34" xr3:uid="{FD7DE2C3-F8D3-4287-BB21-30D8C3B37070}" uniqueName="34" name="Cohortperiod" queryTableFieldId="34" dataDxfId="3">
      <calculatedColumnFormula>(YEAR(Table1_1[[#This Row],[OrderMonth]])-YEAR(Table1_1[[#This Row],[Firstmonth]]))*12+(MONTH(Table1_1[[#This Row],[OrderMonth]])-MONTH(Table1_1[[#This Row],[Firstmonth]]))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0166D0-E292-4E40-8AB8-7DBDD8DEC7D9}" name="Table1_1" displayName="Table1_1" ref="A1:X633" tableType="queryTable" totalsRowShown="0" headerRowDxfId="47">
  <autoFilter ref="A1:X633" xr:uid="{F90166D0-E292-4E40-8AB8-7DBDD8DEC7D9}"/>
  <tableColumns count="24">
    <tableColumn id="1" xr3:uid="{9577BF62-1054-4C94-9CBC-F8EEF2F155F8}" uniqueName="1" name="OrderID" queryTableFieldId="1" dataDxfId="46"/>
    <tableColumn id="2" xr3:uid="{26C9B7F6-9DAB-417A-AC48-BBDDB426D80A}" uniqueName="2" name="OrderDate" queryTableFieldId="2" dataDxfId="45"/>
    <tableColumn id="3" xr3:uid="{B152F907-4A76-4C2F-BF9A-22701699ECB1}" uniqueName="3" name="RequiredDate" queryTableFieldId="3" dataDxfId="44"/>
    <tableColumn id="4" xr3:uid="{B6F5A719-B7AF-49CC-AED7-2B58421B2BB1}" uniqueName="4" name="Required date check" queryTableFieldId="4" dataDxfId="43"/>
    <tableColumn id="5" xr3:uid="{38A4C3D5-F231-4211-B25D-2FADA7E7A276}" uniqueName="5" name="Leadtimedays" queryTableFieldId="5" dataDxfId="42"/>
    <tableColumn id="6" xr3:uid="{56604FB8-D091-43A7-ADFA-E238C0C81E8B}" uniqueName="6" name="Region Hierarchy" queryTableFieldId="6" dataDxfId="41"/>
    <tableColumn id="7" xr3:uid="{293508F6-4E89-4502-AD2C-075BDB66C6B9}" uniqueName="7" name="CustomerSegment" queryTableFieldId="7" dataDxfId="40"/>
    <tableColumn id="8" xr3:uid="{8C55D108-99BD-4A32-81B2-19BC25177687}" uniqueName="8" name="Channel" queryTableFieldId="8" dataDxfId="39"/>
    <tableColumn id="9" xr3:uid="{A310EF8D-7625-4A82-8EEB-622E97534234}" uniqueName="9" name="ProductCategory" queryTableFieldId="9" dataDxfId="38"/>
    <tableColumn id="10" xr3:uid="{A58E125B-06B9-4E01-9D94-58BDFB9F31E9}" uniqueName="10" name="SKU" queryTableFieldId="10" dataDxfId="37"/>
    <tableColumn id="11" xr3:uid="{B5B3A192-D1FB-433F-B786-D0F9B52DB817}" uniqueName="11" name="Quantity" queryTableFieldId="11"/>
    <tableColumn id="12" xr3:uid="{CCFB4061-688B-44AA-96F6-AE4172AF0348}" uniqueName="12" name="UnitCost" queryTableFieldId="12" dataDxfId="36"/>
    <tableColumn id="13" xr3:uid="{22C6F9FC-BAE3-4E7F-9C4D-2281F4149A86}" uniqueName="13" name="UnitPrice" queryTableFieldId="13" dataDxfId="35"/>
    <tableColumn id="20" xr3:uid="{5363A910-002D-4C46-AB75-F6135382731E}" uniqueName="20" name="price band" queryTableFieldId="25" dataDxfId="34">
      <calculatedColumnFormula>IF(Table1_1[[#This Row],[UnitPrice]]&lt;=816.08,"low",IF(Table1_1[[#This Row],[UnitPrice]]&lt;=1640.06,"medium","high"))</calculatedColumnFormula>
    </tableColumn>
    <tableColumn id="14" xr3:uid="{61C7E955-C88E-48D6-A5FC-E26025323C11}" uniqueName="14" name="DiscountPct" queryTableFieldId="14" dataDxfId="33"/>
    <tableColumn id="15" xr3:uid="{B15E7A99-7F77-4858-8867-A3B8066DF04E}" uniqueName="15" name="GrossRevenue" queryTableFieldId="15" dataDxfId="32"/>
    <tableColumn id="16" xr3:uid="{0ED38069-AA75-4E48-9F77-2887667815CF}" uniqueName="16" name="Costof Goods" queryTableFieldId="16" dataDxfId="31"/>
    <tableColumn id="17" xr3:uid="{78F10BD0-FF51-4782-B86F-0323493F5E9F}" uniqueName="17" name="Marginpct" queryTableFieldId="17" dataDxfId="30"/>
    <tableColumn id="18" xr3:uid="{E82A6310-78A5-455B-9CEC-8503F59CA930}" uniqueName="18" name="Salesperson" queryTableFieldId="18" dataDxfId="29"/>
    <tableColumn id="19" xr3:uid="{1DFD3E38-04E6-4321-807D-745897E36840}" uniqueName="19" name="GrossProfit" queryTableFieldId="19" dataDxfId="28"/>
    <tableColumn id="21" xr3:uid="{6DC2139C-FBB2-4857-B757-E96D9929F3DC}" uniqueName="21" name="Quarter" queryTableFieldId="21" dataDxfId="27"/>
    <tableColumn id="22" xr3:uid="{22D70786-5234-4526-AE29-026E33D0FDDB}" uniqueName="22" name="Std Order date" queryTableFieldId="22" dataDxfId="26">
      <calculatedColumnFormula>TEXT(Table1_1[[#This Row],[OrderDate]],"MM YYYY")</calculatedColumnFormula>
    </tableColumn>
    <tableColumn id="23" xr3:uid="{A00EFCFF-41E2-4FDE-AEA3-0D9421EA2D2E}" uniqueName="23" name=" Month" queryTableFieldId="26" dataDxfId="25">
      <calculatedColumnFormula>TEXT(Table1_1[[#This Row],[OrderDate]],"MM")</calculatedColumnFormula>
    </tableColumn>
    <tableColumn id="24" xr3:uid="{4C66C0F7-9693-4671-93E5-E610C577CA44}" uniqueName="24" name="0" queryTableFieldId="27" dataDxfId="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D489-8025-4660-B1D3-7921D7440E2B}">
  <dimension ref="A3:B11"/>
  <sheetViews>
    <sheetView tabSelected="1" workbookViewId="0">
      <selection activeCell="A3" sqref="A3:B11"/>
    </sheetView>
  </sheetViews>
  <sheetFormatPr defaultRowHeight="15" x14ac:dyDescent="0.25"/>
  <cols>
    <col min="1" max="1" width="14.140625" bestFit="1" customWidth="1"/>
    <col min="2" max="2" width="20.7109375" bestFit="1" customWidth="1"/>
  </cols>
  <sheetData>
    <row r="3" spans="1:2" x14ac:dyDescent="0.25">
      <c r="A3" s="14" t="s">
        <v>1525</v>
      </c>
      <c r="B3" t="s">
        <v>1526</v>
      </c>
    </row>
    <row r="4" spans="1:2" x14ac:dyDescent="0.25">
      <c r="A4" s="15" t="s">
        <v>674</v>
      </c>
      <c r="B4" s="3">
        <v>1462445.1080899998</v>
      </c>
    </row>
    <row r="5" spans="1:2" x14ac:dyDescent="0.25">
      <c r="A5" s="15" t="s">
        <v>668</v>
      </c>
      <c r="B5" s="3">
        <v>1493114.7527599998</v>
      </c>
    </row>
    <row r="6" spans="1:2" x14ac:dyDescent="0.25">
      <c r="A6" s="15" t="s">
        <v>672</v>
      </c>
      <c r="B6" s="3">
        <v>1723998.3032600002</v>
      </c>
    </row>
    <row r="7" spans="1:2" x14ac:dyDescent="0.25">
      <c r="A7" s="15" t="s">
        <v>673</v>
      </c>
      <c r="B7" s="3">
        <v>1456457.4450100001</v>
      </c>
    </row>
    <row r="8" spans="1:2" x14ac:dyDescent="0.25">
      <c r="A8" s="15" t="s">
        <v>670</v>
      </c>
      <c r="B8" s="3">
        <v>1610460.2184899987</v>
      </c>
    </row>
    <row r="9" spans="1:2" x14ac:dyDescent="0.25">
      <c r="A9" s="15" t="s">
        <v>671</v>
      </c>
      <c r="B9" s="3">
        <v>1427034.6039799997</v>
      </c>
    </row>
    <row r="10" spans="1:2" x14ac:dyDescent="0.25">
      <c r="A10" s="15" t="s">
        <v>669</v>
      </c>
      <c r="B10" s="3">
        <v>1810234.3330699999</v>
      </c>
    </row>
    <row r="11" spans="1:2" x14ac:dyDescent="0.25">
      <c r="A11" s="15" t="s">
        <v>1524</v>
      </c>
      <c r="B11" s="3">
        <v>10983744.764659999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34AA-4B92-4E74-9D2D-1C356BB86F4D}">
  <dimension ref="A1:AA633"/>
  <sheetViews>
    <sheetView topLeftCell="A2" workbookViewId="0">
      <selection activeCell="K18" sqref="A2:AA633"/>
    </sheetView>
  </sheetViews>
  <sheetFormatPr defaultRowHeight="15" x14ac:dyDescent="0.25"/>
  <cols>
    <col min="1" max="1" width="16.42578125" bestFit="1" customWidth="1"/>
    <col min="2" max="2" width="14.85546875" style="2" bestFit="1" customWidth="1"/>
    <col min="3" max="3" width="15.7109375" style="2" bestFit="1" customWidth="1"/>
    <col min="4" max="4" width="21.5703125" bestFit="1" customWidth="1"/>
    <col min="5" max="5" width="15.7109375" bestFit="1" customWidth="1"/>
    <col min="6" max="6" width="9.42578125" bestFit="1" customWidth="1"/>
    <col min="7" max="7" width="16.7109375" bestFit="1" customWidth="1"/>
    <col min="8" max="8" width="13.42578125" bestFit="1" customWidth="1"/>
    <col min="9" max="9" width="20" bestFit="1" customWidth="1"/>
    <col min="10" max="10" width="12" bestFit="1" customWidth="1"/>
    <col min="11" max="11" width="18.140625" bestFit="1" customWidth="1"/>
    <col min="12" max="12" width="10.28515625" bestFit="1" customWidth="1"/>
    <col min="13" max="13" width="11" style="10" bestFit="1" customWidth="1"/>
    <col min="14" max="14" width="11" bestFit="1" customWidth="1"/>
    <col min="15" max="15" width="11.5703125" style="3" bestFit="1" customWidth="1"/>
    <col min="16" max="16" width="12.5703125" bestFit="1" customWidth="1"/>
    <col min="17" max="17" width="13.7109375" style="4" bestFit="1" customWidth="1"/>
    <col min="18" max="18" width="16.28515625" bestFit="1" customWidth="1"/>
    <col min="19" max="19" width="15.140625" style="3" bestFit="1" customWidth="1"/>
    <col min="20" max="20" width="12.7109375" style="4" bestFit="1" customWidth="1"/>
    <col min="21" max="21" width="14" bestFit="1" customWidth="1"/>
    <col min="22" max="22" width="13.28515625" style="3" bestFit="1" customWidth="1"/>
    <col min="23" max="23" width="10.140625" bestFit="1" customWidth="1"/>
    <col min="24" max="24" width="16.7109375" customWidth="1"/>
    <col min="25" max="25" width="16.140625" customWidth="1"/>
    <col min="26" max="26" width="10.42578125" style="2" bestFit="1" customWidth="1"/>
    <col min="27" max="27" width="19.42578125" customWidth="1"/>
  </cols>
  <sheetData>
    <row r="1" spans="1:27" x14ac:dyDescent="0.25">
      <c r="A1" t="s">
        <v>0</v>
      </c>
      <c r="B1" s="2" t="s">
        <v>1</v>
      </c>
      <c r="C1" s="2" t="s">
        <v>2</v>
      </c>
      <c r="D1" t="s">
        <v>1368</v>
      </c>
      <c r="E1" t="s">
        <v>1370</v>
      </c>
      <c r="F1" t="s">
        <v>1461</v>
      </c>
      <c r="G1" t="s">
        <v>1462</v>
      </c>
      <c r="H1" t="s">
        <v>1463</v>
      </c>
      <c r="I1" t="s">
        <v>3</v>
      </c>
      <c r="J1" t="s">
        <v>4</v>
      </c>
      <c r="K1" t="s">
        <v>6</v>
      </c>
      <c r="L1" t="s">
        <v>7</v>
      </c>
      <c r="M1" s="10" t="s">
        <v>1372</v>
      </c>
      <c r="N1" t="s">
        <v>8</v>
      </c>
      <c r="O1" s="3" t="s">
        <v>9</v>
      </c>
      <c r="P1" t="s">
        <v>1443</v>
      </c>
      <c r="Q1" s="4" t="s">
        <v>10</v>
      </c>
      <c r="R1" t="s">
        <v>1371</v>
      </c>
      <c r="S1" s="3" t="s">
        <v>1373</v>
      </c>
      <c r="T1" s="4" t="s">
        <v>1378</v>
      </c>
      <c r="U1" t="s">
        <v>5</v>
      </c>
      <c r="V1" s="3" t="s">
        <v>1376</v>
      </c>
      <c r="W1" t="s">
        <v>1379</v>
      </c>
      <c r="X1" t="s">
        <v>1518</v>
      </c>
      <c r="Y1" t="s">
        <v>1519</v>
      </c>
      <c r="Z1" s="2" t="s">
        <v>1521</v>
      </c>
      <c r="AA1" t="s">
        <v>1522</v>
      </c>
    </row>
    <row r="2" spans="1:27" x14ac:dyDescent="0.25">
      <c r="A2" s="11" t="s">
        <v>54</v>
      </c>
      <c r="B2" s="2">
        <v>45806</v>
      </c>
      <c r="C2" s="2">
        <v>45828</v>
      </c>
      <c r="D2" s="11" t="s">
        <v>1413</v>
      </c>
      <c r="E2">
        <v>22</v>
      </c>
      <c r="F2" s="11" t="s">
        <v>1464</v>
      </c>
      <c r="G2" s="11" t="s">
        <v>1455</v>
      </c>
      <c r="H2" s="11" t="s">
        <v>1465</v>
      </c>
      <c r="I2" s="11" t="s">
        <v>642</v>
      </c>
      <c r="J2" s="11" t="s">
        <v>652</v>
      </c>
      <c r="K2" s="11" t="s">
        <v>669</v>
      </c>
      <c r="L2" s="11" t="s">
        <v>718</v>
      </c>
      <c r="M2" s="10">
        <v>9</v>
      </c>
      <c r="N2">
        <v>483.47</v>
      </c>
      <c r="O2" s="3">
        <v>1135.43</v>
      </c>
      <c r="P2" s="11" t="s">
        <v>1466</v>
      </c>
      <c r="Q2" s="4">
        <v>0.14599999999999999</v>
      </c>
      <c r="R2" s="3">
        <v>8726.9149800000014</v>
      </c>
      <c r="S2" s="3">
        <v>4351.2300000000005</v>
      </c>
      <c r="T2" s="4">
        <v>0.50140112399720005</v>
      </c>
      <c r="U2" s="11" t="s">
        <v>661</v>
      </c>
      <c r="V2" s="3">
        <v>4375.6849800000009</v>
      </c>
      <c r="W2" s="11" t="s">
        <v>1431</v>
      </c>
      <c r="X2" t="str">
        <f>TEXT(Table1_1[[#This Row],[OrderDate]],"mm yyyy")</f>
        <v>05 2025</v>
      </c>
      <c r="Y2" s="13">
        <f>DATE(YEAR(Table1_1[[#This Row],[OrderDate]]),MONTH(B2),1)</f>
        <v>45778</v>
      </c>
      <c r="Z2" s="2">
        <f t="shared" ref="Z2:Z65" si="0">_xlfn.MINIFS(Y2:Y633,G2:G633,G2)</f>
        <v>44927</v>
      </c>
      <c r="AA2">
        <f>(YEAR(Table1_1[[#This Row],[OrderMonth]])-YEAR(Table1_1[[#This Row],[Firstmonth]]))*12+(MONTH(Table1_1[[#This Row],[OrderMonth]])-MONTH(Table1_1[[#This Row],[Firstmonth]]))</f>
        <v>28</v>
      </c>
    </row>
    <row r="3" spans="1:27" x14ac:dyDescent="0.25">
      <c r="A3" s="11" t="s">
        <v>487</v>
      </c>
      <c r="B3" s="2">
        <v>44999</v>
      </c>
      <c r="C3" s="2">
        <v>45003</v>
      </c>
      <c r="D3" s="11" t="s">
        <v>1413</v>
      </c>
      <c r="E3">
        <v>4</v>
      </c>
      <c r="F3" s="11" t="s">
        <v>1464</v>
      </c>
      <c r="G3" s="11" t="s">
        <v>1455</v>
      </c>
      <c r="H3" s="11" t="s">
        <v>1467</v>
      </c>
      <c r="I3" s="11" t="s">
        <v>647</v>
      </c>
      <c r="J3" s="11" t="s">
        <v>652</v>
      </c>
      <c r="K3" s="11" t="s">
        <v>668</v>
      </c>
      <c r="L3" s="11" t="s">
        <v>1151</v>
      </c>
      <c r="M3" s="10">
        <v>31</v>
      </c>
      <c r="N3">
        <v>472.33</v>
      </c>
      <c r="O3" s="3">
        <v>360.34</v>
      </c>
      <c r="P3" s="11" t="s">
        <v>1468</v>
      </c>
      <c r="Q3" s="4">
        <v>0.16500000000000001</v>
      </c>
      <c r="R3" s="3">
        <v>9327.4008999999987</v>
      </c>
      <c r="S3" s="3">
        <v>14642.23</v>
      </c>
      <c r="T3" s="4">
        <v>-0.56980815523861605</v>
      </c>
      <c r="U3" s="11" t="s">
        <v>661</v>
      </c>
      <c r="V3" s="3">
        <v>-5314.8291000000008</v>
      </c>
      <c r="W3" s="11" t="s">
        <v>1432</v>
      </c>
      <c r="X3" t="str">
        <f>TEXT(Table1_1[[#This Row],[OrderDate]],"mm yyyy")</f>
        <v>03 2023</v>
      </c>
      <c r="Y3" s="13">
        <f>DATE(YEAR(Table1_1[[#This Row],[OrderDate]]),MONTH(B3),1)</f>
        <v>44986</v>
      </c>
      <c r="Z3" s="2">
        <f t="shared" si="0"/>
        <v>44927</v>
      </c>
      <c r="AA3">
        <f>(YEAR(Table1_1[[#This Row],[OrderMonth]])-YEAR(Table1_1[[#This Row],[Firstmonth]]))*12+(MONTH(Table1_1[[#This Row],[OrderMonth]])-MONTH(Table1_1[[#This Row],[Firstmonth]]))</f>
        <v>2</v>
      </c>
    </row>
    <row r="4" spans="1:27" x14ac:dyDescent="0.25">
      <c r="A4" s="11" t="s">
        <v>302</v>
      </c>
      <c r="B4" s="2">
        <v>45220</v>
      </c>
      <c r="C4" s="2">
        <v>45239</v>
      </c>
      <c r="D4" s="11" t="s">
        <v>1413</v>
      </c>
      <c r="E4">
        <v>19</v>
      </c>
      <c r="F4" s="11" t="s">
        <v>1464</v>
      </c>
      <c r="G4" s="11" t="s">
        <v>1469</v>
      </c>
      <c r="H4" s="11" t="s">
        <v>1470</v>
      </c>
      <c r="I4" s="11" t="s">
        <v>644</v>
      </c>
      <c r="J4" s="11" t="s">
        <v>652</v>
      </c>
      <c r="K4" s="11" t="s">
        <v>674</v>
      </c>
      <c r="L4" s="11" t="s">
        <v>967</v>
      </c>
      <c r="M4" s="10">
        <v>12</v>
      </c>
      <c r="N4">
        <v>1142.48</v>
      </c>
      <c r="O4" s="3">
        <v>2105.5300000000002</v>
      </c>
      <c r="P4" s="11" t="s">
        <v>1471</v>
      </c>
      <c r="Q4" s="4">
        <v>0.20699999999999999</v>
      </c>
      <c r="R4" s="3">
        <v>20036.223480000001</v>
      </c>
      <c r="S4" s="3">
        <v>13709.76</v>
      </c>
      <c r="T4" s="4">
        <v>0.31575129346680703</v>
      </c>
      <c r="U4" s="11" t="s">
        <v>661</v>
      </c>
      <c r="V4" s="3">
        <v>6326.4634800000003</v>
      </c>
      <c r="W4" s="11" t="s">
        <v>1439</v>
      </c>
      <c r="X4" t="str">
        <f>TEXT(Table1_1[[#This Row],[OrderDate]],"mm yyyy")</f>
        <v>10 2023</v>
      </c>
      <c r="Y4" s="13">
        <f>DATE(YEAR(Table1_1[[#This Row],[OrderDate]]),MONTH(B4),1)</f>
        <v>45200</v>
      </c>
      <c r="Z4" s="2">
        <f t="shared" si="0"/>
        <v>44927</v>
      </c>
      <c r="AA4">
        <f>(YEAR(Table1_1[[#This Row],[OrderMonth]])-YEAR(Table1_1[[#This Row],[Firstmonth]]))*12+(MONTH(Table1_1[[#This Row],[OrderMonth]])-MONTH(Table1_1[[#This Row],[Firstmonth]]))</f>
        <v>9</v>
      </c>
    </row>
    <row r="5" spans="1:27" x14ac:dyDescent="0.25">
      <c r="A5" s="11" t="s">
        <v>313</v>
      </c>
      <c r="B5" s="2">
        <v>45830</v>
      </c>
      <c r="C5" s="2">
        <v>45846</v>
      </c>
      <c r="D5" s="11" t="s">
        <v>1413</v>
      </c>
      <c r="E5">
        <v>16</v>
      </c>
      <c r="F5" s="11" t="s">
        <v>1464</v>
      </c>
      <c r="G5" s="11" t="s">
        <v>1469</v>
      </c>
      <c r="H5" s="11" t="s">
        <v>1470</v>
      </c>
      <c r="I5" s="11" t="s">
        <v>643</v>
      </c>
      <c r="J5" s="11" t="s">
        <v>652</v>
      </c>
      <c r="K5" s="11" t="s">
        <v>671</v>
      </c>
      <c r="L5" s="11" t="s">
        <v>978</v>
      </c>
      <c r="M5" s="10">
        <v>22</v>
      </c>
      <c r="N5">
        <v>892.73</v>
      </c>
      <c r="O5" s="3">
        <v>979.84</v>
      </c>
      <c r="P5" s="11" t="s">
        <v>1466</v>
      </c>
      <c r="Q5" s="4">
        <v>0.17399999999999999</v>
      </c>
      <c r="R5" s="3">
        <v>17805.652480000001</v>
      </c>
      <c r="S5" s="3">
        <v>19640.060000000001</v>
      </c>
      <c r="T5" s="4">
        <v>-0.10302388649112799</v>
      </c>
      <c r="U5" s="11" t="s">
        <v>661</v>
      </c>
      <c r="V5" s="3">
        <v>-1834.4075200000007</v>
      </c>
      <c r="W5" s="11" t="s">
        <v>1431</v>
      </c>
      <c r="X5" t="str">
        <f>TEXT(Table1_1[[#This Row],[OrderDate]],"mm yyyy")</f>
        <v>06 2025</v>
      </c>
      <c r="Y5" s="13">
        <f>DATE(YEAR(Table1_1[[#This Row],[OrderDate]]),MONTH(B5),1)</f>
        <v>45809</v>
      </c>
      <c r="Z5" s="2">
        <f t="shared" si="0"/>
        <v>44927</v>
      </c>
      <c r="AA5">
        <f>(YEAR(Table1_1[[#This Row],[OrderMonth]])-YEAR(Table1_1[[#This Row],[Firstmonth]]))*12+(MONTH(Table1_1[[#This Row],[OrderMonth]])-MONTH(Table1_1[[#This Row],[Firstmonth]]))</f>
        <v>29</v>
      </c>
    </row>
    <row r="6" spans="1:27" x14ac:dyDescent="0.25">
      <c r="A6" s="11" t="s">
        <v>279</v>
      </c>
      <c r="B6" s="2">
        <v>45301</v>
      </c>
      <c r="C6" s="2">
        <v>45314</v>
      </c>
      <c r="D6" s="11" t="s">
        <v>1413</v>
      </c>
      <c r="E6">
        <v>13</v>
      </c>
      <c r="F6" s="11" t="s">
        <v>1464</v>
      </c>
      <c r="G6" s="11" t="s">
        <v>1456</v>
      </c>
      <c r="H6" s="11" t="s">
        <v>1472</v>
      </c>
      <c r="I6" s="11" t="s">
        <v>642</v>
      </c>
      <c r="J6" s="11" t="s">
        <v>652</v>
      </c>
      <c r="K6" s="11" t="s">
        <v>669</v>
      </c>
      <c r="L6" s="11" t="s">
        <v>944</v>
      </c>
      <c r="M6" s="10">
        <v>15</v>
      </c>
      <c r="N6">
        <v>720</v>
      </c>
      <c r="O6" s="3">
        <v>907.59</v>
      </c>
      <c r="P6" s="11" t="s">
        <v>1466</v>
      </c>
      <c r="Q6" s="4">
        <v>0.154</v>
      </c>
      <c r="R6" s="3">
        <v>11517.3171</v>
      </c>
      <c r="S6" s="3">
        <v>10800</v>
      </c>
      <c r="T6" s="4">
        <v>6.2281614179052203E-2</v>
      </c>
      <c r="U6" s="11" t="s">
        <v>661</v>
      </c>
      <c r="V6" s="3">
        <v>717.31710000000021</v>
      </c>
      <c r="W6" s="11" t="s">
        <v>1433</v>
      </c>
      <c r="X6" t="str">
        <f>TEXT(Table1_1[[#This Row],[OrderDate]],"mm yyyy")</f>
        <v>01 2024</v>
      </c>
      <c r="Y6" s="13">
        <f>DATE(YEAR(Table1_1[[#This Row],[OrderDate]]),MONTH(B6),1)</f>
        <v>45292</v>
      </c>
      <c r="Z6" s="2">
        <f t="shared" si="0"/>
        <v>44927</v>
      </c>
      <c r="AA6">
        <f>(YEAR(Table1_1[[#This Row],[OrderMonth]])-YEAR(Table1_1[[#This Row],[Firstmonth]]))*12+(MONTH(Table1_1[[#This Row],[OrderMonth]])-MONTH(Table1_1[[#This Row],[Firstmonth]]))</f>
        <v>12</v>
      </c>
    </row>
    <row r="7" spans="1:27" x14ac:dyDescent="0.25">
      <c r="A7" s="11" t="s">
        <v>557</v>
      </c>
      <c r="B7" s="2">
        <v>45177</v>
      </c>
      <c r="C7" s="2">
        <v>45201</v>
      </c>
      <c r="D7" s="11" t="s">
        <v>1413</v>
      </c>
      <c r="E7">
        <v>24</v>
      </c>
      <c r="F7" s="11" t="s">
        <v>1473</v>
      </c>
      <c r="G7" s="11" t="s">
        <v>1452</v>
      </c>
      <c r="H7" s="11" t="s">
        <v>1474</v>
      </c>
      <c r="I7" s="11" t="s">
        <v>643</v>
      </c>
      <c r="J7" s="11" t="s">
        <v>652</v>
      </c>
      <c r="K7" s="11" t="s">
        <v>674</v>
      </c>
      <c r="L7" s="11" t="s">
        <v>1220</v>
      </c>
      <c r="M7" s="10">
        <v>7</v>
      </c>
      <c r="N7">
        <v>1299.03</v>
      </c>
      <c r="O7" s="3">
        <v>2451.2199999999998</v>
      </c>
      <c r="P7" s="11" t="s">
        <v>1471</v>
      </c>
      <c r="Q7" s="4">
        <v>0.20799999999999999</v>
      </c>
      <c r="R7" s="3">
        <v>13589.563679999999</v>
      </c>
      <c r="S7" s="3">
        <v>9093.2099999999991</v>
      </c>
      <c r="T7" s="4">
        <v>0.33086814160320399</v>
      </c>
      <c r="U7" s="11" t="s">
        <v>661</v>
      </c>
      <c r="V7" s="3">
        <v>4496.3536800000002</v>
      </c>
      <c r="W7" s="11" t="s">
        <v>1430</v>
      </c>
      <c r="X7" t="str">
        <f>TEXT(Table1_1[[#This Row],[OrderDate]],"mm yyyy")</f>
        <v>09 2023</v>
      </c>
      <c r="Y7" s="13">
        <f>DATE(YEAR(Table1_1[[#This Row],[OrderDate]]),MONTH(B7),1)</f>
        <v>45170</v>
      </c>
      <c r="Z7" s="2">
        <f t="shared" si="0"/>
        <v>44927</v>
      </c>
      <c r="AA7">
        <f>(YEAR(Table1_1[[#This Row],[OrderMonth]])-YEAR(Table1_1[[#This Row],[Firstmonth]]))*12+(MONTH(Table1_1[[#This Row],[OrderMonth]])-MONTH(Table1_1[[#This Row],[Firstmonth]]))</f>
        <v>8</v>
      </c>
    </row>
    <row r="8" spans="1:27" x14ac:dyDescent="0.25">
      <c r="A8" s="11" t="s">
        <v>583</v>
      </c>
      <c r="B8" s="2">
        <v>45293</v>
      </c>
      <c r="C8" s="2">
        <v>45293</v>
      </c>
      <c r="D8" s="11" t="s">
        <v>1413</v>
      </c>
      <c r="E8">
        <v>0</v>
      </c>
      <c r="F8" s="11" t="s">
        <v>1473</v>
      </c>
      <c r="G8" s="11" t="s">
        <v>1452</v>
      </c>
      <c r="H8" s="11" t="s">
        <v>1475</v>
      </c>
      <c r="I8" s="11" t="s">
        <v>643</v>
      </c>
      <c r="J8" s="11" t="s">
        <v>652</v>
      </c>
      <c r="K8" s="11" t="s">
        <v>672</v>
      </c>
      <c r="L8" s="11" t="s">
        <v>1246</v>
      </c>
      <c r="M8" s="10">
        <v>4</v>
      </c>
      <c r="N8">
        <v>444.41</v>
      </c>
      <c r="O8" s="3">
        <v>754.24</v>
      </c>
      <c r="P8" s="11" t="s">
        <v>1468</v>
      </c>
      <c r="Q8" s="4">
        <v>0.20699999999999999</v>
      </c>
      <c r="R8" s="3">
        <v>2392.4492800000003</v>
      </c>
      <c r="S8" s="3">
        <v>1777.64</v>
      </c>
      <c r="T8" s="4">
        <v>0.25697902360546598</v>
      </c>
      <c r="U8" s="11" t="s">
        <v>661</v>
      </c>
      <c r="V8" s="3">
        <v>614.80928000000017</v>
      </c>
      <c r="W8" s="11" t="s">
        <v>1433</v>
      </c>
      <c r="X8" t="str">
        <f>TEXT(Table1_1[[#This Row],[OrderDate]],"mm yyyy")</f>
        <v>01 2024</v>
      </c>
      <c r="Y8" s="13">
        <f>DATE(YEAR(Table1_1[[#This Row],[OrderDate]]),MONTH(B8),1)</f>
        <v>45292</v>
      </c>
      <c r="Z8" s="2">
        <f t="shared" si="0"/>
        <v>44927</v>
      </c>
      <c r="AA8">
        <f>(YEAR(Table1_1[[#This Row],[OrderMonth]])-YEAR(Table1_1[[#This Row],[Firstmonth]]))*12+(MONTH(Table1_1[[#This Row],[OrderMonth]])-MONTH(Table1_1[[#This Row],[Firstmonth]]))</f>
        <v>12</v>
      </c>
    </row>
    <row r="9" spans="1:27" x14ac:dyDescent="0.25">
      <c r="A9" s="11" t="s">
        <v>192</v>
      </c>
      <c r="B9" s="2">
        <v>45568</v>
      </c>
      <c r="C9" s="2">
        <v>45576</v>
      </c>
      <c r="D9" s="11" t="s">
        <v>1413</v>
      </c>
      <c r="E9">
        <v>8</v>
      </c>
      <c r="F9" s="11" t="s">
        <v>1476</v>
      </c>
      <c r="G9" s="11" t="s">
        <v>1457</v>
      </c>
      <c r="H9" s="11" t="s">
        <v>1477</v>
      </c>
      <c r="I9" s="11" t="s">
        <v>647</v>
      </c>
      <c r="J9" s="11" t="s">
        <v>652</v>
      </c>
      <c r="K9" s="11" t="s">
        <v>671</v>
      </c>
      <c r="L9" s="11" t="s">
        <v>856</v>
      </c>
      <c r="M9" s="10">
        <v>18</v>
      </c>
      <c r="N9">
        <v>1132.6099999999999</v>
      </c>
      <c r="O9" s="3">
        <v>2206.63</v>
      </c>
      <c r="P9" s="11" t="s">
        <v>1471</v>
      </c>
      <c r="Q9" s="4">
        <v>6.3E-2</v>
      </c>
      <c r="R9" s="3">
        <v>37217.021580000008</v>
      </c>
      <c r="S9" s="3">
        <v>20386.98</v>
      </c>
      <c r="T9" s="4">
        <v>0.452213553516713</v>
      </c>
      <c r="U9" s="11" t="s">
        <v>658</v>
      </c>
      <c r="V9" s="3">
        <v>16830.041580000008</v>
      </c>
      <c r="W9" s="11" t="s">
        <v>1440</v>
      </c>
      <c r="X9" t="str">
        <f>TEXT(Table1_1[[#This Row],[OrderDate]],"mm yyyy")</f>
        <v>10 2024</v>
      </c>
      <c r="Y9" s="13">
        <f>DATE(YEAR(Table1_1[[#This Row],[OrderDate]]),MONTH(B9),1)</f>
        <v>45566</v>
      </c>
      <c r="Z9" s="2">
        <f t="shared" si="0"/>
        <v>44927</v>
      </c>
      <c r="AA9">
        <f>(YEAR(Table1_1[[#This Row],[OrderMonth]])-YEAR(Table1_1[[#This Row],[Firstmonth]]))*12+(MONTH(Table1_1[[#This Row],[OrderMonth]])-MONTH(Table1_1[[#This Row],[Firstmonth]]))</f>
        <v>21</v>
      </c>
    </row>
    <row r="10" spans="1:27" x14ac:dyDescent="0.25">
      <c r="A10" s="11" t="s">
        <v>155</v>
      </c>
      <c r="B10" s="2">
        <v>45112</v>
      </c>
      <c r="C10" s="2">
        <v>45121</v>
      </c>
      <c r="D10" s="11" t="s">
        <v>1413</v>
      </c>
      <c r="E10">
        <v>9</v>
      </c>
      <c r="F10" s="11" t="s">
        <v>1473</v>
      </c>
      <c r="G10" s="11" t="s">
        <v>1454</v>
      </c>
      <c r="H10" s="11" t="s">
        <v>1478</v>
      </c>
      <c r="I10" s="11" t="s">
        <v>647</v>
      </c>
      <c r="J10" s="11" t="s">
        <v>652</v>
      </c>
      <c r="K10" s="11" t="s">
        <v>670</v>
      </c>
      <c r="L10" s="11" t="s">
        <v>819</v>
      </c>
      <c r="M10" s="10">
        <v>6</v>
      </c>
      <c r="N10">
        <v>578.85</v>
      </c>
      <c r="O10" s="3">
        <v>998.76</v>
      </c>
      <c r="P10" s="11" t="s">
        <v>1466</v>
      </c>
      <c r="Q10" s="4">
        <v>8.2000000000000003E-2</v>
      </c>
      <c r="R10" s="3">
        <v>5501.1700799999999</v>
      </c>
      <c r="S10" s="3">
        <v>3473.1000000000004</v>
      </c>
      <c r="T10" s="4">
        <v>0.36866158480960798</v>
      </c>
      <c r="U10" s="11" t="s">
        <v>658</v>
      </c>
      <c r="V10" s="3">
        <v>2028.0700799999995</v>
      </c>
      <c r="W10" s="11" t="s">
        <v>1430</v>
      </c>
      <c r="X10" t="str">
        <f>TEXT(Table1_1[[#This Row],[OrderDate]],"mm yyyy")</f>
        <v>07 2023</v>
      </c>
      <c r="Y10" s="13">
        <f>DATE(YEAR(Table1_1[[#This Row],[OrderDate]]),MONTH(B10),1)</f>
        <v>45108</v>
      </c>
      <c r="Z10" s="2">
        <f t="shared" si="0"/>
        <v>44927</v>
      </c>
      <c r="AA10">
        <f>(YEAR(Table1_1[[#This Row],[OrderMonth]])-YEAR(Table1_1[[#This Row],[Firstmonth]]))*12+(MONTH(Table1_1[[#This Row],[OrderMonth]])-MONTH(Table1_1[[#This Row],[Firstmonth]]))</f>
        <v>6</v>
      </c>
    </row>
    <row r="11" spans="1:27" x14ac:dyDescent="0.25">
      <c r="A11" s="11" t="s">
        <v>86</v>
      </c>
      <c r="B11" s="2">
        <v>45187</v>
      </c>
      <c r="C11" s="2">
        <v>45207</v>
      </c>
      <c r="D11" s="11" t="s">
        <v>1413</v>
      </c>
      <c r="E11">
        <v>20</v>
      </c>
      <c r="F11" s="11" t="s">
        <v>1476</v>
      </c>
      <c r="G11" s="11" t="s">
        <v>1453</v>
      </c>
      <c r="H11" s="11" t="s">
        <v>1479</v>
      </c>
      <c r="I11" s="11" t="s">
        <v>646</v>
      </c>
      <c r="J11" s="11" t="s">
        <v>652</v>
      </c>
      <c r="K11" s="11" t="s">
        <v>668</v>
      </c>
      <c r="L11" s="11" t="s">
        <v>750</v>
      </c>
      <c r="M11" s="10">
        <v>31</v>
      </c>
      <c r="N11">
        <v>825.64</v>
      </c>
      <c r="O11" s="3">
        <v>1108.43</v>
      </c>
      <c r="P11" s="11" t="s">
        <v>1466</v>
      </c>
      <c r="Q11" s="4">
        <v>0.114</v>
      </c>
      <c r="R11" s="3">
        <v>30444.13838</v>
      </c>
      <c r="S11" s="3">
        <v>25594.84</v>
      </c>
      <c r="T11" s="4">
        <v>0.15928512475773299</v>
      </c>
      <c r="U11" s="11" t="s">
        <v>658</v>
      </c>
      <c r="V11" s="3">
        <v>4849.2983800000002</v>
      </c>
      <c r="W11" s="11" t="s">
        <v>1430</v>
      </c>
      <c r="X11" t="str">
        <f>TEXT(Table1_1[[#This Row],[OrderDate]],"mm yyyy")</f>
        <v>09 2023</v>
      </c>
      <c r="Y11" s="13">
        <f>DATE(YEAR(Table1_1[[#This Row],[OrderDate]]),MONTH(B11),1)</f>
        <v>45170</v>
      </c>
      <c r="Z11" s="2">
        <f t="shared" si="0"/>
        <v>44927</v>
      </c>
      <c r="AA11">
        <f>(YEAR(Table1_1[[#This Row],[OrderMonth]])-YEAR(Table1_1[[#This Row],[Firstmonth]]))*12+(MONTH(Table1_1[[#This Row],[OrderMonth]])-MONTH(Table1_1[[#This Row],[Firstmonth]]))</f>
        <v>8</v>
      </c>
    </row>
    <row r="12" spans="1:27" x14ac:dyDescent="0.25">
      <c r="A12" s="11" t="s">
        <v>168</v>
      </c>
      <c r="B12" s="2">
        <v>45531</v>
      </c>
      <c r="C12" s="2">
        <v>45553</v>
      </c>
      <c r="D12" s="11" t="s">
        <v>1413</v>
      </c>
      <c r="E12">
        <v>22</v>
      </c>
      <c r="F12" s="11" t="s">
        <v>1476</v>
      </c>
      <c r="G12" s="11" t="s">
        <v>1453</v>
      </c>
      <c r="H12" s="11" t="s">
        <v>1479</v>
      </c>
      <c r="I12" s="11" t="s">
        <v>645</v>
      </c>
      <c r="J12" s="11" t="s">
        <v>652</v>
      </c>
      <c r="K12" s="11" t="s">
        <v>668</v>
      </c>
      <c r="L12" s="11" t="s">
        <v>832</v>
      </c>
      <c r="M12" s="10">
        <v>23</v>
      </c>
      <c r="N12">
        <v>896.75</v>
      </c>
      <c r="O12" s="3">
        <v>1651.14</v>
      </c>
      <c r="P12" s="11" t="s">
        <v>1471</v>
      </c>
      <c r="Q12" s="4">
        <v>2.5000000000000001E-2</v>
      </c>
      <c r="R12" s="3">
        <v>37026.8145</v>
      </c>
      <c r="S12" s="3">
        <v>20625.25</v>
      </c>
      <c r="T12" s="4">
        <v>0.44296450346815602</v>
      </c>
      <c r="U12" s="11" t="s">
        <v>658</v>
      </c>
      <c r="V12" s="3">
        <v>16401.5645</v>
      </c>
      <c r="W12" s="11" t="s">
        <v>1437</v>
      </c>
      <c r="X12" t="str">
        <f>TEXT(Table1_1[[#This Row],[OrderDate]],"mm yyyy")</f>
        <v>08 2024</v>
      </c>
      <c r="Y12" s="13">
        <f>DATE(YEAR(Table1_1[[#This Row],[OrderDate]]),MONTH(B12),1)</f>
        <v>45505</v>
      </c>
      <c r="Z12" s="2">
        <f t="shared" si="0"/>
        <v>44927</v>
      </c>
      <c r="AA12">
        <f>(YEAR(Table1_1[[#This Row],[OrderMonth]])-YEAR(Table1_1[[#This Row],[Firstmonth]]))*12+(MONTH(Table1_1[[#This Row],[OrderMonth]])-MONTH(Table1_1[[#This Row],[Firstmonth]]))</f>
        <v>19</v>
      </c>
    </row>
    <row r="13" spans="1:27" x14ac:dyDescent="0.25">
      <c r="A13" s="11" t="s">
        <v>294</v>
      </c>
      <c r="B13" s="2">
        <v>45304</v>
      </c>
      <c r="C13" s="2">
        <v>45327</v>
      </c>
      <c r="D13" s="11" t="s">
        <v>1413</v>
      </c>
      <c r="E13">
        <v>23</v>
      </c>
      <c r="F13" s="11" t="s">
        <v>1464</v>
      </c>
      <c r="G13" s="11" t="s">
        <v>1455</v>
      </c>
      <c r="H13" s="11" t="s">
        <v>1467</v>
      </c>
      <c r="I13" s="11" t="s">
        <v>643</v>
      </c>
      <c r="J13" s="11" t="s">
        <v>652</v>
      </c>
      <c r="K13" s="11" t="s">
        <v>672</v>
      </c>
      <c r="L13" s="11" t="s">
        <v>959</v>
      </c>
      <c r="M13" s="10">
        <v>20</v>
      </c>
      <c r="N13">
        <v>1017.93</v>
      </c>
      <c r="O13" s="3">
        <v>1529.14</v>
      </c>
      <c r="P13" s="11" t="s">
        <v>1466</v>
      </c>
      <c r="Q13" s="4">
        <v>0.155</v>
      </c>
      <c r="R13" s="3">
        <v>25842.466</v>
      </c>
      <c r="S13" s="3">
        <v>20358.599999999999</v>
      </c>
      <c r="T13" s="4">
        <v>0.21220366508366501</v>
      </c>
      <c r="U13" s="11" t="s">
        <v>658</v>
      </c>
      <c r="V13" s="3">
        <v>5483.8660000000018</v>
      </c>
      <c r="W13" s="11" t="s">
        <v>1433</v>
      </c>
      <c r="X13" t="str">
        <f>TEXT(Table1_1[[#This Row],[OrderDate]],"mm yyyy")</f>
        <v>01 2024</v>
      </c>
      <c r="Y13" s="13">
        <f>DATE(YEAR(Table1_1[[#This Row],[OrderDate]]),MONTH(B13),1)</f>
        <v>45292</v>
      </c>
      <c r="Z13" s="2">
        <f t="shared" si="0"/>
        <v>44927</v>
      </c>
      <c r="AA13">
        <f>(YEAR(Table1_1[[#This Row],[OrderMonth]])-YEAR(Table1_1[[#This Row],[Firstmonth]]))*12+(MONTH(Table1_1[[#This Row],[OrderMonth]])-MONTH(Table1_1[[#This Row],[Firstmonth]]))</f>
        <v>12</v>
      </c>
    </row>
    <row r="14" spans="1:27" x14ac:dyDescent="0.25">
      <c r="A14" s="11" t="s">
        <v>336</v>
      </c>
      <c r="B14" s="2">
        <v>45303</v>
      </c>
      <c r="C14" s="2">
        <v>45320</v>
      </c>
      <c r="D14" s="11" t="s">
        <v>1413</v>
      </c>
      <c r="E14">
        <v>17</v>
      </c>
      <c r="F14" s="11" t="s">
        <v>1476</v>
      </c>
      <c r="G14" s="11" t="s">
        <v>1453</v>
      </c>
      <c r="H14" s="11" t="s">
        <v>1480</v>
      </c>
      <c r="I14" s="11" t="s">
        <v>646</v>
      </c>
      <c r="J14" s="11" t="s">
        <v>652</v>
      </c>
      <c r="K14" s="11" t="s">
        <v>668</v>
      </c>
      <c r="L14" s="11" t="s">
        <v>1001</v>
      </c>
      <c r="M14" s="10">
        <v>10</v>
      </c>
      <c r="N14">
        <v>310.02</v>
      </c>
      <c r="O14" s="3">
        <v>619.51</v>
      </c>
      <c r="P14" s="11" t="s">
        <v>1468</v>
      </c>
      <c r="Q14" s="4">
        <v>4.2000000000000003E-2</v>
      </c>
      <c r="R14" s="3">
        <v>5934.9058000000005</v>
      </c>
      <c r="S14" s="3">
        <v>3100.2</v>
      </c>
      <c r="T14" s="4">
        <v>0.47763282106347799</v>
      </c>
      <c r="U14" s="11" t="s">
        <v>658</v>
      </c>
      <c r="V14" s="3">
        <v>2834.7058000000006</v>
      </c>
      <c r="W14" s="11" t="s">
        <v>1433</v>
      </c>
      <c r="X14" t="str">
        <f>TEXT(Table1_1[[#This Row],[OrderDate]],"mm yyyy")</f>
        <v>01 2024</v>
      </c>
      <c r="Y14" s="13">
        <f>DATE(YEAR(Table1_1[[#This Row],[OrderDate]]),MONTH(B14),1)</f>
        <v>45292</v>
      </c>
      <c r="Z14" s="2">
        <f t="shared" si="0"/>
        <v>44927</v>
      </c>
      <c r="AA14">
        <f>(YEAR(Table1_1[[#This Row],[OrderMonth]])-YEAR(Table1_1[[#This Row],[Firstmonth]]))*12+(MONTH(Table1_1[[#This Row],[OrderMonth]])-MONTH(Table1_1[[#This Row],[Firstmonth]]))</f>
        <v>12</v>
      </c>
    </row>
    <row r="15" spans="1:27" x14ac:dyDescent="0.25">
      <c r="A15" s="11" t="s">
        <v>159</v>
      </c>
      <c r="B15" s="2">
        <v>45183</v>
      </c>
      <c r="C15" s="2">
        <v>45185</v>
      </c>
      <c r="D15" s="11" t="s">
        <v>1413</v>
      </c>
      <c r="E15">
        <v>2</v>
      </c>
      <c r="F15" s="11" t="s">
        <v>1464</v>
      </c>
      <c r="G15" s="11" t="s">
        <v>1456</v>
      </c>
      <c r="H15" s="11" t="s">
        <v>1481</v>
      </c>
      <c r="I15" s="11" t="s">
        <v>644</v>
      </c>
      <c r="J15" s="11" t="s">
        <v>652</v>
      </c>
      <c r="K15" s="11" t="s">
        <v>669</v>
      </c>
      <c r="L15" s="11" t="s">
        <v>823</v>
      </c>
      <c r="M15" s="10">
        <v>15</v>
      </c>
      <c r="N15">
        <v>376.83</v>
      </c>
      <c r="O15" s="3">
        <v>732.88</v>
      </c>
      <c r="P15" s="11" t="s">
        <v>1468</v>
      </c>
      <c r="Q15" s="4">
        <v>0.188</v>
      </c>
      <c r="R15" s="3">
        <v>8926.4784000000018</v>
      </c>
      <c r="S15" s="3">
        <v>5652.45</v>
      </c>
      <c r="T15" s="4">
        <v>0.36677716040852099</v>
      </c>
      <c r="U15" s="11" t="s">
        <v>658</v>
      </c>
      <c r="V15" s="3">
        <v>3274.028400000002</v>
      </c>
      <c r="W15" s="11" t="s">
        <v>1430</v>
      </c>
      <c r="X15" t="str">
        <f>TEXT(Table1_1[[#This Row],[OrderDate]],"mm yyyy")</f>
        <v>09 2023</v>
      </c>
      <c r="Y15" s="13">
        <f>DATE(YEAR(Table1_1[[#This Row],[OrderDate]]),MONTH(B15),1)</f>
        <v>45170</v>
      </c>
      <c r="Z15" s="2">
        <f t="shared" si="0"/>
        <v>44927</v>
      </c>
      <c r="AA15">
        <f>(YEAR(Table1_1[[#This Row],[OrderMonth]])-YEAR(Table1_1[[#This Row],[Firstmonth]]))*12+(MONTH(Table1_1[[#This Row],[OrderMonth]])-MONTH(Table1_1[[#This Row],[Firstmonth]]))</f>
        <v>8</v>
      </c>
    </row>
    <row r="16" spans="1:27" x14ac:dyDescent="0.25">
      <c r="A16" s="11" t="s">
        <v>481</v>
      </c>
      <c r="B16" s="2">
        <v>45167</v>
      </c>
      <c r="C16" s="2">
        <v>45188</v>
      </c>
      <c r="D16" s="11" t="s">
        <v>1413</v>
      </c>
      <c r="E16">
        <v>21</v>
      </c>
      <c r="F16" s="11" t="s">
        <v>1464</v>
      </c>
      <c r="G16" s="11" t="s">
        <v>1456</v>
      </c>
      <c r="H16" s="11" t="s">
        <v>1481</v>
      </c>
      <c r="I16" s="11" t="s">
        <v>646</v>
      </c>
      <c r="J16" s="11" t="s">
        <v>652</v>
      </c>
      <c r="K16" s="11" t="s">
        <v>669</v>
      </c>
      <c r="L16" s="11" t="s">
        <v>1145</v>
      </c>
      <c r="M16" s="10">
        <v>12</v>
      </c>
      <c r="N16">
        <v>784.46</v>
      </c>
      <c r="O16" s="3">
        <v>1843.51</v>
      </c>
      <c r="P16" s="11" t="s">
        <v>1471</v>
      </c>
      <c r="Q16" s="4">
        <v>0.13800000000000001</v>
      </c>
      <c r="R16" s="3">
        <v>19069.26744</v>
      </c>
      <c r="S16" s="3">
        <v>9413.52</v>
      </c>
      <c r="T16" s="4">
        <v>0.50635125184441798</v>
      </c>
      <c r="U16" s="11" t="s">
        <v>658</v>
      </c>
      <c r="V16" s="3">
        <v>9655.7474399999992</v>
      </c>
      <c r="W16" s="11" t="s">
        <v>1430</v>
      </c>
      <c r="X16" t="str">
        <f>TEXT(Table1_1[[#This Row],[OrderDate]],"mm yyyy")</f>
        <v>08 2023</v>
      </c>
      <c r="Y16" s="13">
        <f>DATE(YEAR(Table1_1[[#This Row],[OrderDate]]),MONTH(B16),1)</f>
        <v>45139</v>
      </c>
      <c r="Z16" s="2">
        <f t="shared" si="0"/>
        <v>44927</v>
      </c>
      <c r="AA16">
        <f>(YEAR(Table1_1[[#This Row],[OrderMonth]])-YEAR(Table1_1[[#This Row],[Firstmonth]]))*12+(MONTH(Table1_1[[#This Row],[OrderMonth]])-MONTH(Table1_1[[#This Row],[Firstmonth]]))</f>
        <v>7</v>
      </c>
    </row>
    <row r="17" spans="1:27" x14ac:dyDescent="0.25">
      <c r="A17" s="11" t="s">
        <v>320</v>
      </c>
      <c r="B17" s="2">
        <v>45655</v>
      </c>
      <c r="C17" s="2">
        <v>45669</v>
      </c>
      <c r="D17" s="11" t="s">
        <v>1413</v>
      </c>
      <c r="E17">
        <v>14</v>
      </c>
      <c r="F17" s="11" t="s">
        <v>1464</v>
      </c>
      <c r="G17" s="11" t="s">
        <v>1469</v>
      </c>
      <c r="H17" s="11" t="s">
        <v>1482</v>
      </c>
      <c r="I17" s="11" t="s">
        <v>642</v>
      </c>
      <c r="J17" s="11" t="s">
        <v>652</v>
      </c>
      <c r="K17" s="11" t="s">
        <v>673</v>
      </c>
      <c r="L17" s="11" t="s">
        <v>985</v>
      </c>
      <c r="M17" s="10">
        <v>9</v>
      </c>
      <c r="N17">
        <v>1399.72</v>
      </c>
      <c r="O17" s="3">
        <v>3149.21</v>
      </c>
      <c r="P17" s="11" t="s">
        <v>1471</v>
      </c>
      <c r="Q17" s="4">
        <v>0.185</v>
      </c>
      <c r="R17" s="3">
        <v>23099.455349999997</v>
      </c>
      <c r="S17" s="3">
        <v>12597.48</v>
      </c>
      <c r="T17" s="4">
        <v>0.45464168703873797</v>
      </c>
      <c r="U17" s="11" t="s">
        <v>658</v>
      </c>
      <c r="V17" s="3">
        <v>10501.975349999997</v>
      </c>
      <c r="W17" s="11" t="s">
        <v>1440</v>
      </c>
      <c r="X17" t="str">
        <f>TEXT(Table1_1[[#This Row],[OrderDate]],"mm yyyy")</f>
        <v>12 2024</v>
      </c>
      <c r="Y17" s="13">
        <f>DATE(YEAR(Table1_1[[#This Row],[OrderDate]]),MONTH(B17),1)</f>
        <v>45627</v>
      </c>
      <c r="Z17" s="2">
        <f t="shared" si="0"/>
        <v>44927</v>
      </c>
      <c r="AA17">
        <f>(YEAR(Table1_1[[#This Row],[OrderMonth]])-YEAR(Table1_1[[#This Row],[Firstmonth]]))*12+(MONTH(Table1_1[[#This Row],[OrderMonth]])-MONTH(Table1_1[[#This Row],[Firstmonth]]))</f>
        <v>23</v>
      </c>
    </row>
    <row r="18" spans="1:27" x14ac:dyDescent="0.25">
      <c r="A18" s="11" t="s">
        <v>489</v>
      </c>
      <c r="B18" s="2">
        <v>45032</v>
      </c>
      <c r="C18" s="2">
        <v>45035</v>
      </c>
      <c r="D18" s="11" t="s">
        <v>1413</v>
      </c>
      <c r="E18">
        <v>3</v>
      </c>
      <c r="F18" s="11" t="s">
        <v>1464</v>
      </c>
      <c r="G18" s="11" t="s">
        <v>1455</v>
      </c>
      <c r="H18" s="11" t="s">
        <v>1483</v>
      </c>
      <c r="I18" s="11" t="s">
        <v>642</v>
      </c>
      <c r="J18" s="11" t="s">
        <v>652</v>
      </c>
      <c r="K18" s="11" t="s">
        <v>674</v>
      </c>
      <c r="L18" s="11" t="s">
        <v>1153</v>
      </c>
      <c r="M18" s="10">
        <v>28</v>
      </c>
      <c r="N18">
        <v>553.61</v>
      </c>
      <c r="O18" s="3">
        <v>699.47</v>
      </c>
      <c r="P18" s="11" t="s">
        <v>1468</v>
      </c>
      <c r="Q18" s="4">
        <v>0.02</v>
      </c>
      <c r="R18" s="3">
        <v>19193.4568</v>
      </c>
      <c r="S18" s="3">
        <v>15501.08</v>
      </c>
      <c r="T18" s="4">
        <v>0.19237685209472</v>
      </c>
      <c r="U18" s="11" t="s">
        <v>658</v>
      </c>
      <c r="V18" s="3">
        <v>3692.3768</v>
      </c>
      <c r="W18" s="11" t="s">
        <v>1435</v>
      </c>
      <c r="X18" t="str">
        <f>TEXT(Table1_1[[#This Row],[OrderDate]],"mm yyyy")</f>
        <v>04 2023</v>
      </c>
      <c r="Y18" s="13">
        <f>DATE(YEAR(Table1_1[[#This Row],[OrderDate]]),MONTH(B18),1)</f>
        <v>45017</v>
      </c>
      <c r="Z18" s="2">
        <f t="shared" si="0"/>
        <v>44927</v>
      </c>
      <c r="AA18">
        <f>(YEAR(Table1_1[[#This Row],[OrderMonth]])-YEAR(Table1_1[[#This Row],[Firstmonth]]))*12+(MONTH(Table1_1[[#This Row],[OrderMonth]])-MONTH(Table1_1[[#This Row],[Firstmonth]]))</f>
        <v>3</v>
      </c>
    </row>
    <row r="19" spans="1:27" x14ac:dyDescent="0.25">
      <c r="A19" s="11" t="s">
        <v>456</v>
      </c>
      <c r="B19" s="2">
        <v>45284</v>
      </c>
      <c r="C19" s="2">
        <v>45304</v>
      </c>
      <c r="D19" s="11" t="s">
        <v>1413</v>
      </c>
      <c r="E19">
        <v>20</v>
      </c>
      <c r="F19" s="11" t="s">
        <v>1476</v>
      </c>
      <c r="G19" s="11" t="s">
        <v>1451</v>
      </c>
      <c r="H19" s="11" t="s">
        <v>1484</v>
      </c>
      <c r="I19" s="11" t="s">
        <v>643</v>
      </c>
      <c r="J19" s="11" t="s">
        <v>652</v>
      </c>
      <c r="K19" s="11" t="s">
        <v>672</v>
      </c>
      <c r="L19" s="11" t="s">
        <v>1120</v>
      </c>
      <c r="M19" s="10">
        <v>16</v>
      </c>
      <c r="N19">
        <v>625.37</v>
      </c>
      <c r="O19" s="3">
        <v>1319.04</v>
      </c>
      <c r="P19" s="11" t="s">
        <v>1466</v>
      </c>
      <c r="Q19" s="4">
        <v>7.3999999999999996E-2</v>
      </c>
      <c r="R19" s="3">
        <v>19542.896639999999</v>
      </c>
      <c r="S19" s="3">
        <v>10005.92</v>
      </c>
      <c r="T19" s="4">
        <v>0.48800220436513603</v>
      </c>
      <c r="U19" s="11" t="s">
        <v>658</v>
      </c>
      <c r="V19" s="3">
        <v>9536.976639999999</v>
      </c>
      <c r="W19" s="11" t="s">
        <v>1439</v>
      </c>
      <c r="X19" t="str">
        <f>TEXT(Table1_1[[#This Row],[OrderDate]],"mm yyyy")</f>
        <v>12 2023</v>
      </c>
      <c r="Y19" s="13">
        <f>DATE(YEAR(Table1_1[[#This Row],[OrderDate]]),MONTH(B19),1)</f>
        <v>45261</v>
      </c>
      <c r="Z19" s="2">
        <f t="shared" si="0"/>
        <v>44986</v>
      </c>
      <c r="AA19">
        <f>(YEAR(Table1_1[[#This Row],[OrderMonth]])-YEAR(Table1_1[[#This Row],[Firstmonth]]))*12+(MONTH(Table1_1[[#This Row],[OrderMonth]])-MONTH(Table1_1[[#This Row],[Firstmonth]]))</f>
        <v>9</v>
      </c>
    </row>
    <row r="20" spans="1:27" x14ac:dyDescent="0.25">
      <c r="A20" s="11" t="s">
        <v>463</v>
      </c>
      <c r="B20" s="2">
        <v>45817</v>
      </c>
      <c r="C20" s="2">
        <v>45832</v>
      </c>
      <c r="D20" s="11" t="s">
        <v>1413</v>
      </c>
      <c r="E20">
        <v>15</v>
      </c>
      <c r="F20" s="11" t="s">
        <v>1476</v>
      </c>
      <c r="G20" s="11" t="s">
        <v>1451</v>
      </c>
      <c r="H20" s="11" t="s">
        <v>1484</v>
      </c>
      <c r="I20" s="11" t="s">
        <v>642</v>
      </c>
      <c r="J20" s="11" t="s">
        <v>652</v>
      </c>
      <c r="K20" s="11" t="s">
        <v>671</v>
      </c>
      <c r="L20" s="11" t="s">
        <v>1127</v>
      </c>
      <c r="M20" s="10">
        <v>18</v>
      </c>
      <c r="N20">
        <v>400.39</v>
      </c>
      <c r="O20" s="3">
        <v>712.75</v>
      </c>
      <c r="P20" s="11" t="s">
        <v>1468</v>
      </c>
      <c r="Q20" s="4">
        <v>0.115</v>
      </c>
      <c r="R20" s="3">
        <v>11354.1075</v>
      </c>
      <c r="S20" s="3">
        <v>7207.0199999999995</v>
      </c>
      <c r="T20" s="4">
        <v>0.36524997671547499</v>
      </c>
      <c r="U20" s="11" t="s">
        <v>658</v>
      </c>
      <c r="V20" s="3">
        <v>4147.0875000000005</v>
      </c>
      <c r="W20" s="11" t="s">
        <v>1431</v>
      </c>
      <c r="X20" t="str">
        <f>TEXT(Table1_1[[#This Row],[OrderDate]],"mm yyyy")</f>
        <v>06 2025</v>
      </c>
      <c r="Y20" s="13">
        <f>DATE(YEAR(Table1_1[[#This Row],[OrderDate]]),MONTH(B20),1)</f>
        <v>45809</v>
      </c>
      <c r="Z20" s="2">
        <f t="shared" si="0"/>
        <v>44986</v>
      </c>
      <c r="AA20">
        <f>(YEAR(Table1_1[[#This Row],[OrderMonth]])-YEAR(Table1_1[[#This Row],[Firstmonth]]))*12+(MONTH(Table1_1[[#This Row],[OrderMonth]])-MONTH(Table1_1[[#This Row],[Firstmonth]]))</f>
        <v>27</v>
      </c>
    </row>
    <row r="21" spans="1:27" x14ac:dyDescent="0.25">
      <c r="A21" s="11" t="s">
        <v>230</v>
      </c>
      <c r="B21" s="2">
        <v>45894</v>
      </c>
      <c r="C21" s="2">
        <v>45924</v>
      </c>
      <c r="D21" s="11" t="s">
        <v>1413</v>
      </c>
      <c r="E21">
        <v>30</v>
      </c>
      <c r="F21" s="11" t="s">
        <v>1485</v>
      </c>
      <c r="G21" s="11" t="s">
        <v>1449</v>
      </c>
      <c r="H21" s="11" t="s">
        <v>1486</v>
      </c>
      <c r="I21" s="11" t="s">
        <v>645</v>
      </c>
      <c r="J21" s="11" t="s">
        <v>652</v>
      </c>
      <c r="K21" s="11" t="s">
        <v>668</v>
      </c>
      <c r="L21" s="11" t="s">
        <v>895</v>
      </c>
      <c r="M21" s="10">
        <v>19</v>
      </c>
      <c r="N21">
        <v>589.14</v>
      </c>
      <c r="O21" s="3">
        <v>1300.58</v>
      </c>
      <c r="P21" s="11" t="s">
        <v>1466</v>
      </c>
      <c r="Q21" s="4">
        <v>5.5E-2</v>
      </c>
      <c r="R21" s="3">
        <v>23351.913899999996</v>
      </c>
      <c r="S21" s="3">
        <v>11193.66</v>
      </c>
      <c r="T21" s="4">
        <v>0.52065342275863702</v>
      </c>
      <c r="U21" s="11" t="s">
        <v>658</v>
      </c>
      <c r="V21" s="3">
        <v>12158.253899999996</v>
      </c>
      <c r="W21" s="11" t="s">
        <v>1438</v>
      </c>
      <c r="X21" t="str">
        <f>TEXT(Table1_1[[#This Row],[OrderDate]],"mm yyyy")</f>
        <v>08 2025</v>
      </c>
      <c r="Y21" s="13">
        <f>DATE(YEAR(Table1_1[[#This Row],[OrderDate]]),MONTH(B21),1)</f>
        <v>45870</v>
      </c>
      <c r="Z21" s="2">
        <f t="shared" si="0"/>
        <v>44927</v>
      </c>
      <c r="AA21">
        <f>(YEAR(Table1_1[[#This Row],[OrderMonth]])-YEAR(Table1_1[[#This Row],[Firstmonth]]))*12+(MONTH(Table1_1[[#This Row],[OrderMonth]])-MONTH(Table1_1[[#This Row],[Firstmonth]]))</f>
        <v>31</v>
      </c>
    </row>
    <row r="22" spans="1:27" x14ac:dyDescent="0.25">
      <c r="A22" s="11" t="s">
        <v>206</v>
      </c>
      <c r="B22" s="2">
        <v>45588</v>
      </c>
      <c r="C22" s="2">
        <v>45610</v>
      </c>
      <c r="D22" s="11" t="s">
        <v>1413</v>
      </c>
      <c r="E22">
        <v>22</v>
      </c>
      <c r="F22" s="11" t="s">
        <v>1476</v>
      </c>
      <c r="G22" s="11" t="s">
        <v>1451</v>
      </c>
      <c r="H22" s="11" t="s">
        <v>1487</v>
      </c>
      <c r="I22" s="11" t="s">
        <v>644</v>
      </c>
      <c r="J22" s="11" t="s">
        <v>652</v>
      </c>
      <c r="K22" s="11" t="s">
        <v>671</v>
      </c>
      <c r="L22" s="11" t="s">
        <v>871</v>
      </c>
      <c r="M22" s="10">
        <v>7</v>
      </c>
      <c r="N22">
        <v>1406.4</v>
      </c>
      <c r="O22" s="3">
        <v>1564.76</v>
      </c>
      <c r="P22" s="11" t="s">
        <v>1466</v>
      </c>
      <c r="Q22" s="4">
        <v>0.185</v>
      </c>
      <c r="R22" s="3">
        <v>8926.9557999999997</v>
      </c>
      <c r="S22" s="3">
        <v>9844.8000000000011</v>
      </c>
      <c r="T22" s="4">
        <v>-0.102817155205361</v>
      </c>
      <c r="U22" s="11" t="s">
        <v>658</v>
      </c>
      <c r="V22" s="3">
        <v>-917.84420000000136</v>
      </c>
      <c r="W22" s="11" t="s">
        <v>1440</v>
      </c>
      <c r="X22" t="str">
        <f>TEXT(Table1_1[[#This Row],[OrderDate]],"mm yyyy")</f>
        <v>10 2024</v>
      </c>
      <c r="Y22" s="13">
        <f>DATE(YEAR(Table1_1[[#This Row],[OrderDate]]),MONTH(B22),1)</f>
        <v>45566</v>
      </c>
      <c r="Z22" s="2">
        <f t="shared" si="0"/>
        <v>44986</v>
      </c>
      <c r="AA22">
        <f>(YEAR(Table1_1[[#This Row],[OrderMonth]])-YEAR(Table1_1[[#This Row],[Firstmonth]]))*12+(MONTH(Table1_1[[#This Row],[OrderMonth]])-MONTH(Table1_1[[#This Row],[Firstmonth]]))</f>
        <v>19</v>
      </c>
    </row>
    <row r="23" spans="1:27" x14ac:dyDescent="0.25">
      <c r="A23" s="11" t="s">
        <v>141</v>
      </c>
      <c r="B23" s="2">
        <v>45700</v>
      </c>
      <c r="C23" s="2">
        <v>45716</v>
      </c>
      <c r="D23" s="11" t="s">
        <v>1413</v>
      </c>
      <c r="E23">
        <v>16</v>
      </c>
      <c r="F23" s="11" t="s">
        <v>1473</v>
      </c>
      <c r="G23" s="11" t="s">
        <v>1488</v>
      </c>
      <c r="H23" s="11" t="s">
        <v>1489</v>
      </c>
      <c r="I23" s="11" t="s">
        <v>644</v>
      </c>
      <c r="J23" s="11" t="s">
        <v>652</v>
      </c>
      <c r="K23" s="11" t="s">
        <v>673</v>
      </c>
      <c r="L23" s="11" t="s">
        <v>805</v>
      </c>
      <c r="M23" s="10">
        <v>8</v>
      </c>
      <c r="N23">
        <v>414.95</v>
      </c>
      <c r="O23" s="3">
        <v>1027.73</v>
      </c>
      <c r="P23" s="11" t="s">
        <v>1466</v>
      </c>
      <c r="Q23" s="4">
        <v>6.3E-2</v>
      </c>
      <c r="R23" s="3">
        <v>7703.8640800000003</v>
      </c>
      <c r="S23" s="3">
        <v>3319.6</v>
      </c>
      <c r="T23" s="4">
        <v>0.56909935513815602</v>
      </c>
      <c r="U23" s="11" t="s">
        <v>658</v>
      </c>
      <c r="V23" s="3">
        <v>4384.2640800000008</v>
      </c>
      <c r="W23" s="11" t="s">
        <v>1434</v>
      </c>
      <c r="X23" t="str">
        <f>TEXT(Table1_1[[#This Row],[OrderDate]],"mm yyyy")</f>
        <v>02 2025</v>
      </c>
      <c r="Y23" s="13">
        <f>DATE(YEAR(Table1_1[[#This Row],[OrderDate]]),MONTH(B23),1)</f>
        <v>45689</v>
      </c>
      <c r="Z23" s="2">
        <f t="shared" si="0"/>
        <v>44958</v>
      </c>
      <c r="AA23">
        <f>(YEAR(Table1_1[[#This Row],[OrderMonth]])-YEAR(Table1_1[[#This Row],[Firstmonth]]))*12+(MONTH(Table1_1[[#This Row],[OrderMonth]])-MONTH(Table1_1[[#This Row],[Firstmonth]]))</f>
        <v>24</v>
      </c>
    </row>
    <row r="24" spans="1:27" x14ac:dyDescent="0.25">
      <c r="A24" s="11" t="s">
        <v>415</v>
      </c>
      <c r="B24" s="2">
        <v>44991</v>
      </c>
      <c r="C24" s="2">
        <v>45020</v>
      </c>
      <c r="D24" s="11" t="s">
        <v>1413</v>
      </c>
      <c r="E24">
        <v>29</v>
      </c>
      <c r="F24" s="11" t="s">
        <v>1476</v>
      </c>
      <c r="G24" s="11" t="s">
        <v>1457</v>
      </c>
      <c r="H24" s="11" t="s">
        <v>1477</v>
      </c>
      <c r="I24" s="11" t="s">
        <v>646</v>
      </c>
      <c r="J24" s="11" t="s">
        <v>652</v>
      </c>
      <c r="K24" s="11" t="s">
        <v>673</v>
      </c>
      <c r="L24" s="11" t="s">
        <v>1079</v>
      </c>
      <c r="M24" s="10">
        <v>10</v>
      </c>
      <c r="N24">
        <v>1126.29</v>
      </c>
      <c r="O24" s="3">
        <v>2050.87</v>
      </c>
      <c r="P24" s="11" t="s">
        <v>1471</v>
      </c>
      <c r="Q24" s="4">
        <v>6.4000000000000001E-2</v>
      </c>
      <c r="R24" s="3">
        <v>19196.143199999995</v>
      </c>
      <c r="S24" s="3">
        <v>11262.9</v>
      </c>
      <c r="T24" s="4">
        <v>0.413272766166904</v>
      </c>
      <c r="U24" s="11" t="s">
        <v>653</v>
      </c>
      <c r="V24" s="3">
        <v>7933.2431999999953</v>
      </c>
      <c r="W24" s="11" t="s">
        <v>1432</v>
      </c>
      <c r="X24" t="str">
        <f>TEXT(Table1_1[[#This Row],[OrderDate]],"mm yyyy")</f>
        <v>03 2023</v>
      </c>
      <c r="Y24" s="13">
        <f>DATE(YEAR(Table1_1[[#This Row],[OrderDate]]),MONTH(B24),1)</f>
        <v>44986</v>
      </c>
      <c r="Z24" s="2">
        <f t="shared" si="0"/>
        <v>44927</v>
      </c>
      <c r="AA24">
        <f>(YEAR(Table1_1[[#This Row],[OrderMonth]])-YEAR(Table1_1[[#This Row],[Firstmonth]]))*12+(MONTH(Table1_1[[#This Row],[OrderMonth]])-MONTH(Table1_1[[#This Row],[Firstmonth]]))</f>
        <v>2</v>
      </c>
    </row>
    <row r="25" spans="1:27" x14ac:dyDescent="0.25">
      <c r="A25" s="11" t="s">
        <v>506</v>
      </c>
      <c r="B25" s="2">
        <v>45097</v>
      </c>
      <c r="C25" s="2">
        <v>45111</v>
      </c>
      <c r="D25" s="11" t="s">
        <v>1413</v>
      </c>
      <c r="E25">
        <v>14</v>
      </c>
      <c r="F25" s="11" t="s">
        <v>1473</v>
      </c>
      <c r="G25" s="11" t="s">
        <v>1454</v>
      </c>
      <c r="H25" s="11" t="s">
        <v>1478</v>
      </c>
      <c r="I25" s="11" t="s">
        <v>644</v>
      </c>
      <c r="J25" s="11" t="s">
        <v>652</v>
      </c>
      <c r="K25" s="11" t="s">
        <v>670</v>
      </c>
      <c r="L25" s="11" t="s">
        <v>1170</v>
      </c>
      <c r="M25" s="10">
        <v>8</v>
      </c>
      <c r="N25">
        <v>1292.8599999999999</v>
      </c>
      <c r="O25" s="3">
        <v>2981.01</v>
      </c>
      <c r="P25" s="11" t="s">
        <v>1471</v>
      </c>
      <c r="Q25" s="4">
        <v>0.14199999999999999</v>
      </c>
      <c r="R25" s="3">
        <v>20461.65264</v>
      </c>
      <c r="S25" s="3">
        <v>10342.879999999999</v>
      </c>
      <c r="T25" s="4">
        <v>0.49452372288927698</v>
      </c>
      <c r="U25" s="11" t="s">
        <v>653</v>
      </c>
      <c r="V25" s="3">
        <v>10118.772640000001</v>
      </c>
      <c r="W25" s="11" t="s">
        <v>1435</v>
      </c>
      <c r="X25" t="str">
        <f>TEXT(Table1_1[[#This Row],[OrderDate]],"mm yyyy")</f>
        <v>06 2023</v>
      </c>
      <c r="Y25" s="13">
        <f>DATE(YEAR(Table1_1[[#This Row],[OrderDate]]),MONTH(B25),1)</f>
        <v>45078</v>
      </c>
      <c r="Z25" s="2">
        <f t="shared" si="0"/>
        <v>44927</v>
      </c>
      <c r="AA25">
        <f>(YEAR(Table1_1[[#This Row],[OrderMonth]])-YEAR(Table1_1[[#This Row],[Firstmonth]]))*12+(MONTH(Table1_1[[#This Row],[OrderMonth]])-MONTH(Table1_1[[#This Row],[Firstmonth]]))</f>
        <v>5</v>
      </c>
    </row>
    <row r="26" spans="1:27" x14ac:dyDescent="0.25">
      <c r="A26" s="11" t="s">
        <v>635</v>
      </c>
      <c r="B26" s="2">
        <v>45249</v>
      </c>
      <c r="C26" s="2">
        <v>45272</v>
      </c>
      <c r="D26" s="11" t="s">
        <v>1413</v>
      </c>
      <c r="E26">
        <v>23</v>
      </c>
      <c r="F26" s="11" t="s">
        <v>1476</v>
      </c>
      <c r="G26" s="11" t="s">
        <v>1453</v>
      </c>
      <c r="H26" s="11" t="s">
        <v>1479</v>
      </c>
      <c r="I26" s="11" t="s">
        <v>646</v>
      </c>
      <c r="J26" s="11" t="s">
        <v>652</v>
      </c>
      <c r="K26" s="11" t="s">
        <v>670</v>
      </c>
      <c r="L26" s="11" t="s">
        <v>1298</v>
      </c>
      <c r="M26" s="10">
        <v>12</v>
      </c>
      <c r="N26">
        <v>1349.04</v>
      </c>
      <c r="O26" s="3">
        <v>2636.6</v>
      </c>
      <c r="P26" s="11" t="s">
        <v>1471</v>
      </c>
      <c r="Q26" s="4">
        <v>0.114</v>
      </c>
      <c r="R26" s="3">
        <v>28032.331199999997</v>
      </c>
      <c r="S26" s="3">
        <v>16188.48</v>
      </c>
      <c r="T26" s="4">
        <v>0.422506823121439</v>
      </c>
      <c r="U26" s="11" t="s">
        <v>653</v>
      </c>
      <c r="V26" s="3">
        <v>11843.851199999997</v>
      </c>
      <c r="W26" s="11" t="s">
        <v>1439</v>
      </c>
      <c r="X26" t="str">
        <f>TEXT(Table1_1[[#This Row],[OrderDate]],"mm yyyy")</f>
        <v>11 2023</v>
      </c>
      <c r="Y26" s="13">
        <f>DATE(YEAR(Table1_1[[#This Row],[OrderDate]]),MONTH(B26),1)</f>
        <v>45231</v>
      </c>
      <c r="Z26" s="2">
        <f t="shared" si="0"/>
        <v>44927</v>
      </c>
      <c r="AA26">
        <f>(YEAR(Table1_1[[#This Row],[OrderMonth]])-YEAR(Table1_1[[#This Row],[Firstmonth]]))*12+(MONTH(Table1_1[[#This Row],[OrderMonth]])-MONTH(Table1_1[[#This Row],[Firstmonth]]))</f>
        <v>10</v>
      </c>
    </row>
    <row r="27" spans="1:27" x14ac:dyDescent="0.25">
      <c r="A27" s="11" t="s">
        <v>99</v>
      </c>
      <c r="B27" s="2">
        <v>45312</v>
      </c>
      <c r="C27" s="2">
        <v>45316</v>
      </c>
      <c r="D27" s="11" t="s">
        <v>1413</v>
      </c>
      <c r="E27">
        <v>4</v>
      </c>
      <c r="F27" s="11" t="s">
        <v>1476</v>
      </c>
      <c r="G27" s="11" t="s">
        <v>1453</v>
      </c>
      <c r="H27" s="11" t="s">
        <v>1479</v>
      </c>
      <c r="I27" s="11" t="s">
        <v>645</v>
      </c>
      <c r="J27" s="11" t="s">
        <v>652</v>
      </c>
      <c r="K27" s="11" t="s">
        <v>673</v>
      </c>
      <c r="L27" s="11" t="s">
        <v>763</v>
      </c>
      <c r="M27" s="10">
        <v>4</v>
      </c>
      <c r="N27">
        <v>523.70000000000005</v>
      </c>
      <c r="O27" s="3">
        <v>1109.92</v>
      </c>
      <c r="P27" s="11" t="s">
        <v>1466</v>
      </c>
      <c r="Q27" s="4">
        <v>0.03</v>
      </c>
      <c r="R27" s="3">
        <v>4306.4895999999999</v>
      </c>
      <c r="S27" s="3">
        <v>2094.8000000000002</v>
      </c>
      <c r="T27" s="4">
        <v>0.51357133197302995</v>
      </c>
      <c r="U27" s="11" t="s">
        <v>653</v>
      </c>
      <c r="V27" s="3">
        <v>2211.6895999999997</v>
      </c>
      <c r="W27" s="11" t="s">
        <v>1433</v>
      </c>
      <c r="X27" t="str">
        <f>TEXT(Table1_1[[#This Row],[OrderDate]],"mm yyyy")</f>
        <v>01 2024</v>
      </c>
      <c r="Y27" s="13">
        <f>DATE(YEAR(Table1_1[[#This Row],[OrderDate]]),MONTH(B27),1)</f>
        <v>45292</v>
      </c>
      <c r="Z27" s="2">
        <f t="shared" si="0"/>
        <v>44927</v>
      </c>
      <c r="AA27">
        <f>(YEAR(Table1_1[[#This Row],[OrderMonth]])-YEAR(Table1_1[[#This Row],[Firstmonth]]))*12+(MONTH(Table1_1[[#This Row],[OrderMonth]])-MONTH(Table1_1[[#This Row],[Firstmonth]]))</f>
        <v>12</v>
      </c>
    </row>
    <row r="28" spans="1:27" x14ac:dyDescent="0.25">
      <c r="A28" s="11" t="s">
        <v>400</v>
      </c>
      <c r="B28" s="2">
        <v>45823</v>
      </c>
      <c r="C28" s="2">
        <v>45838</v>
      </c>
      <c r="D28" s="11" t="s">
        <v>1413</v>
      </c>
      <c r="E28">
        <v>15</v>
      </c>
      <c r="F28" s="11" t="s">
        <v>1485</v>
      </c>
      <c r="G28" s="11" t="s">
        <v>1490</v>
      </c>
      <c r="H28" s="11" t="s">
        <v>1491</v>
      </c>
      <c r="I28" s="11" t="s">
        <v>646</v>
      </c>
      <c r="J28" s="11" t="s">
        <v>652</v>
      </c>
      <c r="K28" s="11" t="s">
        <v>673</v>
      </c>
      <c r="L28" s="11" t="s">
        <v>1064</v>
      </c>
      <c r="M28" s="10">
        <v>10</v>
      </c>
      <c r="N28">
        <v>1487.59</v>
      </c>
      <c r="O28" s="3">
        <v>1480.83</v>
      </c>
      <c r="P28" s="11" t="s">
        <v>1466</v>
      </c>
      <c r="Q28" s="4">
        <v>8.9999999999999993E-3</v>
      </c>
      <c r="R28" s="3">
        <v>14675.025299999999</v>
      </c>
      <c r="S28" s="3">
        <v>14875.9</v>
      </c>
      <c r="T28" s="4">
        <v>-1.3688201273492901E-2</v>
      </c>
      <c r="U28" s="11" t="s">
        <v>653</v>
      </c>
      <c r="V28" s="3">
        <v>-200.8747000000003</v>
      </c>
      <c r="W28" s="11" t="s">
        <v>1431</v>
      </c>
      <c r="X28" t="str">
        <f>TEXT(Table1_1[[#This Row],[OrderDate]],"mm yyyy")</f>
        <v>06 2025</v>
      </c>
      <c r="Y28" s="13">
        <f>DATE(YEAR(Table1_1[[#This Row],[OrderDate]]),MONTH(B28),1)</f>
        <v>45809</v>
      </c>
      <c r="Z28" s="2">
        <f t="shared" si="0"/>
        <v>44958</v>
      </c>
      <c r="AA28">
        <f>(YEAR(Table1_1[[#This Row],[OrderMonth]])-YEAR(Table1_1[[#This Row],[Firstmonth]]))*12+(MONTH(Table1_1[[#This Row],[OrderMonth]])-MONTH(Table1_1[[#This Row],[Firstmonth]]))</f>
        <v>28</v>
      </c>
    </row>
    <row r="29" spans="1:27" x14ac:dyDescent="0.25">
      <c r="A29" s="11" t="s">
        <v>360</v>
      </c>
      <c r="B29" s="2">
        <v>44980</v>
      </c>
      <c r="C29" s="2">
        <v>44993</v>
      </c>
      <c r="D29" s="11" t="s">
        <v>1413</v>
      </c>
      <c r="E29">
        <v>13</v>
      </c>
      <c r="F29" s="11" t="s">
        <v>1464</v>
      </c>
      <c r="G29" s="11" t="s">
        <v>1469</v>
      </c>
      <c r="H29" s="11" t="s">
        <v>1482</v>
      </c>
      <c r="I29" s="11" t="s">
        <v>646</v>
      </c>
      <c r="J29" s="11" t="s">
        <v>652</v>
      </c>
      <c r="K29" s="11" t="s">
        <v>669</v>
      </c>
      <c r="L29" s="11" t="s">
        <v>1025</v>
      </c>
      <c r="M29" s="10">
        <v>6</v>
      </c>
      <c r="N29">
        <v>307.37</v>
      </c>
      <c r="O29" s="3">
        <v>462.61</v>
      </c>
      <c r="P29" s="11" t="s">
        <v>1468</v>
      </c>
      <c r="Q29" s="4">
        <v>0.188</v>
      </c>
      <c r="R29" s="3">
        <v>2253.83592</v>
      </c>
      <c r="S29" s="3">
        <v>1844.22</v>
      </c>
      <c r="T29" s="4">
        <v>0.18174167709599701</v>
      </c>
      <c r="U29" s="11" t="s">
        <v>653</v>
      </c>
      <c r="V29" s="3">
        <v>409.61591999999996</v>
      </c>
      <c r="W29" s="11" t="s">
        <v>1432</v>
      </c>
      <c r="X29" t="str">
        <f>TEXT(Table1_1[[#This Row],[OrderDate]],"mm yyyy")</f>
        <v>02 2023</v>
      </c>
      <c r="Y29" s="13">
        <f>DATE(YEAR(Table1_1[[#This Row],[OrderDate]]),MONTH(B29),1)</f>
        <v>44958</v>
      </c>
      <c r="Z29" s="2">
        <f t="shared" si="0"/>
        <v>44927</v>
      </c>
      <c r="AA29">
        <f>(YEAR(Table1_1[[#This Row],[OrderMonth]])-YEAR(Table1_1[[#This Row],[Firstmonth]]))*12+(MONTH(Table1_1[[#This Row],[OrderMonth]])-MONTH(Table1_1[[#This Row],[Firstmonth]]))</f>
        <v>1</v>
      </c>
    </row>
    <row r="30" spans="1:27" x14ac:dyDescent="0.25">
      <c r="A30" s="11" t="s">
        <v>604</v>
      </c>
      <c r="B30" s="2">
        <v>45823</v>
      </c>
      <c r="C30" s="2">
        <v>45850</v>
      </c>
      <c r="D30" s="11" t="s">
        <v>1413</v>
      </c>
      <c r="E30">
        <v>27</v>
      </c>
      <c r="F30" s="11" t="s">
        <v>1464</v>
      </c>
      <c r="G30" s="11" t="s">
        <v>1456</v>
      </c>
      <c r="H30" s="11" t="s">
        <v>1472</v>
      </c>
      <c r="I30" s="11" t="s">
        <v>645</v>
      </c>
      <c r="J30" s="11" t="s">
        <v>652</v>
      </c>
      <c r="K30" s="11" t="s">
        <v>674</v>
      </c>
      <c r="L30" s="11" t="s">
        <v>1267</v>
      </c>
      <c r="M30" s="10">
        <v>9</v>
      </c>
      <c r="N30">
        <v>318.83</v>
      </c>
      <c r="O30" s="3">
        <v>699.5</v>
      </c>
      <c r="P30" s="11" t="s">
        <v>1468</v>
      </c>
      <c r="Q30" s="4">
        <v>0.08</v>
      </c>
      <c r="R30" s="3">
        <v>5791.8600000000006</v>
      </c>
      <c r="S30" s="3">
        <v>2869.47</v>
      </c>
      <c r="T30" s="4">
        <v>0.50456848059172699</v>
      </c>
      <c r="U30" s="11" t="s">
        <v>653</v>
      </c>
      <c r="V30" s="3">
        <v>2922.3900000000008</v>
      </c>
      <c r="W30" s="11" t="s">
        <v>1431</v>
      </c>
      <c r="X30" t="str">
        <f>TEXT(Table1_1[[#This Row],[OrderDate]],"mm yyyy")</f>
        <v>06 2025</v>
      </c>
      <c r="Y30" s="13">
        <f>DATE(YEAR(Table1_1[[#This Row],[OrderDate]]),MONTH(B30),1)</f>
        <v>45809</v>
      </c>
      <c r="Z30" s="2">
        <f t="shared" si="0"/>
        <v>44927</v>
      </c>
      <c r="AA30">
        <f>(YEAR(Table1_1[[#This Row],[OrderMonth]])-YEAR(Table1_1[[#This Row],[Firstmonth]]))*12+(MONTH(Table1_1[[#This Row],[OrderMonth]])-MONTH(Table1_1[[#This Row],[Firstmonth]]))</f>
        <v>29</v>
      </c>
    </row>
    <row r="31" spans="1:27" x14ac:dyDescent="0.25">
      <c r="A31" s="11" t="s">
        <v>283</v>
      </c>
      <c r="B31" s="2">
        <v>45131</v>
      </c>
      <c r="C31" s="2">
        <v>45151</v>
      </c>
      <c r="D31" s="11" t="s">
        <v>1413</v>
      </c>
      <c r="E31">
        <v>20</v>
      </c>
      <c r="F31" s="11" t="s">
        <v>1473</v>
      </c>
      <c r="G31" s="11" t="s">
        <v>1452</v>
      </c>
      <c r="H31" s="11" t="s">
        <v>1492</v>
      </c>
      <c r="I31" s="11" t="s">
        <v>643</v>
      </c>
      <c r="J31" s="11" t="s">
        <v>652</v>
      </c>
      <c r="K31" s="11" t="s">
        <v>673</v>
      </c>
      <c r="L31" s="11" t="s">
        <v>948</v>
      </c>
      <c r="M31" s="10">
        <v>14</v>
      </c>
      <c r="N31">
        <v>1082.3800000000001</v>
      </c>
      <c r="O31" s="3">
        <v>1766.55</v>
      </c>
      <c r="P31" s="11" t="s">
        <v>1471</v>
      </c>
      <c r="Q31" s="4">
        <v>0.16400000000000001</v>
      </c>
      <c r="R31" s="3">
        <v>20675.7012</v>
      </c>
      <c r="S31" s="3">
        <v>15153.320000000002</v>
      </c>
      <c r="T31" s="4">
        <v>0.26709523157550702</v>
      </c>
      <c r="U31" s="11" t="s">
        <v>653</v>
      </c>
      <c r="V31" s="3">
        <v>5522.381199999998</v>
      </c>
      <c r="W31" s="11" t="s">
        <v>1430</v>
      </c>
      <c r="X31" t="str">
        <f>TEXT(Table1_1[[#This Row],[OrderDate]],"mm yyyy")</f>
        <v>07 2023</v>
      </c>
      <c r="Y31" s="13">
        <f>DATE(YEAR(Table1_1[[#This Row],[OrderDate]]),MONTH(B31),1)</f>
        <v>45108</v>
      </c>
      <c r="Z31" s="2">
        <f t="shared" si="0"/>
        <v>44927</v>
      </c>
      <c r="AA31">
        <f>(YEAR(Table1_1[[#This Row],[OrderMonth]])-YEAR(Table1_1[[#This Row],[Firstmonth]]))*12+(MONTH(Table1_1[[#This Row],[OrderMonth]])-MONTH(Table1_1[[#This Row],[Firstmonth]]))</f>
        <v>6</v>
      </c>
    </row>
    <row r="32" spans="1:27" x14ac:dyDescent="0.25">
      <c r="A32" s="11" t="s">
        <v>377</v>
      </c>
      <c r="B32" s="2">
        <v>45731</v>
      </c>
      <c r="C32" s="2">
        <v>45745</v>
      </c>
      <c r="D32" s="11" t="s">
        <v>1413</v>
      </c>
      <c r="E32">
        <v>14</v>
      </c>
      <c r="F32" s="11" t="s">
        <v>1476</v>
      </c>
      <c r="G32" s="11" t="s">
        <v>1453</v>
      </c>
      <c r="H32" s="11" t="s">
        <v>1493</v>
      </c>
      <c r="I32" s="11" t="s">
        <v>647</v>
      </c>
      <c r="J32" s="11" t="s">
        <v>652</v>
      </c>
      <c r="K32" s="11" t="s">
        <v>668</v>
      </c>
      <c r="L32" s="11" t="s">
        <v>1042</v>
      </c>
      <c r="M32" s="10">
        <v>17</v>
      </c>
      <c r="N32">
        <v>935.83</v>
      </c>
      <c r="O32" s="3">
        <v>2303.46</v>
      </c>
      <c r="P32" s="11" t="s">
        <v>1471</v>
      </c>
      <c r="Q32" s="4">
        <v>0.105</v>
      </c>
      <c r="R32" s="3">
        <v>35047.143900000003</v>
      </c>
      <c r="S32" s="3">
        <v>15909.11</v>
      </c>
      <c r="T32" s="4">
        <v>0.54606543559174303</v>
      </c>
      <c r="U32" s="11" t="s">
        <v>653</v>
      </c>
      <c r="V32" s="3">
        <v>19138.033900000002</v>
      </c>
      <c r="W32" s="11" t="s">
        <v>1434</v>
      </c>
      <c r="X32" t="str">
        <f>TEXT(Table1_1[[#This Row],[OrderDate]],"mm yyyy")</f>
        <v>03 2025</v>
      </c>
      <c r="Y32" s="13">
        <f>DATE(YEAR(Table1_1[[#This Row],[OrderDate]]),MONTH(B32),1)</f>
        <v>45717</v>
      </c>
      <c r="Z32" s="2">
        <f t="shared" si="0"/>
        <v>44927</v>
      </c>
      <c r="AA32">
        <f>(YEAR(Table1_1[[#This Row],[OrderMonth]])-YEAR(Table1_1[[#This Row],[Firstmonth]]))*12+(MONTH(Table1_1[[#This Row],[OrderMonth]])-MONTH(Table1_1[[#This Row],[Firstmonth]]))</f>
        <v>26</v>
      </c>
    </row>
    <row r="33" spans="1:27" x14ac:dyDescent="0.25">
      <c r="A33" s="11" t="s">
        <v>113</v>
      </c>
      <c r="B33" s="2">
        <v>45747</v>
      </c>
      <c r="C33" s="2">
        <v>45751</v>
      </c>
      <c r="D33" s="11" t="s">
        <v>1413</v>
      </c>
      <c r="E33">
        <v>4</v>
      </c>
      <c r="F33" s="11" t="s">
        <v>1485</v>
      </c>
      <c r="G33" s="11" t="s">
        <v>1449</v>
      </c>
      <c r="H33" s="11" t="s">
        <v>1494</v>
      </c>
      <c r="I33" s="11" t="s">
        <v>642</v>
      </c>
      <c r="J33" s="11" t="s">
        <v>652</v>
      </c>
      <c r="K33" s="11" t="s">
        <v>672</v>
      </c>
      <c r="L33" s="11" t="s">
        <v>777</v>
      </c>
      <c r="M33" s="10">
        <v>16</v>
      </c>
      <c r="N33">
        <v>862.08</v>
      </c>
      <c r="O33" s="3">
        <v>1952.83</v>
      </c>
      <c r="P33" s="11" t="s">
        <v>1471</v>
      </c>
      <c r="Q33" s="4">
        <v>0</v>
      </c>
      <c r="R33" s="3">
        <v>31245.279999999999</v>
      </c>
      <c r="S33" s="3">
        <v>13793.28</v>
      </c>
      <c r="T33" s="4">
        <v>0.55854836314476897</v>
      </c>
      <c r="U33" s="11" t="s">
        <v>653</v>
      </c>
      <c r="V33" s="3">
        <v>17452</v>
      </c>
      <c r="W33" s="11" t="s">
        <v>1434</v>
      </c>
      <c r="X33" t="str">
        <f>TEXT(Table1_1[[#This Row],[OrderDate]],"mm yyyy")</f>
        <v>03 2025</v>
      </c>
      <c r="Y33" s="13">
        <f>DATE(YEAR(Table1_1[[#This Row],[OrderDate]]),MONTH(B33),1)</f>
        <v>45717</v>
      </c>
      <c r="Z33" s="2">
        <f t="shared" si="0"/>
        <v>44927</v>
      </c>
      <c r="AA33">
        <f>(YEAR(Table1_1[[#This Row],[OrderMonth]])-YEAR(Table1_1[[#This Row],[Firstmonth]]))*12+(MONTH(Table1_1[[#This Row],[OrderMonth]])-MONTH(Table1_1[[#This Row],[Firstmonth]]))</f>
        <v>26</v>
      </c>
    </row>
    <row r="34" spans="1:27" x14ac:dyDescent="0.25">
      <c r="A34" s="11" t="s">
        <v>278</v>
      </c>
      <c r="B34" s="2">
        <v>45284</v>
      </c>
      <c r="C34" s="2">
        <v>45292</v>
      </c>
      <c r="D34" s="11" t="s">
        <v>1413</v>
      </c>
      <c r="E34">
        <v>8</v>
      </c>
      <c r="F34" s="11" t="s">
        <v>1473</v>
      </c>
      <c r="G34" s="11" t="s">
        <v>1488</v>
      </c>
      <c r="H34" s="11" t="s">
        <v>1489</v>
      </c>
      <c r="I34" s="11" t="s">
        <v>643</v>
      </c>
      <c r="J34" s="11" t="s">
        <v>652</v>
      </c>
      <c r="K34" s="11" t="s">
        <v>671</v>
      </c>
      <c r="L34" s="11" t="s">
        <v>943</v>
      </c>
      <c r="M34" s="10">
        <v>4</v>
      </c>
      <c r="N34">
        <v>526.49</v>
      </c>
      <c r="O34" s="3">
        <v>496.2</v>
      </c>
      <c r="P34" s="11" t="s">
        <v>1468</v>
      </c>
      <c r="Q34" s="4">
        <v>0</v>
      </c>
      <c r="R34" s="3">
        <v>1984.8</v>
      </c>
      <c r="S34" s="3">
        <v>2105.96</v>
      </c>
      <c r="T34" s="4">
        <v>-6.1043933897621999E-2</v>
      </c>
      <c r="U34" s="11" t="s">
        <v>653</v>
      </c>
      <c r="V34" s="3">
        <v>-121.16000000000008</v>
      </c>
      <c r="W34" s="11" t="s">
        <v>1439</v>
      </c>
      <c r="X34" t="str">
        <f>TEXT(Table1_1[[#This Row],[OrderDate]],"mm yyyy")</f>
        <v>12 2023</v>
      </c>
      <c r="Y34" s="13">
        <f>DATE(YEAR(Table1_1[[#This Row],[OrderDate]]),MONTH(B34),1)</f>
        <v>45261</v>
      </c>
      <c r="Z34" s="2">
        <f t="shared" si="0"/>
        <v>44958</v>
      </c>
      <c r="AA34">
        <f>(YEAR(Table1_1[[#This Row],[OrderMonth]])-YEAR(Table1_1[[#This Row],[Firstmonth]]))*12+(MONTH(Table1_1[[#This Row],[OrderMonth]])-MONTH(Table1_1[[#This Row],[Firstmonth]]))</f>
        <v>10</v>
      </c>
    </row>
    <row r="35" spans="1:27" x14ac:dyDescent="0.25">
      <c r="A35" s="11" t="s">
        <v>310</v>
      </c>
      <c r="B35" s="2">
        <v>45787</v>
      </c>
      <c r="C35" s="2">
        <v>45804</v>
      </c>
      <c r="D35" s="11" t="s">
        <v>1413</v>
      </c>
      <c r="E35">
        <v>17</v>
      </c>
      <c r="F35" s="11" t="s">
        <v>1473</v>
      </c>
      <c r="G35" s="11" t="s">
        <v>1452</v>
      </c>
      <c r="H35" s="11" t="s">
        <v>1475</v>
      </c>
      <c r="I35" s="11" t="s">
        <v>643</v>
      </c>
      <c r="J35" s="11" t="s">
        <v>652</v>
      </c>
      <c r="K35" s="11" t="s">
        <v>668</v>
      </c>
      <c r="L35" s="11" t="s">
        <v>975</v>
      </c>
      <c r="M35" s="10">
        <v>10</v>
      </c>
      <c r="N35">
        <v>862.89</v>
      </c>
      <c r="O35" s="3">
        <v>1426.03</v>
      </c>
      <c r="P35" s="11" t="s">
        <v>1466</v>
      </c>
      <c r="Q35" s="4">
        <v>5.6000000000000001E-2</v>
      </c>
      <c r="R35" s="3">
        <v>13461.723199999999</v>
      </c>
      <c r="S35" s="3">
        <v>8628.9</v>
      </c>
      <c r="T35" s="4">
        <v>0.359004796651888</v>
      </c>
      <c r="U35" s="11" t="s">
        <v>653</v>
      </c>
      <c r="V35" s="3">
        <v>4832.8231999999989</v>
      </c>
      <c r="W35" s="11" t="s">
        <v>1431</v>
      </c>
      <c r="X35" t="str">
        <f>TEXT(Table1_1[[#This Row],[OrderDate]],"mm yyyy")</f>
        <v>05 2025</v>
      </c>
      <c r="Y35" s="13">
        <f>DATE(YEAR(Table1_1[[#This Row],[OrderDate]]),MONTH(B35),1)</f>
        <v>45778</v>
      </c>
      <c r="Z35" s="2">
        <f t="shared" si="0"/>
        <v>44927</v>
      </c>
      <c r="AA35">
        <f>(YEAR(Table1_1[[#This Row],[OrderMonth]])-YEAR(Table1_1[[#This Row],[Firstmonth]]))*12+(MONTH(Table1_1[[#This Row],[OrderMonth]])-MONTH(Table1_1[[#This Row],[Firstmonth]]))</f>
        <v>28</v>
      </c>
    </row>
    <row r="36" spans="1:27" x14ac:dyDescent="0.25">
      <c r="A36" s="11" t="s">
        <v>51</v>
      </c>
      <c r="B36" s="2">
        <v>45531</v>
      </c>
      <c r="C36" s="2">
        <v>45554</v>
      </c>
      <c r="D36" s="11" t="s">
        <v>1413</v>
      </c>
      <c r="E36">
        <v>23</v>
      </c>
      <c r="F36" s="11" t="s">
        <v>1464</v>
      </c>
      <c r="G36" s="11" t="s">
        <v>1455</v>
      </c>
      <c r="H36" s="11" t="s">
        <v>1465</v>
      </c>
      <c r="I36" s="11" t="s">
        <v>646</v>
      </c>
      <c r="J36" s="11" t="s">
        <v>652</v>
      </c>
      <c r="K36" s="11" t="s">
        <v>673</v>
      </c>
      <c r="L36" s="11" t="s">
        <v>715</v>
      </c>
      <c r="M36" s="10">
        <v>9</v>
      </c>
      <c r="N36">
        <v>1024.01</v>
      </c>
      <c r="O36" s="3">
        <v>1580.97</v>
      </c>
      <c r="P36" s="11" t="s">
        <v>1466</v>
      </c>
      <c r="Q36" s="4">
        <v>3.6999999999999998E-2</v>
      </c>
      <c r="R36" s="3">
        <v>13702.266989999998</v>
      </c>
      <c r="S36" s="3">
        <v>9216.09</v>
      </c>
      <c r="T36" s="4">
        <v>0.32740399769425299</v>
      </c>
      <c r="U36" s="11" t="s">
        <v>667</v>
      </c>
      <c r="V36" s="3">
        <v>4486.1769899999981</v>
      </c>
      <c r="W36" s="11" t="s">
        <v>1437</v>
      </c>
      <c r="X36" t="str">
        <f>TEXT(Table1_1[[#This Row],[OrderDate]],"mm yyyy")</f>
        <v>08 2024</v>
      </c>
      <c r="Y36" s="13">
        <f>DATE(YEAR(Table1_1[[#This Row],[OrderDate]]),MONTH(B36),1)</f>
        <v>45505</v>
      </c>
      <c r="Z36" s="2">
        <f t="shared" si="0"/>
        <v>44927</v>
      </c>
      <c r="AA36">
        <f>(YEAR(Table1_1[[#This Row],[OrderMonth]])-YEAR(Table1_1[[#This Row],[Firstmonth]]))*12+(MONTH(Table1_1[[#This Row],[OrderMonth]])-MONTH(Table1_1[[#This Row],[Firstmonth]]))</f>
        <v>19</v>
      </c>
    </row>
    <row r="37" spans="1:27" x14ac:dyDescent="0.25">
      <c r="A37" s="11" t="s">
        <v>319</v>
      </c>
      <c r="B37" s="2">
        <v>44936</v>
      </c>
      <c r="C37" s="2">
        <v>44955</v>
      </c>
      <c r="D37" s="11" t="s">
        <v>1413</v>
      </c>
      <c r="E37">
        <v>19</v>
      </c>
      <c r="F37" s="11" t="s">
        <v>1464</v>
      </c>
      <c r="G37" s="11" t="s">
        <v>1456</v>
      </c>
      <c r="H37" s="11" t="s">
        <v>1481</v>
      </c>
      <c r="I37" s="11" t="s">
        <v>644</v>
      </c>
      <c r="J37" s="11" t="s">
        <v>652</v>
      </c>
      <c r="K37" s="11" t="s">
        <v>672</v>
      </c>
      <c r="L37" s="11" t="s">
        <v>984</v>
      </c>
      <c r="M37" s="10">
        <v>37</v>
      </c>
      <c r="N37">
        <v>401.66</v>
      </c>
      <c r="O37" s="3">
        <v>772.09</v>
      </c>
      <c r="P37" s="11" t="s">
        <v>1468</v>
      </c>
      <c r="Q37" s="4">
        <v>8.8999999999999996E-2</v>
      </c>
      <c r="R37" s="3">
        <v>26024.837630000002</v>
      </c>
      <c r="S37" s="3">
        <v>14861.42</v>
      </c>
      <c r="T37" s="4">
        <v>0.42895244107619002</v>
      </c>
      <c r="U37" s="11" t="s">
        <v>667</v>
      </c>
      <c r="V37" s="3">
        <v>11163.417630000002</v>
      </c>
      <c r="W37" s="11" t="s">
        <v>1432</v>
      </c>
      <c r="X37" t="str">
        <f>TEXT(Table1_1[[#This Row],[OrderDate]],"mm yyyy")</f>
        <v>01 2023</v>
      </c>
      <c r="Y37" s="13">
        <f>DATE(YEAR(Table1_1[[#This Row],[OrderDate]]),MONTH(B37),1)</f>
        <v>44927</v>
      </c>
      <c r="Z37" s="2">
        <f t="shared" si="0"/>
        <v>44927</v>
      </c>
      <c r="AA37">
        <f>(YEAR(Table1_1[[#This Row],[OrderMonth]])-YEAR(Table1_1[[#This Row],[Firstmonth]]))*12+(MONTH(Table1_1[[#This Row],[OrderMonth]])-MONTH(Table1_1[[#This Row],[Firstmonth]]))</f>
        <v>0</v>
      </c>
    </row>
    <row r="38" spans="1:27" x14ac:dyDescent="0.25">
      <c r="A38" s="11" t="s">
        <v>553</v>
      </c>
      <c r="B38" s="2">
        <v>44968</v>
      </c>
      <c r="C38" s="2">
        <v>44969</v>
      </c>
      <c r="D38" s="11" t="s">
        <v>1413</v>
      </c>
      <c r="E38">
        <v>1</v>
      </c>
      <c r="F38" s="11" t="s">
        <v>1485</v>
      </c>
      <c r="G38" s="11" t="s">
        <v>1495</v>
      </c>
      <c r="H38" s="11" t="s">
        <v>1496</v>
      </c>
      <c r="I38" s="11" t="s">
        <v>644</v>
      </c>
      <c r="J38" s="11" t="s">
        <v>652</v>
      </c>
      <c r="K38" s="11" t="s">
        <v>674</v>
      </c>
      <c r="L38" s="11" t="s">
        <v>1216</v>
      </c>
      <c r="M38" s="10">
        <v>27</v>
      </c>
      <c r="N38">
        <v>944.61</v>
      </c>
      <c r="O38" s="3">
        <v>839.04</v>
      </c>
      <c r="P38" s="11" t="s">
        <v>1466</v>
      </c>
      <c r="Q38" s="4">
        <v>5.8999999999999997E-2</v>
      </c>
      <c r="R38" s="3">
        <v>21317.489279999998</v>
      </c>
      <c r="S38" s="3">
        <v>25504.47</v>
      </c>
      <c r="T38" s="4">
        <v>-0.19641059343363701</v>
      </c>
      <c r="U38" s="11" t="s">
        <v>667</v>
      </c>
      <c r="V38" s="3">
        <v>-4186.9807200000032</v>
      </c>
      <c r="W38" s="11" t="s">
        <v>1432</v>
      </c>
      <c r="X38" t="str">
        <f>TEXT(Table1_1[[#This Row],[OrderDate]],"mm yyyy")</f>
        <v>02 2023</v>
      </c>
      <c r="Y38" s="13">
        <f>DATE(YEAR(Table1_1[[#This Row],[OrderDate]]),MONTH(B38),1)</f>
        <v>44958</v>
      </c>
      <c r="Z38" s="2">
        <f t="shared" si="0"/>
        <v>44958</v>
      </c>
      <c r="AA38">
        <f>(YEAR(Table1_1[[#This Row],[OrderMonth]])-YEAR(Table1_1[[#This Row],[Firstmonth]]))*12+(MONTH(Table1_1[[#This Row],[OrderMonth]])-MONTH(Table1_1[[#This Row],[Firstmonth]]))</f>
        <v>0</v>
      </c>
    </row>
    <row r="39" spans="1:27" x14ac:dyDescent="0.25">
      <c r="A39" s="11" t="s">
        <v>570</v>
      </c>
      <c r="B39" s="2">
        <v>45299</v>
      </c>
      <c r="C39" s="2">
        <v>45303</v>
      </c>
      <c r="D39" s="11" t="s">
        <v>1413</v>
      </c>
      <c r="E39">
        <v>4</v>
      </c>
      <c r="F39" s="11" t="s">
        <v>1476</v>
      </c>
      <c r="G39" s="11" t="s">
        <v>1453</v>
      </c>
      <c r="H39" s="11" t="s">
        <v>1497</v>
      </c>
      <c r="I39" s="11" t="s">
        <v>642</v>
      </c>
      <c r="J39" s="11" t="s">
        <v>652</v>
      </c>
      <c r="K39" s="11" t="s">
        <v>669</v>
      </c>
      <c r="L39" s="11" t="s">
        <v>1233</v>
      </c>
      <c r="M39" s="10">
        <v>8</v>
      </c>
      <c r="N39">
        <v>802.32</v>
      </c>
      <c r="O39" s="3">
        <v>602.34</v>
      </c>
      <c r="P39" s="11" t="s">
        <v>1468</v>
      </c>
      <c r="Q39" s="4">
        <v>0.12</v>
      </c>
      <c r="R39" s="3">
        <v>4240.4736000000003</v>
      </c>
      <c r="S39" s="3">
        <v>6418.56</v>
      </c>
      <c r="T39" s="4">
        <v>-0.51364224977134598</v>
      </c>
      <c r="U39" s="11" t="s">
        <v>659</v>
      </c>
      <c r="V39" s="3">
        <v>-2178.0864000000001</v>
      </c>
      <c r="W39" s="11" t="s">
        <v>1433</v>
      </c>
      <c r="X39" t="str">
        <f>TEXT(Table1_1[[#This Row],[OrderDate]],"mm yyyy")</f>
        <v>01 2024</v>
      </c>
      <c r="Y39" s="13">
        <f>DATE(YEAR(Table1_1[[#This Row],[OrderDate]]),MONTH(B39),1)</f>
        <v>45292</v>
      </c>
      <c r="Z39" s="2">
        <f t="shared" si="0"/>
        <v>44927</v>
      </c>
      <c r="AA39">
        <f>(YEAR(Table1_1[[#This Row],[OrderMonth]])-YEAR(Table1_1[[#This Row],[Firstmonth]]))*12+(MONTH(Table1_1[[#This Row],[OrderMonth]])-MONTH(Table1_1[[#This Row],[Firstmonth]]))</f>
        <v>12</v>
      </c>
    </row>
    <row r="40" spans="1:27" x14ac:dyDescent="0.25">
      <c r="A40" s="11" t="s">
        <v>138</v>
      </c>
      <c r="B40" s="2">
        <v>45874</v>
      </c>
      <c r="C40" s="2">
        <v>45883</v>
      </c>
      <c r="D40" s="11" t="s">
        <v>1413</v>
      </c>
      <c r="E40">
        <v>9</v>
      </c>
      <c r="F40" s="11" t="s">
        <v>1464</v>
      </c>
      <c r="G40" s="11" t="s">
        <v>1469</v>
      </c>
      <c r="H40" s="11" t="s">
        <v>1470</v>
      </c>
      <c r="I40" s="11" t="s">
        <v>644</v>
      </c>
      <c r="J40" s="11" t="s">
        <v>652</v>
      </c>
      <c r="K40" s="11" t="s">
        <v>668</v>
      </c>
      <c r="L40" s="11" t="s">
        <v>802</v>
      </c>
      <c r="M40" s="10">
        <v>13</v>
      </c>
      <c r="N40">
        <v>41.76</v>
      </c>
      <c r="O40" s="3">
        <v>45.19</v>
      </c>
      <c r="P40" s="11" t="s">
        <v>1468</v>
      </c>
      <c r="Q40" s="4">
        <v>0.17899999999999999</v>
      </c>
      <c r="R40" s="3">
        <v>482.31286999999998</v>
      </c>
      <c r="S40" s="3">
        <v>542.88</v>
      </c>
      <c r="T40" s="4">
        <v>-0.12557643340514599</v>
      </c>
      <c r="U40" s="11" t="s">
        <v>659</v>
      </c>
      <c r="V40" s="3">
        <v>-60.56713000000002</v>
      </c>
      <c r="W40" s="11" t="s">
        <v>1438</v>
      </c>
      <c r="X40" t="str">
        <f>TEXT(Table1_1[[#This Row],[OrderDate]],"mm yyyy")</f>
        <v>08 2025</v>
      </c>
      <c r="Y40" s="13">
        <f>DATE(YEAR(Table1_1[[#This Row],[OrderDate]]),MONTH(B40),1)</f>
        <v>45870</v>
      </c>
      <c r="Z40" s="2">
        <f t="shared" si="0"/>
        <v>44927</v>
      </c>
      <c r="AA40">
        <f>(YEAR(Table1_1[[#This Row],[OrderMonth]])-YEAR(Table1_1[[#This Row],[Firstmonth]]))*12+(MONTH(Table1_1[[#This Row],[OrderMonth]])-MONTH(Table1_1[[#This Row],[Firstmonth]]))</f>
        <v>31</v>
      </c>
    </row>
    <row r="41" spans="1:27" x14ac:dyDescent="0.25">
      <c r="A41" s="11" t="s">
        <v>146</v>
      </c>
      <c r="B41" s="2">
        <v>45028</v>
      </c>
      <c r="C41" s="2">
        <v>45033</v>
      </c>
      <c r="D41" s="11" t="s">
        <v>1413</v>
      </c>
      <c r="E41">
        <v>5</v>
      </c>
      <c r="F41" s="11" t="s">
        <v>1464</v>
      </c>
      <c r="G41" s="11" t="s">
        <v>1456</v>
      </c>
      <c r="H41" s="11" t="s">
        <v>1481</v>
      </c>
      <c r="I41" s="11" t="s">
        <v>647</v>
      </c>
      <c r="J41" s="11" t="s">
        <v>652</v>
      </c>
      <c r="K41" s="11" t="s">
        <v>673</v>
      </c>
      <c r="L41" s="11" t="s">
        <v>810</v>
      </c>
      <c r="M41" s="10">
        <v>9</v>
      </c>
      <c r="N41">
        <v>1087.81</v>
      </c>
      <c r="O41" s="3">
        <v>2323.87</v>
      </c>
      <c r="P41" s="11" t="s">
        <v>1471</v>
      </c>
      <c r="Q41" s="4">
        <v>9.4E-2</v>
      </c>
      <c r="R41" s="3">
        <v>18948.83598</v>
      </c>
      <c r="S41" s="3">
        <v>9790.2899999999991</v>
      </c>
      <c r="T41" s="4">
        <v>0.48333026839572701</v>
      </c>
      <c r="U41" s="11" t="s">
        <v>659</v>
      </c>
      <c r="V41" s="3">
        <v>9158.5459800000008</v>
      </c>
      <c r="W41" s="11" t="s">
        <v>1435</v>
      </c>
      <c r="X41" t="str">
        <f>TEXT(Table1_1[[#This Row],[OrderDate]],"mm yyyy")</f>
        <v>04 2023</v>
      </c>
      <c r="Y41" s="13">
        <f>DATE(YEAR(Table1_1[[#This Row],[OrderDate]]),MONTH(B41),1)</f>
        <v>45017</v>
      </c>
      <c r="Z41" s="2">
        <f t="shared" si="0"/>
        <v>44958</v>
      </c>
      <c r="AA41">
        <f>(YEAR(Table1_1[[#This Row],[OrderMonth]])-YEAR(Table1_1[[#This Row],[Firstmonth]]))*12+(MONTH(Table1_1[[#This Row],[OrderMonth]])-MONTH(Table1_1[[#This Row],[Firstmonth]]))</f>
        <v>2</v>
      </c>
    </row>
    <row r="42" spans="1:27" x14ac:dyDescent="0.25">
      <c r="A42" s="11" t="s">
        <v>601</v>
      </c>
      <c r="B42" s="2">
        <v>45899</v>
      </c>
      <c r="C42" s="2">
        <v>45922</v>
      </c>
      <c r="D42" s="11" t="s">
        <v>1413</v>
      </c>
      <c r="E42">
        <v>23</v>
      </c>
      <c r="F42" s="11" t="s">
        <v>1464</v>
      </c>
      <c r="G42" s="11" t="s">
        <v>1456</v>
      </c>
      <c r="H42" s="11" t="s">
        <v>1472</v>
      </c>
      <c r="I42" s="11" t="s">
        <v>642</v>
      </c>
      <c r="J42" s="11" t="s">
        <v>652</v>
      </c>
      <c r="K42" s="11" t="s">
        <v>668</v>
      </c>
      <c r="L42" s="11" t="s">
        <v>1264</v>
      </c>
      <c r="M42" s="10">
        <v>27</v>
      </c>
      <c r="N42">
        <v>663.9</v>
      </c>
      <c r="O42" s="3">
        <v>947.77</v>
      </c>
      <c r="P42" s="11" t="s">
        <v>1466</v>
      </c>
      <c r="Q42" s="4">
        <v>0.17399999999999999</v>
      </c>
      <c r="R42" s="3">
        <v>21137.166540000002</v>
      </c>
      <c r="S42" s="3">
        <v>17925.3</v>
      </c>
      <c r="T42" s="4">
        <v>0.15195350492800699</v>
      </c>
      <c r="U42" s="11" t="s">
        <v>659</v>
      </c>
      <c r="V42" s="3">
        <v>3211.8665400000027</v>
      </c>
      <c r="W42" s="11" t="s">
        <v>1438</v>
      </c>
      <c r="X42" t="str">
        <f>TEXT(Table1_1[[#This Row],[OrderDate]],"mm yyyy")</f>
        <v>08 2025</v>
      </c>
      <c r="Y42" s="13">
        <f>DATE(YEAR(Table1_1[[#This Row],[OrderDate]]),MONTH(B42),1)</f>
        <v>45870</v>
      </c>
      <c r="Z42" s="2">
        <f t="shared" si="0"/>
        <v>44958</v>
      </c>
      <c r="AA42">
        <f>(YEAR(Table1_1[[#This Row],[OrderMonth]])-YEAR(Table1_1[[#This Row],[Firstmonth]]))*12+(MONTH(Table1_1[[#This Row],[OrderMonth]])-MONTH(Table1_1[[#This Row],[Firstmonth]]))</f>
        <v>30</v>
      </c>
    </row>
    <row r="43" spans="1:27" x14ac:dyDescent="0.25">
      <c r="A43" s="11" t="s">
        <v>534</v>
      </c>
      <c r="B43" s="2">
        <v>45304</v>
      </c>
      <c r="C43" s="2">
        <v>45306</v>
      </c>
      <c r="D43" s="11" t="s">
        <v>1413</v>
      </c>
      <c r="E43">
        <v>2</v>
      </c>
      <c r="F43" s="11" t="s">
        <v>1473</v>
      </c>
      <c r="G43" s="11" t="s">
        <v>1498</v>
      </c>
      <c r="H43" s="11" t="s">
        <v>1499</v>
      </c>
      <c r="I43" s="11" t="s">
        <v>644</v>
      </c>
      <c r="J43" s="11" t="s">
        <v>652</v>
      </c>
      <c r="K43" s="11" t="s">
        <v>668</v>
      </c>
      <c r="L43" s="11" t="s">
        <v>1198</v>
      </c>
      <c r="M43" s="10">
        <v>6</v>
      </c>
      <c r="N43">
        <v>1061.3699999999999</v>
      </c>
      <c r="O43" s="3">
        <v>1938.33</v>
      </c>
      <c r="P43" s="11" t="s">
        <v>1471</v>
      </c>
      <c r="Q43" s="4">
        <v>0.17</v>
      </c>
      <c r="R43" s="3">
        <v>9652.8833999999988</v>
      </c>
      <c r="S43" s="3">
        <v>6368.2199999999993</v>
      </c>
      <c r="T43" s="4">
        <v>0.34027795259600901</v>
      </c>
      <c r="U43" s="11" t="s">
        <v>659</v>
      </c>
      <c r="V43" s="3">
        <v>3284.6633999999995</v>
      </c>
      <c r="W43" s="11" t="s">
        <v>1433</v>
      </c>
      <c r="X43" t="str">
        <f>TEXT(Table1_1[[#This Row],[OrderDate]],"mm yyyy")</f>
        <v>01 2024</v>
      </c>
      <c r="Y43" s="13">
        <f>DATE(YEAR(Table1_1[[#This Row],[OrderDate]]),MONTH(B43),1)</f>
        <v>45292</v>
      </c>
      <c r="Z43" s="2">
        <f t="shared" si="0"/>
        <v>44927</v>
      </c>
      <c r="AA43">
        <f>(YEAR(Table1_1[[#This Row],[OrderMonth]])-YEAR(Table1_1[[#This Row],[Firstmonth]]))*12+(MONTH(Table1_1[[#This Row],[OrderMonth]])-MONTH(Table1_1[[#This Row],[Firstmonth]]))</f>
        <v>12</v>
      </c>
    </row>
    <row r="44" spans="1:27" x14ac:dyDescent="0.25">
      <c r="A44" s="11" t="s">
        <v>307</v>
      </c>
      <c r="B44" s="2">
        <v>45097</v>
      </c>
      <c r="C44" s="2">
        <v>45115</v>
      </c>
      <c r="D44" s="11" t="s">
        <v>1413</v>
      </c>
      <c r="E44">
        <v>18</v>
      </c>
      <c r="F44" s="11" t="s">
        <v>1473</v>
      </c>
      <c r="G44" s="11" t="s">
        <v>1458</v>
      </c>
      <c r="H44" s="11" t="s">
        <v>1500</v>
      </c>
      <c r="I44" s="11" t="s">
        <v>644</v>
      </c>
      <c r="J44" s="11" t="s">
        <v>652</v>
      </c>
      <c r="K44" s="11" t="s">
        <v>673</v>
      </c>
      <c r="L44" s="11" t="s">
        <v>972</v>
      </c>
      <c r="M44" s="10">
        <v>14</v>
      </c>
      <c r="N44">
        <v>337</v>
      </c>
      <c r="O44" s="3">
        <v>511.03</v>
      </c>
      <c r="P44" s="11" t="s">
        <v>1468</v>
      </c>
      <c r="Q44" s="4">
        <v>0.108</v>
      </c>
      <c r="R44" s="3">
        <v>6381.7426400000004</v>
      </c>
      <c r="S44" s="3">
        <v>4718</v>
      </c>
      <c r="T44" s="4">
        <v>0.26070349963219502</v>
      </c>
      <c r="U44" s="11" t="s">
        <v>662</v>
      </c>
      <c r="V44" s="3">
        <v>1663.7426400000004</v>
      </c>
      <c r="W44" s="11" t="s">
        <v>1435</v>
      </c>
      <c r="X44" t="str">
        <f>TEXT(Table1_1[[#This Row],[OrderDate]],"mm yyyy")</f>
        <v>06 2023</v>
      </c>
      <c r="Y44" s="13">
        <f>DATE(YEAR(Table1_1[[#This Row],[OrderDate]]),MONTH(B44),1)</f>
        <v>45078</v>
      </c>
      <c r="Z44" s="2">
        <f t="shared" si="0"/>
        <v>44927</v>
      </c>
      <c r="AA44">
        <f>(YEAR(Table1_1[[#This Row],[OrderMonth]])-YEAR(Table1_1[[#This Row],[Firstmonth]]))*12+(MONTH(Table1_1[[#This Row],[OrderMonth]])-MONTH(Table1_1[[#This Row],[Firstmonth]]))</f>
        <v>5</v>
      </c>
    </row>
    <row r="45" spans="1:27" x14ac:dyDescent="0.25">
      <c r="A45" s="11" t="s">
        <v>466</v>
      </c>
      <c r="B45" s="2">
        <v>45265</v>
      </c>
      <c r="C45" s="2">
        <v>45272</v>
      </c>
      <c r="D45" s="11" t="s">
        <v>1413</v>
      </c>
      <c r="E45">
        <v>7</v>
      </c>
      <c r="F45" s="11" t="s">
        <v>1473</v>
      </c>
      <c r="G45" s="11" t="s">
        <v>1454</v>
      </c>
      <c r="H45" s="11" t="s">
        <v>1478</v>
      </c>
      <c r="I45" s="11" t="s">
        <v>642</v>
      </c>
      <c r="J45" s="11" t="s">
        <v>652</v>
      </c>
      <c r="K45" s="11" t="s">
        <v>671</v>
      </c>
      <c r="L45" s="11" t="s">
        <v>1130</v>
      </c>
      <c r="M45" s="10">
        <v>11</v>
      </c>
      <c r="N45">
        <v>307.43</v>
      </c>
      <c r="O45" s="3">
        <v>495.19</v>
      </c>
      <c r="P45" s="11" t="s">
        <v>1468</v>
      </c>
      <c r="Q45" s="4">
        <v>0</v>
      </c>
      <c r="R45" s="3">
        <v>5447.09</v>
      </c>
      <c r="S45" s="3">
        <v>3381.73</v>
      </c>
      <c r="T45" s="4">
        <v>0.37916759223732299</v>
      </c>
      <c r="U45" s="11" t="s">
        <v>662</v>
      </c>
      <c r="V45" s="3">
        <v>2065.36</v>
      </c>
      <c r="W45" s="11" t="s">
        <v>1439</v>
      </c>
      <c r="X45" t="str">
        <f>TEXT(Table1_1[[#This Row],[OrderDate]],"mm yyyy")</f>
        <v>12 2023</v>
      </c>
      <c r="Y45" s="13">
        <f>DATE(YEAR(Table1_1[[#This Row],[OrderDate]]),MONTH(B45),1)</f>
        <v>45261</v>
      </c>
      <c r="Z45" s="2">
        <f t="shared" si="0"/>
        <v>44927</v>
      </c>
      <c r="AA45">
        <f>(YEAR(Table1_1[[#This Row],[OrderMonth]])-YEAR(Table1_1[[#This Row],[Firstmonth]]))*12+(MONTH(Table1_1[[#This Row],[OrderMonth]])-MONTH(Table1_1[[#This Row],[Firstmonth]]))</f>
        <v>11</v>
      </c>
    </row>
    <row r="46" spans="1:27" x14ac:dyDescent="0.25">
      <c r="A46" s="11" t="s">
        <v>298</v>
      </c>
      <c r="B46" s="2">
        <v>45319</v>
      </c>
      <c r="C46" s="2">
        <v>45321</v>
      </c>
      <c r="D46" s="11" t="s">
        <v>1413</v>
      </c>
      <c r="E46">
        <v>2</v>
      </c>
      <c r="F46" s="11" t="s">
        <v>1485</v>
      </c>
      <c r="G46" s="11" t="s">
        <v>1501</v>
      </c>
      <c r="H46" s="11" t="s">
        <v>1502</v>
      </c>
      <c r="I46" s="11" t="s">
        <v>645</v>
      </c>
      <c r="J46" s="11" t="s">
        <v>652</v>
      </c>
      <c r="K46" s="11" t="s">
        <v>674</v>
      </c>
      <c r="L46" s="11" t="s">
        <v>963</v>
      </c>
      <c r="M46" s="10">
        <v>22</v>
      </c>
      <c r="N46">
        <v>798.45</v>
      </c>
      <c r="O46" s="3">
        <v>1592.02</v>
      </c>
      <c r="P46" s="11" t="s">
        <v>1466</v>
      </c>
      <c r="Q46" s="4">
        <v>6.6000000000000003E-2</v>
      </c>
      <c r="R46" s="3">
        <v>32712.826959999999</v>
      </c>
      <c r="S46" s="3">
        <v>17565.900000000001</v>
      </c>
      <c r="T46" s="4">
        <v>0.46302714768494602</v>
      </c>
      <c r="U46" s="11" t="s">
        <v>662</v>
      </c>
      <c r="V46" s="3">
        <v>15146.926959999997</v>
      </c>
      <c r="W46" s="11" t="s">
        <v>1433</v>
      </c>
      <c r="X46" t="str">
        <f>TEXT(Table1_1[[#This Row],[OrderDate]],"mm yyyy")</f>
        <v>01 2024</v>
      </c>
      <c r="Y46" s="13">
        <f>DATE(YEAR(Table1_1[[#This Row],[OrderDate]]),MONTH(B46),1)</f>
        <v>45292</v>
      </c>
      <c r="Z46" s="2">
        <f t="shared" si="0"/>
        <v>44927</v>
      </c>
      <c r="AA46">
        <f>(YEAR(Table1_1[[#This Row],[OrderMonth]])-YEAR(Table1_1[[#This Row],[Firstmonth]]))*12+(MONTH(Table1_1[[#This Row],[OrderMonth]])-MONTH(Table1_1[[#This Row],[Firstmonth]]))</f>
        <v>12</v>
      </c>
    </row>
    <row r="47" spans="1:27" x14ac:dyDescent="0.25">
      <c r="A47" s="11" t="s">
        <v>128</v>
      </c>
      <c r="B47" s="2">
        <v>45653</v>
      </c>
      <c r="C47" s="2">
        <v>45659</v>
      </c>
      <c r="D47" s="11" t="s">
        <v>1413</v>
      </c>
      <c r="E47">
        <v>6</v>
      </c>
      <c r="F47" s="11" t="s">
        <v>1464</v>
      </c>
      <c r="G47" s="11" t="s">
        <v>1455</v>
      </c>
      <c r="H47" s="11" t="s">
        <v>1467</v>
      </c>
      <c r="I47" s="11" t="s">
        <v>643</v>
      </c>
      <c r="J47" s="11" t="s">
        <v>652</v>
      </c>
      <c r="K47" s="11" t="s">
        <v>672</v>
      </c>
      <c r="L47" s="11" t="s">
        <v>792</v>
      </c>
      <c r="M47" s="10">
        <v>28</v>
      </c>
      <c r="N47">
        <v>1391.99</v>
      </c>
      <c r="O47" s="3">
        <v>3469.7</v>
      </c>
      <c r="P47" s="11" t="s">
        <v>1471</v>
      </c>
      <c r="Q47" s="4">
        <v>0.184</v>
      </c>
      <c r="R47" s="3">
        <v>79275.705600000001</v>
      </c>
      <c r="S47" s="3">
        <v>38975.72</v>
      </c>
      <c r="T47" s="4">
        <v>0.50835227886006995</v>
      </c>
      <c r="U47" s="11" t="s">
        <v>662</v>
      </c>
      <c r="V47" s="3">
        <v>40299.9856</v>
      </c>
      <c r="W47" s="11" t="s">
        <v>1440</v>
      </c>
      <c r="X47" t="str">
        <f>TEXT(Table1_1[[#This Row],[OrderDate]],"mm yyyy")</f>
        <v>12 2024</v>
      </c>
      <c r="Y47" s="13">
        <f>DATE(YEAR(Table1_1[[#This Row],[OrderDate]]),MONTH(B47),1)</f>
        <v>45627</v>
      </c>
      <c r="Z47" s="2">
        <f t="shared" si="0"/>
        <v>44927</v>
      </c>
      <c r="AA47">
        <f>(YEAR(Table1_1[[#This Row],[OrderMonth]])-YEAR(Table1_1[[#This Row],[Firstmonth]]))*12+(MONTH(Table1_1[[#This Row],[OrderMonth]])-MONTH(Table1_1[[#This Row],[Firstmonth]]))</f>
        <v>23</v>
      </c>
    </row>
    <row r="48" spans="1:27" x14ac:dyDescent="0.25">
      <c r="A48" s="11" t="s">
        <v>401</v>
      </c>
      <c r="B48" s="2">
        <v>45514</v>
      </c>
      <c r="C48" s="2">
        <v>45542</v>
      </c>
      <c r="D48" s="11" t="s">
        <v>1413</v>
      </c>
      <c r="E48">
        <v>28</v>
      </c>
      <c r="F48" s="11" t="s">
        <v>1464</v>
      </c>
      <c r="G48" s="11" t="s">
        <v>1456</v>
      </c>
      <c r="H48" s="11" t="s">
        <v>1472</v>
      </c>
      <c r="I48" s="11" t="s">
        <v>644</v>
      </c>
      <c r="J48" s="11" t="s">
        <v>652</v>
      </c>
      <c r="K48" s="11" t="s">
        <v>669</v>
      </c>
      <c r="L48" s="11" t="s">
        <v>1065</v>
      </c>
      <c r="M48" s="10">
        <v>13</v>
      </c>
      <c r="N48">
        <v>229.96</v>
      </c>
      <c r="O48" s="3">
        <v>564.26</v>
      </c>
      <c r="P48" s="11" t="s">
        <v>1468</v>
      </c>
      <c r="Q48" s="4">
        <v>0.105</v>
      </c>
      <c r="R48" s="3">
        <v>6565.1651000000002</v>
      </c>
      <c r="S48" s="3">
        <v>2989.48</v>
      </c>
      <c r="T48" s="4">
        <v>0.54464511486542799</v>
      </c>
      <c r="U48" s="11" t="s">
        <v>662</v>
      </c>
      <c r="V48" s="3">
        <v>3575.6851000000001</v>
      </c>
      <c r="W48" s="11" t="s">
        <v>1437</v>
      </c>
      <c r="X48" t="str">
        <f>TEXT(Table1_1[[#This Row],[OrderDate]],"mm yyyy")</f>
        <v>08 2024</v>
      </c>
      <c r="Y48" s="13">
        <f>DATE(YEAR(Table1_1[[#This Row],[OrderDate]]),MONTH(B48),1)</f>
        <v>45505</v>
      </c>
      <c r="Z48" s="2">
        <f t="shared" si="0"/>
        <v>44958</v>
      </c>
      <c r="AA48">
        <f>(YEAR(Table1_1[[#This Row],[OrderMonth]])-YEAR(Table1_1[[#This Row],[Firstmonth]]))*12+(MONTH(Table1_1[[#This Row],[OrderMonth]])-MONTH(Table1_1[[#This Row],[Firstmonth]]))</f>
        <v>18</v>
      </c>
    </row>
    <row r="49" spans="1:27" x14ac:dyDescent="0.25">
      <c r="A49" s="11" t="s">
        <v>576</v>
      </c>
      <c r="B49" s="2">
        <v>45330</v>
      </c>
      <c r="C49" s="2">
        <v>45331</v>
      </c>
      <c r="D49" s="11" t="s">
        <v>1413</v>
      </c>
      <c r="E49">
        <v>1</v>
      </c>
      <c r="F49" s="11" t="s">
        <v>1485</v>
      </c>
      <c r="G49" s="11" t="s">
        <v>1449</v>
      </c>
      <c r="H49" s="11" t="s">
        <v>1503</v>
      </c>
      <c r="I49" s="11" t="s">
        <v>642</v>
      </c>
      <c r="J49" s="11" t="s">
        <v>652</v>
      </c>
      <c r="K49" s="11" t="s">
        <v>668</v>
      </c>
      <c r="L49" s="11" t="s">
        <v>1239</v>
      </c>
      <c r="M49" s="10">
        <v>31</v>
      </c>
      <c r="N49">
        <v>1233.52</v>
      </c>
      <c r="O49" s="3">
        <v>1543.76</v>
      </c>
      <c r="P49" s="11" t="s">
        <v>1466</v>
      </c>
      <c r="Q49" s="4">
        <v>0.126</v>
      </c>
      <c r="R49" s="3">
        <v>41826.633439999998</v>
      </c>
      <c r="S49" s="3">
        <v>38239.120000000003</v>
      </c>
      <c r="T49" s="4">
        <v>8.5771030201277298E-2</v>
      </c>
      <c r="U49" s="11" t="s">
        <v>662</v>
      </c>
      <c r="V49" s="3">
        <v>3587.5134399999952</v>
      </c>
      <c r="W49" s="11" t="s">
        <v>1433</v>
      </c>
      <c r="X49" t="str">
        <f>TEXT(Table1_1[[#This Row],[OrderDate]],"mm yyyy")</f>
        <v>02 2024</v>
      </c>
      <c r="Y49" s="13">
        <f>DATE(YEAR(Table1_1[[#This Row],[OrderDate]]),MONTH(B49),1)</f>
        <v>45323</v>
      </c>
      <c r="Z49" s="2">
        <f t="shared" si="0"/>
        <v>44927</v>
      </c>
      <c r="AA49">
        <f>(YEAR(Table1_1[[#This Row],[OrderMonth]])-YEAR(Table1_1[[#This Row],[Firstmonth]]))*12+(MONTH(Table1_1[[#This Row],[OrderMonth]])-MONTH(Table1_1[[#This Row],[Firstmonth]]))</f>
        <v>13</v>
      </c>
    </row>
    <row r="50" spans="1:27" x14ac:dyDescent="0.25">
      <c r="A50" s="11" t="s">
        <v>468</v>
      </c>
      <c r="B50" s="2">
        <v>45260</v>
      </c>
      <c r="C50" s="2">
        <v>45270</v>
      </c>
      <c r="D50" s="11" t="s">
        <v>1413</v>
      </c>
      <c r="E50">
        <v>10</v>
      </c>
      <c r="F50" s="11" t="s">
        <v>1464</v>
      </c>
      <c r="G50" s="11" t="s">
        <v>1455</v>
      </c>
      <c r="H50" s="11" t="s">
        <v>1483</v>
      </c>
      <c r="I50" s="11" t="s">
        <v>646</v>
      </c>
      <c r="J50" s="11" t="s">
        <v>652</v>
      </c>
      <c r="K50" s="11" t="s">
        <v>672</v>
      </c>
      <c r="L50" s="11" t="s">
        <v>1132</v>
      </c>
      <c r="M50" s="10">
        <v>24</v>
      </c>
      <c r="N50">
        <v>174.74</v>
      </c>
      <c r="O50" s="3">
        <v>415.96</v>
      </c>
      <c r="P50" s="11" t="s">
        <v>1468</v>
      </c>
      <c r="Q50" s="4">
        <v>0.125</v>
      </c>
      <c r="R50" s="3">
        <v>8735.16</v>
      </c>
      <c r="S50" s="3">
        <v>4193.76</v>
      </c>
      <c r="T50" s="4">
        <v>0.51989889137691803</v>
      </c>
      <c r="U50" s="11" t="s">
        <v>662</v>
      </c>
      <c r="V50" s="3">
        <v>4541.3999999999996</v>
      </c>
      <c r="W50" s="11" t="s">
        <v>1439</v>
      </c>
      <c r="X50" t="str">
        <f>TEXT(Table1_1[[#This Row],[OrderDate]],"mm yyyy")</f>
        <v>11 2023</v>
      </c>
      <c r="Y50" s="13">
        <f>DATE(YEAR(Table1_1[[#This Row],[OrderDate]]),MONTH(B50),1)</f>
        <v>45231</v>
      </c>
      <c r="Z50" s="2">
        <f t="shared" si="0"/>
        <v>44927</v>
      </c>
      <c r="AA50">
        <f>(YEAR(Table1_1[[#This Row],[OrderMonth]])-YEAR(Table1_1[[#This Row],[Firstmonth]]))*12+(MONTH(Table1_1[[#This Row],[OrderMonth]])-MONTH(Table1_1[[#This Row],[Firstmonth]]))</f>
        <v>10</v>
      </c>
    </row>
    <row r="51" spans="1:27" x14ac:dyDescent="0.25">
      <c r="A51" s="11" t="s">
        <v>546</v>
      </c>
      <c r="B51" s="2">
        <v>45108</v>
      </c>
      <c r="C51" s="2">
        <v>45118</v>
      </c>
      <c r="D51" s="11" t="s">
        <v>1413</v>
      </c>
      <c r="E51">
        <v>10</v>
      </c>
      <c r="F51" s="11" t="s">
        <v>1464</v>
      </c>
      <c r="G51" s="11" t="s">
        <v>1456</v>
      </c>
      <c r="H51" s="11" t="s">
        <v>1504</v>
      </c>
      <c r="I51" s="11" t="s">
        <v>642</v>
      </c>
      <c r="J51" s="11" t="s">
        <v>652</v>
      </c>
      <c r="K51" s="11" t="s">
        <v>670</v>
      </c>
      <c r="L51" s="11" t="s">
        <v>1210</v>
      </c>
      <c r="M51" s="10">
        <v>22</v>
      </c>
      <c r="N51">
        <v>479.5</v>
      </c>
      <c r="O51" s="3">
        <v>656.66</v>
      </c>
      <c r="P51" s="11" t="s">
        <v>1468</v>
      </c>
      <c r="Q51" s="4">
        <v>0.14899999999999999</v>
      </c>
      <c r="R51" s="3">
        <v>12293.988519999999</v>
      </c>
      <c r="S51" s="3">
        <v>10549</v>
      </c>
      <c r="T51" s="4">
        <v>0.141938356064123</v>
      </c>
      <c r="U51" s="11" t="s">
        <v>662</v>
      </c>
      <c r="V51" s="3">
        <v>1744.988519999999</v>
      </c>
      <c r="W51" s="11" t="s">
        <v>1430</v>
      </c>
      <c r="X51" t="str">
        <f>TEXT(Table1_1[[#This Row],[OrderDate]],"mm yyyy")</f>
        <v>07 2023</v>
      </c>
      <c r="Y51" s="13">
        <f>DATE(YEAR(Table1_1[[#This Row],[OrderDate]]),MONTH(B51),1)</f>
        <v>45108</v>
      </c>
      <c r="Z51" s="2">
        <f t="shared" si="0"/>
        <v>44958</v>
      </c>
      <c r="AA51">
        <f>(YEAR(Table1_1[[#This Row],[OrderMonth]])-YEAR(Table1_1[[#This Row],[Firstmonth]]))*12+(MONTH(Table1_1[[#This Row],[OrderMonth]])-MONTH(Table1_1[[#This Row],[Firstmonth]]))</f>
        <v>5</v>
      </c>
    </row>
    <row r="52" spans="1:27" x14ac:dyDescent="0.25">
      <c r="A52" s="11" t="s">
        <v>529</v>
      </c>
      <c r="B52" s="2">
        <v>45047</v>
      </c>
      <c r="C52" s="2">
        <v>45064</v>
      </c>
      <c r="D52" s="11" t="s">
        <v>1413</v>
      </c>
      <c r="E52">
        <v>17</v>
      </c>
      <c r="F52" s="11" t="s">
        <v>1485</v>
      </c>
      <c r="G52" s="11" t="s">
        <v>1495</v>
      </c>
      <c r="H52" s="11" t="s">
        <v>1496</v>
      </c>
      <c r="I52" s="11" t="s">
        <v>642</v>
      </c>
      <c r="J52" s="11" t="s">
        <v>652</v>
      </c>
      <c r="K52" s="11" t="s">
        <v>668</v>
      </c>
      <c r="L52" s="11" t="s">
        <v>1193</v>
      </c>
      <c r="M52" s="10">
        <v>8</v>
      </c>
      <c r="N52">
        <v>327.97</v>
      </c>
      <c r="O52" s="3">
        <v>299.94</v>
      </c>
      <c r="P52" s="11" t="s">
        <v>1468</v>
      </c>
      <c r="Q52" s="4">
        <v>4.9000000000000002E-2</v>
      </c>
      <c r="R52" s="3">
        <v>2281.9435199999998</v>
      </c>
      <c r="S52" s="3">
        <v>2623.76</v>
      </c>
      <c r="T52" s="4">
        <v>-0.149791823068434</v>
      </c>
      <c r="U52" s="11" t="s">
        <v>662</v>
      </c>
      <c r="V52" s="3">
        <v>-341.81648000000041</v>
      </c>
      <c r="W52" s="11" t="s">
        <v>1435</v>
      </c>
      <c r="X52" t="str">
        <f>TEXT(Table1_1[[#This Row],[OrderDate]],"mm yyyy")</f>
        <v>05 2023</v>
      </c>
      <c r="Y52" s="13">
        <f>DATE(YEAR(Table1_1[[#This Row],[OrderDate]]),MONTH(B52),1)</f>
        <v>45047</v>
      </c>
      <c r="Z52" s="2">
        <f t="shared" si="0"/>
        <v>45047</v>
      </c>
      <c r="AA52">
        <f>(YEAR(Table1_1[[#This Row],[OrderMonth]])-YEAR(Table1_1[[#This Row],[Firstmonth]]))*12+(MONTH(Table1_1[[#This Row],[OrderMonth]])-MONTH(Table1_1[[#This Row],[Firstmonth]]))</f>
        <v>0</v>
      </c>
    </row>
    <row r="53" spans="1:27" x14ac:dyDescent="0.25">
      <c r="A53" s="11" t="s">
        <v>514</v>
      </c>
      <c r="B53" s="2">
        <v>45726</v>
      </c>
      <c r="C53" s="2">
        <v>45743</v>
      </c>
      <c r="D53" s="11" t="s">
        <v>1413</v>
      </c>
      <c r="E53">
        <v>17</v>
      </c>
      <c r="F53" s="11" t="s">
        <v>1473</v>
      </c>
      <c r="G53" s="11" t="s">
        <v>1505</v>
      </c>
      <c r="H53" s="11" t="s">
        <v>1506</v>
      </c>
      <c r="I53" s="11" t="s">
        <v>647</v>
      </c>
      <c r="J53" s="11" t="s">
        <v>652</v>
      </c>
      <c r="K53" s="11" t="s">
        <v>670</v>
      </c>
      <c r="L53" s="11" t="s">
        <v>1178</v>
      </c>
      <c r="M53" s="10">
        <v>8</v>
      </c>
      <c r="N53">
        <v>996.73</v>
      </c>
      <c r="O53" s="3">
        <v>1217.43</v>
      </c>
      <c r="P53" s="11" t="s">
        <v>1466</v>
      </c>
      <c r="Q53" s="4">
        <v>7.0000000000000007E-2</v>
      </c>
      <c r="R53" s="3">
        <v>9057.6792000000005</v>
      </c>
      <c r="S53" s="3">
        <v>7973.84</v>
      </c>
      <c r="T53" s="4">
        <v>0.119659702675273</v>
      </c>
      <c r="U53" s="11" t="s">
        <v>662</v>
      </c>
      <c r="V53" s="3">
        <v>1083.8392000000003</v>
      </c>
      <c r="W53" s="11" t="s">
        <v>1434</v>
      </c>
      <c r="X53" t="str">
        <f>TEXT(Table1_1[[#This Row],[OrderDate]],"mm yyyy")</f>
        <v>03 2025</v>
      </c>
      <c r="Y53" s="13">
        <f>DATE(YEAR(Table1_1[[#This Row],[OrderDate]]),MONTH(B53),1)</f>
        <v>45717</v>
      </c>
      <c r="Z53" s="2">
        <f t="shared" si="0"/>
        <v>45017</v>
      </c>
      <c r="AA53">
        <f>(YEAR(Table1_1[[#This Row],[OrderMonth]])-YEAR(Table1_1[[#This Row],[Firstmonth]]))*12+(MONTH(Table1_1[[#This Row],[OrderMonth]])-MONTH(Table1_1[[#This Row],[Firstmonth]]))</f>
        <v>23</v>
      </c>
    </row>
    <row r="54" spans="1:27" x14ac:dyDescent="0.25">
      <c r="A54" s="11" t="s">
        <v>312</v>
      </c>
      <c r="B54" s="2">
        <v>45125</v>
      </c>
      <c r="C54" s="2">
        <v>45129</v>
      </c>
      <c r="D54" s="11" t="s">
        <v>1413</v>
      </c>
      <c r="E54">
        <v>4</v>
      </c>
      <c r="F54" s="11" t="s">
        <v>1473</v>
      </c>
      <c r="G54" s="11" t="s">
        <v>1488</v>
      </c>
      <c r="H54" s="11" t="s">
        <v>1489</v>
      </c>
      <c r="I54" s="11" t="s">
        <v>645</v>
      </c>
      <c r="J54" s="11" t="s">
        <v>652</v>
      </c>
      <c r="K54" s="11" t="s">
        <v>670</v>
      </c>
      <c r="L54" s="11" t="s">
        <v>977</v>
      </c>
      <c r="M54" s="10">
        <v>15</v>
      </c>
      <c r="N54">
        <v>1269.55</v>
      </c>
      <c r="O54" s="3">
        <v>2071.1</v>
      </c>
      <c r="P54" s="11" t="s">
        <v>1471</v>
      </c>
      <c r="Q54" s="4">
        <v>0.129</v>
      </c>
      <c r="R54" s="3">
        <v>27058.9215</v>
      </c>
      <c r="S54" s="3">
        <v>19043.25</v>
      </c>
      <c r="T54" s="4">
        <v>0.29623026549672399</v>
      </c>
      <c r="U54" s="11" t="s">
        <v>662</v>
      </c>
      <c r="V54" s="3">
        <v>8015.6715000000004</v>
      </c>
      <c r="W54" s="11" t="s">
        <v>1430</v>
      </c>
      <c r="X54" t="str">
        <f>TEXT(Table1_1[[#This Row],[OrderDate]],"mm yyyy")</f>
        <v>07 2023</v>
      </c>
      <c r="Y54" s="13">
        <f>DATE(YEAR(Table1_1[[#This Row],[OrderDate]]),MONTH(B54),1)</f>
        <v>45108</v>
      </c>
      <c r="Z54" s="2">
        <f t="shared" si="0"/>
        <v>44958</v>
      </c>
      <c r="AA54">
        <f>(YEAR(Table1_1[[#This Row],[OrderMonth]])-YEAR(Table1_1[[#This Row],[Firstmonth]]))*12+(MONTH(Table1_1[[#This Row],[OrderMonth]])-MONTH(Table1_1[[#This Row],[Firstmonth]]))</f>
        <v>5</v>
      </c>
    </row>
    <row r="55" spans="1:27" x14ac:dyDescent="0.25">
      <c r="A55" s="11" t="s">
        <v>366</v>
      </c>
      <c r="B55" s="2">
        <v>45883</v>
      </c>
      <c r="C55" s="2">
        <v>45911</v>
      </c>
      <c r="D55" s="11" t="s">
        <v>1413</v>
      </c>
      <c r="E55">
        <v>28</v>
      </c>
      <c r="F55" s="11" t="s">
        <v>1473</v>
      </c>
      <c r="G55" s="11" t="s">
        <v>1488</v>
      </c>
      <c r="H55" s="11" t="s">
        <v>1489</v>
      </c>
      <c r="I55" s="11" t="s">
        <v>644</v>
      </c>
      <c r="J55" s="11" t="s">
        <v>652</v>
      </c>
      <c r="K55" s="11" t="s">
        <v>669</v>
      </c>
      <c r="L55" s="11" t="s">
        <v>1031</v>
      </c>
      <c r="M55" s="10">
        <v>13</v>
      </c>
      <c r="N55">
        <v>1203.02</v>
      </c>
      <c r="O55" s="3">
        <v>2439.33</v>
      </c>
      <c r="P55" s="11" t="s">
        <v>1471</v>
      </c>
      <c r="Q55" s="4">
        <v>0</v>
      </c>
      <c r="R55" s="3">
        <v>31711.29</v>
      </c>
      <c r="S55" s="3">
        <v>15639.26</v>
      </c>
      <c r="T55" s="4">
        <v>0.50682359500354601</v>
      </c>
      <c r="U55" s="11" t="s">
        <v>662</v>
      </c>
      <c r="V55" s="3">
        <v>16072.03</v>
      </c>
      <c r="W55" s="11" t="s">
        <v>1438</v>
      </c>
      <c r="X55" t="str">
        <f>TEXT(Table1_1[[#This Row],[OrderDate]],"mm yyyy")</f>
        <v>08 2025</v>
      </c>
      <c r="Y55" s="13">
        <f>DATE(YEAR(Table1_1[[#This Row],[OrderDate]]),MONTH(B55),1)</f>
        <v>45870</v>
      </c>
      <c r="Z55" s="2">
        <f t="shared" si="0"/>
        <v>44958</v>
      </c>
      <c r="AA55">
        <f>(YEAR(Table1_1[[#This Row],[OrderMonth]])-YEAR(Table1_1[[#This Row],[Firstmonth]]))*12+(MONTH(Table1_1[[#This Row],[OrderMonth]])-MONTH(Table1_1[[#This Row],[Firstmonth]]))</f>
        <v>30</v>
      </c>
    </row>
    <row r="56" spans="1:27" x14ac:dyDescent="0.25">
      <c r="A56" s="11" t="s">
        <v>114</v>
      </c>
      <c r="B56" s="2">
        <v>45631</v>
      </c>
      <c r="C56" s="2">
        <v>45654</v>
      </c>
      <c r="D56" s="11" t="s">
        <v>1413</v>
      </c>
      <c r="E56">
        <v>23</v>
      </c>
      <c r="F56" s="11" t="s">
        <v>1473</v>
      </c>
      <c r="G56" s="11" t="s">
        <v>1452</v>
      </c>
      <c r="H56" s="11" t="s">
        <v>1475</v>
      </c>
      <c r="I56" s="11" t="s">
        <v>642</v>
      </c>
      <c r="J56" s="11" t="s">
        <v>652</v>
      </c>
      <c r="K56" s="11" t="s">
        <v>674</v>
      </c>
      <c r="L56" s="11" t="s">
        <v>778</v>
      </c>
      <c r="M56" s="10">
        <v>6</v>
      </c>
      <c r="N56">
        <v>107.03</v>
      </c>
      <c r="O56" s="3">
        <v>242.29</v>
      </c>
      <c r="P56" s="11" t="s">
        <v>1468</v>
      </c>
      <c r="Q56" s="4">
        <v>0.18</v>
      </c>
      <c r="R56" s="3">
        <v>1192.0668000000001</v>
      </c>
      <c r="S56" s="3">
        <v>642.18000000000006</v>
      </c>
      <c r="T56" s="4">
        <v>0.46128857879440999</v>
      </c>
      <c r="U56" s="11" t="s">
        <v>662</v>
      </c>
      <c r="V56" s="3">
        <v>549.88679999999999</v>
      </c>
      <c r="W56" s="11" t="s">
        <v>1440</v>
      </c>
      <c r="X56" t="str">
        <f>TEXT(Table1_1[[#This Row],[OrderDate]],"mm yyyy")</f>
        <v>12 2024</v>
      </c>
      <c r="Y56" s="13">
        <f>DATE(YEAR(Table1_1[[#This Row],[OrderDate]]),MONTH(B56),1)</f>
        <v>45627</v>
      </c>
      <c r="Z56" s="2">
        <f t="shared" si="0"/>
        <v>44927</v>
      </c>
      <c r="AA56">
        <f>(YEAR(Table1_1[[#This Row],[OrderMonth]])-YEAR(Table1_1[[#This Row],[Firstmonth]]))*12+(MONTH(Table1_1[[#This Row],[OrderMonth]])-MONTH(Table1_1[[#This Row],[Firstmonth]]))</f>
        <v>23</v>
      </c>
    </row>
    <row r="57" spans="1:27" x14ac:dyDescent="0.25">
      <c r="A57" s="11" t="s">
        <v>451</v>
      </c>
      <c r="B57" s="2">
        <v>45374</v>
      </c>
      <c r="C57" s="2">
        <v>45377</v>
      </c>
      <c r="D57" s="11" t="s">
        <v>1413</v>
      </c>
      <c r="E57">
        <v>3</v>
      </c>
      <c r="F57" s="11" t="s">
        <v>1476</v>
      </c>
      <c r="G57" s="11" t="s">
        <v>1453</v>
      </c>
      <c r="H57" s="11" t="s">
        <v>1497</v>
      </c>
      <c r="I57" s="11" t="s">
        <v>643</v>
      </c>
      <c r="J57" s="11" t="s">
        <v>652</v>
      </c>
      <c r="K57" s="11" t="s">
        <v>671</v>
      </c>
      <c r="L57" s="11" t="s">
        <v>1115</v>
      </c>
      <c r="M57" s="10">
        <v>38</v>
      </c>
      <c r="N57">
        <v>382.21</v>
      </c>
      <c r="O57" s="3">
        <v>571.89</v>
      </c>
      <c r="P57" s="11" t="s">
        <v>1468</v>
      </c>
      <c r="Q57" s="4">
        <v>0.14799999999999999</v>
      </c>
      <c r="R57" s="3">
        <v>18515.51064</v>
      </c>
      <c r="S57" s="3">
        <v>14523.98</v>
      </c>
      <c r="T57" s="4">
        <v>0.21557766985788099</v>
      </c>
      <c r="U57" s="11" t="s">
        <v>656</v>
      </c>
      <c r="V57" s="3">
        <v>3991.5306400000009</v>
      </c>
      <c r="W57" s="11" t="s">
        <v>1433</v>
      </c>
      <c r="X57" t="str">
        <f>TEXT(Table1_1[[#This Row],[OrderDate]],"mm yyyy")</f>
        <v>03 2024</v>
      </c>
      <c r="Y57" s="13">
        <f>DATE(YEAR(Table1_1[[#This Row],[OrderDate]]),MONTH(B57),1)</f>
        <v>45352</v>
      </c>
      <c r="Z57" s="2">
        <f t="shared" si="0"/>
        <v>44927</v>
      </c>
      <c r="AA57">
        <f>(YEAR(Table1_1[[#This Row],[OrderMonth]])-YEAR(Table1_1[[#This Row],[Firstmonth]]))*12+(MONTH(Table1_1[[#This Row],[OrderMonth]])-MONTH(Table1_1[[#This Row],[Firstmonth]]))</f>
        <v>14</v>
      </c>
    </row>
    <row r="58" spans="1:27" x14ac:dyDescent="0.25">
      <c r="A58" s="11" t="s">
        <v>486</v>
      </c>
      <c r="B58" s="2">
        <v>45422</v>
      </c>
      <c r="C58" s="2">
        <v>45428</v>
      </c>
      <c r="D58" s="11" t="s">
        <v>1413</v>
      </c>
      <c r="E58">
        <v>6</v>
      </c>
      <c r="F58" s="11" t="s">
        <v>1464</v>
      </c>
      <c r="G58" s="11" t="s">
        <v>1469</v>
      </c>
      <c r="H58" s="11" t="s">
        <v>1507</v>
      </c>
      <c r="I58" s="11" t="s">
        <v>644</v>
      </c>
      <c r="J58" s="11" t="s">
        <v>652</v>
      </c>
      <c r="K58" s="11" t="s">
        <v>672</v>
      </c>
      <c r="L58" s="11" t="s">
        <v>1150</v>
      </c>
      <c r="M58" s="10">
        <v>11</v>
      </c>
      <c r="N58">
        <v>210.76</v>
      </c>
      <c r="O58" s="3">
        <v>221.58</v>
      </c>
      <c r="P58" s="11" t="s">
        <v>1468</v>
      </c>
      <c r="Q58" s="4">
        <v>8.8999999999999996E-2</v>
      </c>
      <c r="R58" s="3">
        <v>2220.45318</v>
      </c>
      <c r="S58" s="3">
        <v>2318.3599999999997</v>
      </c>
      <c r="T58" s="4">
        <v>-4.4093170205912503E-2</v>
      </c>
      <c r="U58" s="11" t="s">
        <v>656</v>
      </c>
      <c r="V58" s="3">
        <v>-97.906819999999698</v>
      </c>
      <c r="W58" s="11" t="s">
        <v>1436</v>
      </c>
      <c r="X58" t="str">
        <f>TEXT(Table1_1[[#This Row],[OrderDate]],"mm yyyy")</f>
        <v>05 2024</v>
      </c>
      <c r="Y58" s="13">
        <f>DATE(YEAR(Table1_1[[#This Row],[OrderDate]]),MONTH(B58),1)</f>
        <v>45413</v>
      </c>
      <c r="Z58" s="2">
        <f t="shared" si="0"/>
        <v>44927</v>
      </c>
      <c r="AA58">
        <f>(YEAR(Table1_1[[#This Row],[OrderMonth]])-YEAR(Table1_1[[#This Row],[Firstmonth]]))*12+(MONTH(Table1_1[[#This Row],[OrderMonth]])-MONTH(Table1_1[[#This Row],[Firstmonth]]))</f>
        <v>16</v>
      </c>
    </row>
    <row r="59" spans="1:27" x14ac:dyDescent="0.25">
      <c r="A59" s="11" t="s">
        <v>126</v>
      </c>
      <c r="B59" s="2">
        <v>44987</v>
      </c>
      <c r="C59" s="2">
        <v>44990</v>
      </c>
      <c r="D59" s="11" t="s">
        <v>1413</v>
      </c>
      <c r="E59">
        <v>3</v>
      </c>
      <c r="F59" s="11" t="s">
        <v>1473</v>
      </c>
      <c r="G59" s="11" t="s">
        <v>1454</v>
      </c>
      <c r="H59" s="11" t="s">
        <v>1478</v>
      </c>
      <c r="I59" s="11" t="s">
        <v>647</v>
      </c>
      <c r="J59" s="11" t="s">
        <v>652</v>
      </c>
      <c r="K59" s="11" t="s">
        <v>673</v>
      </c>
      <c r="L59" s="11" t="s">
        <v>790</v>
      </c>
      <c r="M59" s="10">
        <v>8</v>
      </c>
      <c r="N59">
        <v>1473.58</v>
      </c>
      <c r="O59" s="3">
        <v>3436.52</v>
      </c>
      <c r="P59" s="11" t="s">
        <v>1471</v>
      </c>
      <c r="Q59" s="4">
        <v>0.108</v>
      </c>
      <c r="R59" s="3">
        <v>24523.006720000001</v>
      </c>
      <c r="S59" s="3">
        <v>11788.64</v>
      </c>
      <c r="T59" s="4">
        <v>0.51928243813652597</v>
      </c>
      <c r="U59" s="11" t="s">
        <v>656</v>
      </c>
      <c r="V59" s="3">
        <v>12734.366720000002</v>
      </c>
      <c r="W59" s="11" t="s">
        <v>1432</v>
      </c>
      <c r="X59" t="str">
        <f>TEXT(Table1_1[[#This Row],[OrderDate]],"mm yyyy")</f>
        <v>03 2023</v>
      </c>
      <c r="Y59" s="13">
        <f>DATE(YEAR(Table1_1[[#This Row],[OrderDate]]),MONTH(B59),1)</f>
        <v>44986</v>
      </c>
      <c r="Z59" s="2">
        <f t="shared" si="0"/>
        <v>44927</v>
      </c>
      <c r="AA59">
        <f>(YEAR(Table1_1[[#This Row],[OrderMonth]])-YEAR(Table1_1[[#This Row],[Firstmonth]]))*12+(MONTH(Table1_1[[#This Row],[OrderMonth]])-MONTH(Table1_1[[#This Row],[Firstmonth]]))</f>
        <v>2</v>
      </c>
    </row>
    <row r="60" spans="1:27" x14ac:dyDescent="0.25">
      <c r="A60" s="11" t="s">
        <v>268</v>
      </c>
      <c r="B60" s="2">
        <v>45835</v>
      </c>
      <c r="C60" s="2">
        <v>45843</v>
      </c>
      <c r="D60" s="11" t="s">
        <v>1413</v>
      </c>
      <c r="E60">
        <v>8</v>
      </c>
      <c r="F60" s="11" t="s">
        <v>1464</v>
      </c>
      <c r="G60" s="11" t="s">
        <v>1455</v>
      </c>
      <c r="H60" s="11" t="s">
        <v>1483</v>
      </c>
      <c r="I60" s="11" t="s">
        <v>646</v>
      </c>
      <c r="J60" s="11" t="s">
        <v>652</v>
      </c>
      <c r="K60" s="11" t="s">
        <v>673</v>
      </c>
      <c r="L60" s="11" t="s">
        <v>933</v>
      </c>
      <c r="M60" s="10">
        <v>56</v>
      </c>
      <c r="N60">
        <v>314.93</v>
      </c>
      <c r="O60" s="3">
        <v>687.95</v>
      </c>
      <c r="P60" s="11" t="s">
        <v>1468</v>
      </c>
      <c r="Q60" s="4">
        <v>0.20499999999999999</v>
      </c>
      <c r="R60" s="3">
        <v>30627.534000000003</v>
      </c>
      <c r="S60" s="3">
        <v>17636.080000000002</v>
      </c>
      <c r="T60" s="4">
        <v>0.424175645352316</v>
      </c>
      <c r="U60" s="11" t="s">
        <v>656</v>
      </c>
      <c r="V60" s="3">
        <v>12991.454000000002</v>
      </c>
      <c r="W60" s="11" t="s">
        <v>1431</v>
      </c>
      <c r="X60" t="str">
        <f>TEXT(Table1_1[[#This Row],[OrderDate]],"mm yyyy")</f>
        <v>06 2025</v>
      </c>
      <c r="Y60" s="13">
        <f>DATE(YEAR(Table1_1[[#This Row],[OrderDate]]),MONTH(B60),1)</f>
        <v>45809</v>
      </c>
      <c r="Z60" s="2">
        <f t="shared" si="0"/>
        <v>44927</v>
      </c>
      <c r="AA60">
        <f>(YEAR(Table1_1[[#This Row],[OrderMonth]])-YEAR(Table1_1[[#This Row],[Firstmonth]]))*12+(MONTH(Table1_1[[#This Row],[OrderMonth]])-MONTH(Table1_1[[#This Row],[Firstmonth]]))</f>
        <v>29</v>
      </c>
    </row>
    <row r="61" spans="1:27" x14ac:dyDescent="0.25">
      <c r="A61" s="11" t="s">
        <v>494</v>
      </c>
      <c r="B61" s="2">
        <v>45148</v>
      </c>
      <c r="C61" s="2">
        <v>45153</v>
      </c>
      <c r="D61" s="11" t="s">
        <v>1413</v>
      </c>
      <c r="E61">
        <v>5</v>
      </c>
      <c r="F61" s="11" t="s">
        <v>1473</v>
      </c>
      <c r="G61" s="11" t="s">
        <v>1488</v>
      </c>
      <c r="H61" s="11" t="s">
        <v>1489</v>
      </c>
      <c r="I61" s="11" t="s">
        <v>643</v>
      </c>
      <c r="J61" s="11" t="s">
        <v>652</v>
      </c>
      <c r="K61" s="11" t="s">
        <v>670</v>
      </c>
      <c r="L61" s="11" t="s">
        <v>1158</v>
      </c>
      <c r="M61" s="10">
        <v>4</v>
      </c>
      <c r="N61">
        <v>1307.52</v>
      </c>
      <c r="O61" s="3">
        <v>1921.65</v>
      </c>
      <c r="P61" s="11" t="s">
        <v>1471</v>
      </c>
      <c r="Q61" s="4">
        <v>0.123</v>
      </c>
      <c r="R61" s="3">
        <v>6741.1482000000005</v>
      </c>
      <c r="S61" s="3">
        <v>5230.08</v>
      </c>
      <c r="T61" s="4">
        <v>0.224155908632894</v>
      </c>
      <c r="U61" s="11" t="s">
        <v>656</v>
      </c>
      <c r="V61" s="3">
        <v>1511.0682000000006</v>
      </c>
      <c r="W61" s="11" t="s">
        <v>1430</v>
      </c>
      <c r="X61" t="str">
        <f>TEXT(Table1_1[[#This Row],[OrderDate]],"mm yyyy")</f>
        <v>08 2023</v>
      </c>
      <c r="Y61" s="13">
        <f>DATE(YEAR(Table1_1[[#This Row],[OrderDate]]),MONTH(B61),1)</f>
        <v>45139</v>
      </c>
      <c r="Z61" s="2">
        <f t="shared" si="0"/>
        <v>44958</v>
      </c>
      <c r="AA61">
        <f>(YEAR(Table1_1[[#This Row],[OrderMonth]])-YEAR(Table1_1[[#This Row],[Firstmonth]]))*12+(MONTH(Table1_1[[#This Row],[OrderMonth]])-MONTH(Table1_1[[#This Row],[Firstmonth]]))</f>
        <v>6</v>
      </c>
    </row>
    <row r="62" spans="1:27" x14ac:dyDescent="0.25">
      <c r="A62" s="11" t="s">
        <v>458</v>
      </c>
      <c r="B62" s="2">
        <v>45446</v>
      </c>
      <c r="C62" s="2">
        <v>45467</v>
      </c>
      <c r="D62" s="11" t="s">
        <v>1413</v>
      </c>
      <c r="E62">
        <v>21</v>
      </c>
      <c r="F62" s="11" t="s">
        <v>1473</v>
      </c>
      <c r="G62" s="11" t="s">
        <v>1452</v>
      </c>
      <c r="H62" s="11" t="s">
        <v>1474</v>
      </c>
      <c r="I62" s="11" t="s">
        <v>646</v>
      </c>
      <c r="J62" s="11" t="s">
        <v>652</v>
      </c>
      <c r="K62" s="11" t="s">
        <v>673</v>
      </c>
      <c r="L62" s="11" t="s">
        <v>1122</v>
      </c>
      <c r="M62" s="10">
        <v>20</v>
      </c>
      <c r="N62">
        <v>1205.5</v>
      </c>
      <c r="O62" s="3">
        <v>2210.17</v>
      </c>
      <c r="P62" s="11" t="s">
        <v>1471</v>
      </c>
      <c r="Q62" s="4">
        <v>0.104</v>
      </c>
      <c r="R62" s="3">
        <v>39606.246400000004</v>
      </c>
      <c r="S62" s="3">
        <v>24110</v>
      </c>
      <c r="T62" s="4">
        <v>0.39125763758314602</v>
      </c>
      <c r="U62" s="11" t="s">
        <v>656</v>
      </c>
      <c r="V62" s="3">
        <v>15496.246400000004</v>
      </c>
      <c r="W62" s="11" t="s">
        <v>1436</v>
      </c>
      <c r="X62" t="str">
        <f>TEXT(Table1_1[[#This Row],[OrderDate]],"mm yyyy")</f>
        <v>06 2024</v>
      </c>
      <c r="Y62" s="13">
        <f>DATE(YEAR(Table1_1[[#This Row],[OrderDate]]),MONTH(B62),1)</f>
        <v>45444</v>
      </c>
      <c r="Z62" s="2">
        <f t="shared" si="0"/>
        <v>44927</v>
      </c>
      <c r="AA62">
        <f>(YEAR(Table1_1[[#This Row],[OrderMonth]])-YEAR(Table1_1[[#This Row],[Firstmonth]]))*12+(MONTH(Table1_1[[#This Row],[OrderMonth]])-MONTH(Table1_1[[#This Row],[Firstmonth]]))</f>
        <v>17</v>
      </c>
    </row>
    <row r="63" spans="1:27" x14ac:dyDescent="0.25">
      <c r="A63" s="11" t="s">
        <v>142</v>
      </c>
      <c r="B63" s="2">
        <v>45719</v>
      </c>
      <c r="C63" s="2">
        <v>45740</v>
      </c>
      <c r="D63" s="11" t="s">
        <v>1413</v>
      </c>
      <c r="E63">
        <v>21</v>
      </c>
      <c r="F63" s="11" t="s">
        <v>1485</v>
      </c>
      <c r="G63" s="11" t="s">
        <v>1450</v>
      </c>
      <c r="H63" s="11" t="s">
        <v>1508</v>
      </c>
      <c r="I63" s="11" t="s">
        <v>647</v>
      </c>
      <c r="J63" s="11" t="s">
        <v>652</v>
      </c>
      <c r="K63" s="11" t="s">
        <v>674</v>
      </c>
      <c r="L63" s="11" t="s">
        <v>806</v>
      </c>
      <c r="M63" s="10">
        <v>12</v>
      </c>
      <c r="N63">
        <v>555.95000000000005</v>
      </c>
      <c r="O63" s="3">
        <v>468.09</v>
      </c>
      <c r="P63" s="11" t="s">
        <v>1468</v>
      </c>
      <c r="Q63" s="4">
        <v>0.14199999999999999</v>
      </c>
      <c r="R63" s="3">
        <v>4819.4546399999999</v>
      </c>
      <c r="S63" s="3">
        <v>6671.4000000000005</v>
      </c>
      <c r="T63" s="4">
        <v>-0.38426450674095403</v>
      </c>
      <c r="U63" s="11" t="s">
        <v>663</v>
      </c>
      <c r="V63" s="3">
        <v>-1851.9453600000006</v>
      </c>
      <c r="W63" s="11" t="s">
        <v>1434</v>
      </c>
      <c r="X63" t="str">
        <f>TEXT(Table1_1[[#This Row],[OrderDate]],"mm yyyy")</f>
        <v>03 2025</v>
      </c>
      <c r="Y63" s="13">
        <f>DATE(YEAR(Table1_1[[#This Row],[OrderDate]]),MONTH(B63),1)</f>
        <v>45717</v>
      </c>
      <c r="Z63" s="2">
        <f t="shared" si="0"/>
        <v>44927</v>
      </c>
      <c r="AA63">
        <f>(YEAR(Table1_1[[#This Row],[OrderMonth]])-YEAR(Table1_1[[#This Row],[Firstmonth]]))*12+(MONTH(Table1_1[[#This Row],[OrderMonth]])-MONTH(Table1_1[[#This Row],[Firstmonth]]))</f>
        <v>26</v>
      </c>
    </row>
    <row r="64" spans="1:27" x14ac:dyDescent="0.25">
      <c r="A64" s="11" t="s">
        <v>260</v>
      </c>
      <c r="B64" s="2">
        <v>45537</v>
      </c>
      <c r="C64" s="2">
        <v>45543</v>
      </c>
      <c r="D64" s="11" t="s">
        <v>1413</v>
      </c>
      <c r="E64">
        <v>6</v>
      </c>
      <c r="F64" s="11" t="s">
        <v>1473</v>
      </c>
      <c r="G64" s="11" t="s">
        <v>1458</v>
      </c>
      <c r="H64" s="11" t="s">
        <v>1500</v>
      </c>
      <c r="I64" s="11" t="s">
        <v>645</v>
      </c>
      <c r="J64" s="11" t="s">
        <v>652</v>
      </c>
      <c r="K64" s="11" t="s">
        <v>668</v>
      </c>
      <c r="L64" s="11" t="s">
        <v>925</v>
      </c>
      <c r="M64" s="10">
        <v>11</v>
      </c>
      <c r="N64">
        <v>462.94</v>
      </c>
      <c r="O64" s="3">
        <v>1015.7</v>
      </c>
      <c r="P64" s="11" t="s">
        <v>1466</v>
      </c>
      <c r="Q64" s="4">
        <v>0.14299999999999999</v>
      </c>
      <c r="R64" s="3">
        <v>9575.0038999999997</v>
      </c>
      <c r="S64" s="3">
        <v>5092.34</v>
      </c>
      <c r="T64" s="4">
        <v>0.46816314090483002</v>
      </c>
      <c r="U64" s="11" t="s">
        <v>663</v>
      </c>
      <c r="V64" s="3">
        <v>4482.6638999999996</v>
      </c>
      <c r="W64" s="11" t="s">
        <v>1437</v>
      </c>
      <c r="X64" t="str">
        <f>TEXT(Table1_1[[#This Row],[OrderDate]],"mm yyyy")</f>
        <v>09 2024</v>
      </c>
      <c r="Y64" s="13">
        <f>DATE(YEAR(Table1_1[[#This Row],[OrderDate]]),MONTH(B64),1)</f>
        <v>45536</v>
      </c>
      <c r="Z64" s="2">
        <f t="shared" si="0"/>
        <v>44927</v>
      </c>
      <c r="AA64">
        <f>(YEAR(Table1_1[[#This Row],[OrderMonth]])-YEAR(Table1_1[[#This Row],[Firstmonth]]))*12+(MONTH(Table1_1[[#This Row],[OrderMonth]])-MONTH(Table1_1[[#This Row],[Firstmonth]]))</f>
        <v>20</v>
      </c>
    </row>
    <row r="65" spans="1:27" x14ac:dyDescent="0.25">
      <c r="A65" s="11" t="s">
        <v>424</v>
      </c>
      <c r="B65" s="2">
        <v>45449</v>
      </c>
      <c r="C65" s="2">
        <v>45467</v>
      </c>
      <c r="D65" s="11" t="s">
        <v>1413</v>
      </c>
      <c r="E65">
        <v>18</v>
      </c>
      <c r="F65" s="11" t="s">
        <v>1476</v>
      </c>
      <c r="G65" s="11" t="s">
        <v>1453</v>
      </c>
      <c r="H65" s="11" t="s">
        <v>1497</v>
      </c>
      <c r="I65" s="11" t="s">
        <v>646</v>
      </c>
      <c r="J65" s="11" t="s">
        <v>652</v>
      </c>
      <c r="K65" s="11" t="s">
        <v>670</v>
      </c>
      <c r="L65" s="11" t="s">
        <v>1088</v>
      </c>
      <c r="M65" s="10">
        <v>51</v>
      </c>
      <c r="N65">
        <v>1253.25</v>
      </c>
      <c r="O65" s="3">
        <v>3087.13</v>
      </c>
      <c r="P65" s="11" t="s">
        <v>1471</v>
      </c>
      <c r="Q65" s="4">
        <v>7.1999999999999995E-2</v>
      </c>
      <c r="R65" s="3">
        <v>146107.68864000001</v>
      </c>
      <c r="S65" s="3">
        <v>63915.75</v>
      </c>
      <c r="T65" s="4">
        <v>0.562543555408064</v>
      </c>
      <c r="U65" s="11" t="s">
        <v>663</v>
      </c>
      <c r="V65" s="3">
        <v>82191.938640000008</v>
      </c>
      <c r="W65" s="11" t="s">
        <v>1436</v>
      </c>
      <c r="X65" t="str">
        <f>TEXT(Table1_1[[#This Row],[OrderDate]],"mm yyyy")</f>
        <v>06 2024</v>
      </c>
      <c r="Y65" s="13">
        <f>DATE(YEAR(Table1_1[[#This Row],[OrderDate]]),MONTH(B65),1)</f>
        <v>45444</v>
      </c>
      <c r="Z65" s="2">
        <f t="shared" si="0"/>
        <v>44927</v>
      </c>
      <c r="AA65">
        <f>(YEAR(Table1_1[[#This Row],[OrderMonth]])-YEAR(Table1_1[[#This Row],[Firstmonth]]))*12+(MONTH(Table1_1[[#This Row],[OrderMonth]])-MONTH(Table1_1[[#This Row],[Firstmonth]]))</f>
        <v>17</v>
      </c>
    </row>
    <row r="66" spans="1:27" x14ac:dyDescent="0.25">
      <c r="A66" s="11" t="s">
        <v>110</v>
      </c>
      <c r="B66" s="2">
        <v>44985</v>
      </c>
      <c r="C66" s="2">
        <v>45005</v>
      </c>
      <c r="D66" s="11" t="s">
        <v>1413</v>
      </c>
      <c r="E66">
        <v>20</v>
      </c>
      <c r="F66" s="11" t="s">
        <v>1464</v>
      </c>
      <c r="G66" s="11" t="s">
        <v>1455</v>
      </c>
      <c r="H66" s="11" t="s">
        <v>1465</v>
      </c>
      <c r="I66" s="11" t="s">
        <v>646</v>
      </c>
      <c r="J66" s="11" t="s">
        <v>652</v>
      </c>
      <c r="K66" s="11" t="s">
        <v>672</v>
      </c>
      <c r="L66" s="11" t="s">
        <v>774</v>
      </c>
      <c r="M66" s="10">
        <v>40</v>
      </c>
      <c r="N66">
        <v>1200.78</v>
      </c>
      <c r="O66" s="3">
        <v>2001.17</v>
      </c>
      <c r="P66" s="11" t="s">
        <v>1471</v>
      </c>
      <c r="Q66" s="4">
        <v>0.29199999999999998</v>
      </c>
      <c r="R66" s="3">
        <v>56673.134400000003</v>
      </c>
      <c r="S66" s="3">
        <v>48031.199999999997</v>
      </c>
      <c r="T66" s="4">
        <v>0.152487320341329</v>
      </c>
      <c r="U66" s="11" t="s">
        <v>663</v>
      </c>
      <c r="V66" s="3">
        <v>8641.9344000000056</v>
      </c>
      <c r="W66" s="11" t="s">
        <v>1432</v>
      </c>
      <c r="X66" t="str">
        <f>TEXT(Table1_1[[#This Row],[OrderDate]],"mm yyyy")</f>
        <v>02 2023</v>
      </c>
      <c r="Y66" s="13">
        <f>DATE(YEAR(Table1_1[[#This Row],[OrderDate]]),MONTH(B66),1)</f>
        <v>44958</v>
      </c>
      <c r="Z66" s="2">
        <f t="shared" ref="Z66:Z129" si="1">_xlfn.MINIFS(Y66:Y697,G66:G697,G66)</f>
        <v>44927</v>
      </c>
      <c r="AA66">
        <f>(YEAR(Table1_1[[#This Row],[OrderMonth]])-YEAR(Table1_1[[#This Row],[Firstmonth]]))*12+(MONTH(Table1_1[[#This Row],[OrderMonth]])-MONTH(Table1_1[[#This Row],[Firstmonth]]))</f>
        <v>1</v>
      </c>
    </row>
    <row r="67" spans="1:27" x14ac:dyDescent="0.25">
      <c r="A67" s="11" t="s">
        <v>210</v>
      </c>
      <c r="B67" s="2">
        <v>44939</v>
      </c>
      <c r="C67" s="2">
        <v>44945</v>
      </c>
      <c r="D67" s="11" t="s">
        <v>1413</v>
      </c>
      <c r="E67">
        <v>6</v>
      </c>
      <c r="F67" s="11" t="s">
        <v>1473</v>
      </c>
      <c r="G67" s="11" t="s">
        <v>1458</v>
      </c>
      <c r="H67" s="11" t="s">
        <v>1509</v>
      </c>
      <c r="I67" s="11" t="s">
        <v>642</v>
      </c>
      <c r="J67" s="11" t="s">
        <v>652</v>
      </c>
      <c r="K67" s="11" t="s">
        <v>671</v>
      </c>
      <c r="L67" s="11" t="s">
        <v>875</v>
      </c>
      <c r="M67" s="10">
        <v>13</v>
      </c>
      <c r="N67">
        <v>833.57</v>
      </c>
      <c r="O67" s="3">
        <v>881.57</v>
      </c>
      <c r="P67" s="11" t="s">
        <v>1466</v>
      </c>
      <c r="Q67" s="4">
        <v>5.7000000000000002E-2</v>
      </c>
      <c r="R67" s="3">
        <v>10807.16663</v>
      </c>
      <c r="S67" s="3">
        <v>10836.41</v>
      </c>
      <c r="T67" s="4">
        <v>-2.70592385601074E-3</v>
      </c>
      <c r="U67" s="11" t="s">
        <v>663</v>
      </c>
      <c r="V67" s="3">
        <v>-29.243370000000141</v>
      </c>
      <c r="W67" s="11" t="s">
        <v>1432</v>
      </c>
      <c r="X67" t="str">
        <f>TEXT(Table1_1[[#This Row],[OrderDate]],"mm yyyy")</f>
        <v>01 2023</v>
      </c>
      <c r="Y67" s="13">
        <f>DATE(YEAR(Table1_1[[#This Row],[OrderDate]]),MONTH(B67),1)</f>
        <v>44927</v>
      </c>
      <c r="Z67" s="2">
        <f t="shared" si="1"/>
        <v>44927</v>
      </c>
      <c r="AA67">
        <f>(YEAR(Table1_1[[#This Row],[OrderMonth]])-YEAR(Table1_1[[#This Row],[Firstmonth]]))*12+(MONTH(Table1_1[[#This Row],[OrderMonth]])-MONTH(Table1_1[[#This Row],[Firstmonth]]))</f>
        <v>0</v>
      </c>
    </row>
    <row r="68" spans="1:27" x14ac:dyDescent="0.25">
      <c r="A68" s="11" t="s">
        <v>282</v>
      </c>
      <c r="B68" s="2">
        <v>45382</v>
      </c>
      <c r="C68" s="2">
        <v>45399</v>
      </c>
      <c r="D68" s="11" t="s">
        <v>1413</v>
      </c>
      <c r="E68">
        <v>17</v>
      </c>
      <c r="F68" s="11" t="s">
        <v>1464</v>
      </c>
      <c r="G68" s="11" t="s">
        <v>1455</v>
      </c>
      <c r="H68" s="11" t="s">
        <v>1467</v>
      </c>
      <c r="I68" s="11" t="s">
        <v>643</v>
      </c>
      <c r="J68" s="11" t="s">
        <v>652</v>
      </c>
      <c r="K68" s="11" t="s">
        <v>673</v>
      </c>
      <c r="L68" s="11" t="s">
        <v>947</v>
      </c>
      <c r="M68" s="10">
        <v>16</v>
      </c>
      <c r="N68">
        <v>1025.51</v>
      </c>
      <c r="O68" s="3">
        <v>1436.54</v>
      </c>
      <c r="P68" s="11" t="s">
        <v>1466</v>
      </c>
      <c r="Q68" s="4">
        <v>0.13900000000000001</v>
      </c>
      <c r="R68" s="3">
        <v>19789.77504</v>
      </c>
      <c r="S68" s="3">
        <v>16408.16</v>
      </c>
      <c r="T68" s="4">
        <v>0.170876881276565</v>
      </c>
      <c r="U68" s="11" t="s">
        <v>663</v>
      </c>
      <c r="V68" s="3">
        <v>3381.6150400000006</v>
      </c>
      <c r="W68" s="11" t="s">
        <v>1433</v>
      </c>
      <c r="X68" t="str">
        <f>TEXT(Table1_1[[#This Row],[OrderDate]],"mm yyyy")</f>
        <v>03 2024</v>
      </c>
      <c r="Y68" s="13">
        <f>DATE(YEAR(Table1_1[[#This Row],[OrderDate]]),MONTH(B68),1)</f>
        <v>45352</v>
      </c>
      <c r="Z68" s="2">
        <f t="shared" si="1"/>
        <v>44927</v>
      </c>
      <c r="AA68">
        <f>(YEAR(Table1_1[[#This Row],[OrderMonth]])-YEAR(Table1_1[[#This Row],[Firstmonth]]))*12+(MONTH(Table1_1[[#This Row],[OrderMonth]])-MONTH(Table1_1[[#This Row],[Firstmonth]]))</f>
        <v>14</v>
      </c>
    </row>
    <row r="69" spans="1:27" x14ac:dyDescent="0.25">
      <c r="A69" s="11" t="s">
        <v>267</v>
      </c>
      <c r="B69" s="2">
        <v>45035</v>
      </c>
      <c r="C69" s="2">
        <v>45053</v>
      </c>
      <c r="D69" s="11" t="s">
        <v>1413</v>
      </c>
      <c r="E69">
        <v>18</v>
      </c>
      <c r="F69" s="11" t="s">
        <v>1464</v>
      </c>
      <c r="G69" s="11" t="s">
        <v>1469</v>
      </c>
      <c r="H69" s="11" t="s">
        <v>1470</v>
      </c>
      <c r="I69" s="11" t="s">
        <v>644</v>
      </c>
      <c r="J69" s="11" t="s">
        <v>652</v>
      </c>
      <c r="K69" s="11" t="s">
        <v>670</v>
      </c>
      <c r="L69" s="11" t="s">
        <v>932</v>
      </c>
      <c r="M69" s="10">
        <v>13</v>
      </c>
      <c r="N69">
        <v>516.96</v>
      </c>
      <c r="O69" s="3">
        <v>745.38</v>
      </c>
      <c r="P69" s="11" t="s">
        <v>1468</v>
      </c>
      <c r="Q69" s="4">
        <v>0.19700000000000001</v>
      </c>
      <c r="R69" s="3">
        <v>7781.0218199999999</v>
      </c>
      <c r="S69" s="3">
        <v>6720.4800000000005</v>
      </c>
      <c r="T69" s="4">
        <v>0.13629852794835101</v>
      </c>
      <c r="U69" s="11" t="s">
        <v>663</v>
      </c>
      <c r="V69" s="3">
        <v>1060.5418199999995</v>
      </c>
      <c r="W69" s="11" t="s">
        <v>1435</v>
      </c>
      <c r="X69" t="str">
        <f>TEXT(Table1_1[[#This Row],[OrderDate]],"mm yyyy")</f>
        <v>04 2023</v>
      </c>
      <c r="Y69" s="13">
        <f>DATE(YEAR(Table1_1[[#This Row],[OrderDate]]),MONTH(B69),1)</f>
        <v>45017</v>
      </c>
      <c r="Z69" s="2">
        <f t="shared" si="1"/>
        <v>44927</v>
      </c>
      <c r="AA69">
        <f>(YEAR(Table1_1[[#This Row],[OrderMonth]])-YEAR(Table1_1[[#This Row],[Firstmonth]]))*12+(MONTH(Table1_1[[#This Row],[OrderMonth]])-MONTH(Table1_1[[#This Row],[Firstmonth]]))</f>
        <v>3</v>
      </c>
    </row>
    <row r="70" spans="1:27" x14ac:dyDescent="0.25">
      <c r="A70" s="11" t="s">
        <v>132</v>
      </c>
      <c r="B70" s="2">
        <v>45249</v>
      </c>
      <c r="C70" s="2">
        <v>45273</v>
      </c>
      <c r="D70" s="11" t="s">
        <v>1413</v>
      </c>
      <c r="E70">
        <v>24</v>
      </c>
      <c r="F70" s="11" t="s">
        <v>1464</v>
      </c>
      <c r="G70" s="11" t="s">
        <v>1456</v>
      </c>
      <c r="H70" s="11" t="s">
        <v>1481</v>
      </c>
      <c r="I70" s="11" t="s">
        <v>644</v>
      </c>
      <c r="J70" s="11" t="s">
        <v>652</v>
      </c>
      <c r="K70" s="11" t="s">
        <v>673</v>
      </c>
      <c r="L70" s="11" t="s">
        <v>796</v>
      </c>
      <c r="M70" s="10">
        <v>18</v>
      </c>
      <c r="N70">
        <v>1297.42</v>
      </c>
      <c r="O70" s="3">
        <v>2742.97</v>
      </c>
      <c r="P70" s="11" t="s">
        <v>1471</v>
      </c>
      <c r="Q70" s="4">
        <v>6.9000000000000006E-2</v>
      </c>
      <c r="R70" s="3">
        <v>45966.69126</v>
      </c>
      <c r="S70" s="3">
        <v>23353.56</v>
      </c>
      <c r="T70" s="4">
        <v>0.49194602961727302</v>
      </c>
      <c r="U70" s="11" t="s">
        <v>663</v>
      </c>
      <c r="V70" s="3">
        <v>22613.131259999998</v>
      </c>
      <c r="W70" s="11" t="s">
        <v>1439</v>
      </c>
      <c r="X70" t="str">
        <f>TEXT(Table1_1[[#This Row],[OrderDate]],"mm yyyy")</f>
        <v>11 2023</v>
      </c>
      <c r="Y70" s="13">
        <f>DATE(YEAR(Table1_1[[#This Row],[OrderDate]]),MONTH(B70),1)</f>
        <v>45231</v>
      </c>
      <c r="Z70" s="2">
        <f t="shared" si="1"/>
        <v>44958</v>
      </c>
      <c r="AA70">
        <f>(YEAR(Table1_1[[#This Row],[OrderMonth]])-YEAR(Table1_1[[#This Row],[Firstmonth]]))*12+(MONTH(Table1_1[[#This Row],[OrderMonth]])-MONTH(Table1_1[[#This Row],[Firstmonth]]))</f>
        <v>9</v>
      </c>
    </row>
    <row r="71" spans="1:27" x14ac:dyDescent="0.25">
      <c r="A71" s="11" t="s">
        <v>343</v>
      </c>
      <c r="B71" s="2">
        <v>45245</v>
      </c>
      <c r="C71" s="2">
        <v>45266</v>
      </c>
      <c r="D71" s="11" t="s">
        <v>1413</v>
      </c>
      <c r="E71">
        <v>21</v>
      </c>
      <c r="F71" s="11" t="s">
        <v>1464</v>
      </c>
      <c r="G71" s="11" t="s">
        <v>1469</v>
      </c>
      <c r="H71" s="11" t="s">
        <v>1482</v>
      </c>
      <c r="I71" s="11" t="s">
        <v>643</v>
      </c>
      <c r="J71" s="11" t="s">
        <v>652</v>
      </c>
      <c r="K71" s="11" t="s">
        <v>674</v>
      </c>
      <c r="L71" s="11" t="s">
        <v>1008</v>
      </c>
      <c r="M71" s="10">
        <v>5</v>
      </c>
      <c r="N71">
        <v>1184.99</v>
      </c>
      <c r="O71" s="3">
        <v>1154.3399999999999</v>
      </c>
      <c r="P71" s="11" t="s">
        <v>1466</v>
      </c>
      <c r="Q71" s="4">
        <v>2.8000000000000001E-2</v>
      </c>
      <c r="R71" s="3">
        <v>5610.0923999999995</v>
      </c>
      <c r="S71" s="3">
        <v>5924.95</v>
      </c>
      <c r="T71" s="4">
        <v>-5.6123424990290799E-2</v>
      </c>
      <c r="U71" s="11" t="s">
        <v>663</v>
      </c>
      <c r="V71" s="3">
        <v>-314.85760000000028</v>
      </c>
      <c r="W71" s="11" t="s">
        <v>1439</v>
      </c>
      <c r="X71" t="str">
        <f>TEXT(Table1_1[[#This Row],[OrderDate]],"mm yyyy")</f>
        <v>11 2023</v>
      </c>
      <c r="Y71" s="13">
        <f>DATE(YEAR(Table1_1[[#This Row],[OrderDate]]),MONTH(B71),1)</f>
        <v>45231</v>
      </c>
      <c r="Z71" s="2">
        <f t="shared" si="1"/>
        <v>44927</v>
      </c>
      <c r="AA71">
        <f>(YEAR(Table1_1[[#This Row],[OrderMonth]])-YEAR(Table1_1[[#This Row],[Firstmonth]]))*12+(MONTH(Table1_1[[#This Row],[OrderMonth]])-MONTH(Table1_1[[#This Row],[Firstmonth]]))</f>
        <v>10</v>
      </c>
    </row>
    <row r="72" spans="1:27" x14ac:dyDescent="0.25">
      <c r="A72" s="11" t="s">
        <v>53</v>
      </c>
      <c r="B72" s="2">
        <v>45590</v>
      </c>
      <c r="C72" s="2">
        <v>45610</v>
      </c>
      <c r="D72" s="11" t="s">
        <v>1413</v>
      </c>
      <c r="E72">
        <v>20</v>
      </c>
      <c r="F72" s="11" t="s">
        <v>1485</v>
      </c>
      <c r="G72" s="11" t="s">
        <v>1449</v>
      </c>
      <c r="H72" s="11" t="s">
        <v>1503</v>
      </c>
      <c r="I72" s="11" t="s">
        <v>642</v>
      </c>
      <c r="J72" s="11" t="s">
        <v>652</v>
      </c>
      <c r="K72" s="11" t="s">
        <v>669</v>
      </c>
      <c r="L72" s="11" t="s">
        <v>717</v>
      </c>
      <c r="M72" s="10">
        <v>9</v>
      </c>
      <c r="N72">
        <v>1396.48</v>
      </c>
      <c r="O72" s="3">
        <v>3204.5</v>
      </c>
      <c r="P72" s="11" t="s">
        <v>1471</v>
      </c>
      <c r="Q72" s="4">
        <v>0.318</v>
      </c>
      <c r="R72" s="3">
        <v>19669.220999999998</v>
      </c>
      <c r="S72" s="3">
        <v>12568.32</v>
      </c>
      <c r="T72" s="4">
        <v>0.36101587348070402</v>
      </c>
      <c r="U72" s="11" t="s">
        <v>663</v>
      </c>
      <c r="V72" s="3">
        <v>7100.900999999998</v>
      </c>
      <c r="W72" s="11" t="s">
        <v>1440</v>
      </c>
      <c r="X72" t="str">
        <f>TEXT(Table1_1[[#This Row],[OrderDate]],"mm yyyy")</f>
        <v>10 2024</v>
      </c>
      <c r="Y72" s="13">
        <f>DATE(YEAR(Table1_1[[#This Row],[OrderDate]]),MONTH(B72),1)</f>
        <v>45566</v>
      </c>
      <c r="Z72" s="2">
        <f t="shared" si="1"/>
        <v>44927</v>
      </c>
      <c r="AA72">
        <f>(YEAR(Table1_1[[#This Row],[OrderMonth]])-YEAR(Table1_1[[#This Row],[Firstmonth]]))*12+(MONTH(Table1_1[[#This Row],[OrderMonth]])-MONTH(Table1_1[[#This Row],[Firstmonth]]))</f>
        <v>21</v>
      </c>
    </row>
    <row r="73" spans="1:27" x14ac:dyDescent="0.25">
      <c r="A73" s="11" t="s">
        <v>519</v>
      </c>
      <c r="B73" s="2">
        <v>45608</v>
      </c>
      <c r="C73" s="2">
        <v>45617</v>
      </c>
      <c r="D73" s="11" t="s">
        <v>1413</v>
      </c>
      <c r="E73">
        <v>9</v>
      </c>
      <c r="F73" s="11" t="s">
        <v>1476</v>
      </c>
      <c r="G73" s="11" t="s">
        <v>1453</v>
      </c>
      <c r="H73" s="11" t="s">
        <v>1493</v>
      </c>
      <c r="I73" s="11" t="s">
        <v>642</v>
      </c>
      <c r="J73" s="11" t="s">
        <v>652</v>
      </c>
      <c r="K73" s="11" t="s">
        <v>672</v>
      </c>
      <c r="L73" s="11" t="s">
        <v>1183</v>
      </c>
      <c r="M73" s="10">
        <v>12</v>
      </c>
      <c r="N73">
        <v>903.41</v>
      </c>
      <c r="O73" s="3">
        <v>1860.41</v>
      </c>
      <c r="P73" s="11" t="s">
        <v>1471</v>
      </c>
      <c r="Q73" s="4">
        <v>0.108</v>
      </c>
      <c r="R73" s="3">
        <v>19913.828640000003</v>
      </c>
      <c r="S73" s="3">
        <v>10840.92</v>
      </c>
      <c r="T73" s="4">
        <v>0.455608451996803</v>
      </c>
      <c r="U73" s="11" t="s">
        <v>663</v>
      </c>
      <c r="V73" s="3">
        <v>9072.9086400000033</v>
      </c>
      <c r="W73" s="11" t="s">
        <v>1440</v>
      </c>
      <c r="X73" t="str">
        <f>TEXT(Table1_1[[#This Row],[OrderDate]],"mm yyyy")</f>
        <v>11 2024</v>
      </c>
      <c r="Y73" s="13">
        <f>DATE(YEAR(Table1_1[[#This Row],[OrderDate]]),MONTH(B73),1)</f>
        <v>45597</v>
      </c>
      <c r="Z73" s="2">
        <f t="shared" si="1"/>
        <v>44927</v>
      </c>
      <c r="AA73">
        <f>(YEAR(Table1_1[[#This Row],[OrderMonth]])-YEAR(Table1_1[[#This Row],[Firstmonth]]))*12+(MONTH(Table1_1[[#This Row],[OrderMonth]])-MONTH(Table1_1[[#This Row],[Firstmonth]]))</f>
        <v>22</v>
      </c>
    </row>
    <row r="74" spans="1:27" x14ac:dyDescent="0.25">
      <c r="A74" s="11" t="s">
        <v>430</v>
      </c>
      <c r="B74" s="2">
        <v>45211</v>
      </c>
      <c r="C74" s="2">
        <v>45228</v>
      </c>
      <c r="D74" s="11" t="s">
        <v>1413</v>
      </c>
      <c r="E74">
        <v>17</v>
      </c>
      <c r="F74" s="11" t="s">
        <v>1476</v>
      </c>
      <c r="G74" s="11" t="s">
        <v>1451</v>
      </c>
      <c r="H74" s="11" t="s">
        <v>1484</v>
      </c>
      <c r="I74" s="11" t="s">
        <v>644</v>
      </c>
      <c r="J74" s="11" t="s">
        <v>652</v>
      </c>
      <c r="K74" s="11" t="s">
        <v>671</v>
      </c>
      <c r="L74" s="11" t="s">
        <v>1094</v>
      </c>
      <c r="M74" s="10">
        <v>17</v>
      </c>
      <c r="N74">
        <v>1102.19</v>
      </c>
      <c r="O74" s="3">
        <v>1711.16</v>
      </c>
      <c r="P74" s="11" t="s">
        <v>1471</v>
      </c>
      <c r="Q74" s="4">
        <v>0.151</v>
      </c>
      <c r="R74" s="3">
        <v>24697.172279999999</v>
      </c>
      <c r="S74" s="3">
        <v>18737.23</v>
      </c>
      <c r="T74" s="4">
        <v>0.241320836751275</v>
      </c>
      <c r="U74" s="11" t="s">
        <v>663</v>
      </c>
      <c r="V74" s="3">
        <v>5959.9422799999993</v>
      </c>
      <c r="W74" s="11" t="s">
        <v>1439</v>
      </c>
      <c r="X74" t="str">
        <f>TEXT(Table1_1[[#This Row],[OrderDate]],"mm yyyy")</f>
        <v>10 2023</v>
      </c>
      <c r="Y74" s="13">
        <f>DATE(YEAR(Table1_1[[#This Row],[OrderDate]]),MONTH(B74),1)</f>
        <v>45200</v>
      </c>
      <c r="Z74" s="2">
        <f t="shared" si="1"/>
        <v>44986</v>
      </c>
      <c r="AA74">
        <f>(YEAR(Table1_1[[#This Row],[OrderMonth]])-YEAR(Table1_1[[#This Row],[Firstmonth]]))*12+(MONTH(Table1_1[[#This Row],[OrderMonth]])-MONTH(Table1_1[[#This Row],[Firstmonth]]))</f>
        <v>7</v>
      </c>
    </row>
    <row r="75" spans="1:27" x14ac:dyDescent="0.25">
      <c r="A75" s="11" t="s">
        <v>569</v>
      </c>
      <c r="B75" s="2">
        <v>45430</v>
      </c>
      <c r="C75" s="2">
        <v>45434</v>
      </c>
      <c r="D75" s="11" t="s">
        <v>1413</v>
      </c>
      <c r="E75">
        <v>4</v>
      </c>
      <c r="F75" s="11" t="s">
        <v>1485</v>
      </c>
      <c r="G75" s="11" t="s">
        <v>1449</v>
      </c>
      <c r="H75" s="11" t="s">
        <v>1486</v>
      </c>
      <c r="I75" s="11" t="s">
        <v>642</v>
      </c>
      <c r="J75" s="11" t="s">
        <v>652</v>
      </c>
      <c r="K75" s="11" t="s">
        <v>674</v>
      </c>
      <c r="L75" s="11" t="s">
        <v>1232</v>
      </c>
      <c r="M75" s="10">
        <v>18</v>
      </c>
      <c r="N75">
        <v>857.42</v>
      </c>
      <c r="O75" s="3">
        <v>1658.92</v>
      </c>
      <c r="P75" s="11" t="s">
        <v>1471</v>
      </c>
      <c r="Q75" s="4">
        <v>0.122</v>
      </c>
      <c r="R75" s="3">
        <v>26217.571680000001</v>
      </c>
      <c r="S75" s="3">
        <v>15433.56</v>
      </c>
      <c r="T75" s="4">
        <v>0.41132763215544299</v>
      </c>
      <c r="U75" s="11" t="s">
        <v>663</v>
      </c>
      <c r="V75" s="3">
        <v>10784.011680000001</v>
      </c>
      <c r="W75" s="11" t="s">
        <v>1436</v>
      </c>
      <c r="X75" t="str">
        <f>TEXT(Table1_1[[#This Row],[OrderDate]],"mm yyyy")</f>
        <v>05 2024</v>
      </c>
      <c r="Y75" s="13">
        <f>DATE(YEAR(Table1_1[[#This Row],[OrderDate]]),MONTH(B75),1)</f>
        <v>45413</v>
      </c>
      <c r="Z75" s="2">
        <f t="shared" si="1"/>
        <v>44927</v>
      </c>
      <c r="AA75">
        <f>(YEAR(Table1_1[[#This Row],[OrderMonth]])-YEAR(Table1_1[[#This Row],[Firstmonth]]))*12+(MONTH(Table1_1[[#This Row],[OrderMonth]])-MONTH(Table1_1[[#This Row],[Firstmonth]]))</f>
        <v>16</v>
      </c>
    </row>
    <row r="76" spans="1:27" x14ac:dyDescent="0.25">
      <c r="A76" s="11" t="s">
        <v>337</v>
      </c>
      <c r="B76" s="2">
        <v>45087</v>
      </c>
      <c r="C76" s="2">
        <v>45095</v>
      </c>
      <c r="D76" s="11" t="s">
        <v>1413</v>
      </c>
      <c r="E76">
        <v>8</v>
      </c>
      <c r="F76" s="11" t="s">
        <v>1485</v>
      </c>
      <c r="G76" s="11" t="s">
        <v>1449</v>
      </c>
      <c r="H76" s="11" t="s">
        <v>1494</v>
      </c>
      <c r="I76" s="11" t="s">
        <v>647</v>
      </c>
      <c r="J76" s="11" t="s">
        <v>652</v>
      </c>
      <c r="K76" s="11" t="s">
        <v>671</v>
      </c>
      <c r="L76" s="11" t="s">
        <v>1002</v>
      </c>
      <c r="M76" s="10">
        <v>5</v>
      </c>
      <c r="N76">
        <v>894.23</v>
      </c>
      <c r="O76" s="3">
        <v>1421.55</v>
      </c>
      <c r="P76" s="11" t="s">
        <v>1466</v>
      </c>
      <c r="Q76" s="4">
        <v>0.109</v>
      </c>
      <c r="R76" s="3">
        <v>6333.0052500000002</v>
      </c>
      <c r="S76" s="3">
        <v>4471.1499999999996</v>
      </c>
      <c r="T76" s="4">
        <v>0.29399237431549602</v>
      </c>
      <c r="U76" s="11" t="s">
        <v>663</v>
      </c>
      <c r="V76" s="3">
        <v>1861.8552500000005</v>
      </c>
      <c r="W76" s="11" t="s">
        <v>1435</v>
      </c>
      <c r="X76" t="str">
        <f>TEXT(Table1_1[[#This Row],[OrderDate]],"mm yyyy")</f>
        <v>06 2023</v>
      </c>
      <c r="Y76" s="13">
        <f>DATE(YEAR(Table1_1[[#This Row],[OrderDate]]),MONTH(B76),1)</f>
        <v>45078</v>
      </c>
      <c r="Z76" s="2">
        <f t="shared" si="1"/>
        <v>44927</v>
      </c>
      <c r="AA76">
        <f>(YEAR(Table1_1[[#This Row],[OrderMonth]])-YEAR(Table1_1[[#This Row],[Firstmonth]]))*12+(MONTH(Table1_1[[#This Row],[OrderMonth]])-MONTH(Table1_1[[#This Row],[Firstmonth]]))</f>
        <v>5</v>
      </c>
    </row>
    <row r="77" spans="1:27" x14ac:dyDescent="0.25">
      <c r="A77" s="11" t="s">
        <v>499</v>
      </c>
      <c r="B77" s="2">
        <v>45792</v>
      </c>
      <c r="C77" s="2">
        <v>45813</v>
      </c>
      <c r="D77" s="11" t="s">
        <v>1413</v>
      </c>
      <c r="E77">
        <v>21</v>
      </c>
      <c r="F77" s="11" t="s">
        <v>1476</v>
      </c>
      <c r="G77" s="11" t="s">
        <v>1451</v>
      </c>
      <c r="H77" s="11" t="s">
        <v>1487</v>
      </c>
      <c r="I77" s="11" t="s">
        <v>647</v>
      </c>
      <c r="J77" s="11" t="s">
        <v>652</v>
      </c>
      <c r="K77" s="11" t="s">
        <v>671</v>
      </c>
      <c r="L77" s="11" t="s">
        <v>1163</v>
      </c>
      <c r="M77" s="10">
        <v>7</v>
      </c>
      <c r="N77">
        <v>1466.5</v>
      </c>
      <c r="O77" s="3">
        <v>2778.74</v>
      </c>
      <c r="P77" s="11" t="s">
        <v>1471</v>
      </c>
      <c r="Q77" s="4">
        <v>0.13500000000000001</v>
      </c>
      <c r="R77" s="3">
        <v>16825.270700000001</v>
      </c>
      <c r="S77" s="3">
        <v>10265.5</v>
      </c>
      <c r="T77" s="4">
        <v>0.38987608680792302</v>
      </c>
      <c r="U77" s="11" t="s">
        <v>663</v>
      </c>
      <c r="V77" s="3">
        <v>6559.7707000000009</v>
      </c>
      <c r="W77" s="11" t="s">
        <v>1431</v>
      </c>
      <c r="X77" t="str">
        <f>TEXT(Table1_1[[#This Row],[OrderDate]],"mm yyyy")</f>
        <v>05 2025</v>
      </c>
      <c r="Y77" s="13">
        <f>DATE(YEAR(Table1_1[[#This Row],[OrderDate]]),MONTH(B77),1)</f>
        <v>45778</v>
      </c>
      <c r="Z77" s="2">
        <f t="shared" si="1"/>
        <v>44986</v>
      </c>
      <c r="AA77">
        <f>(YEAR(Table1_1[[#This Row],[OrderMonth]])-YEAR(Table1_1[[#This Row],[Firstmonth]]))*12+(MONTH(Table1_1[[#This Row],[OrderMonth]])-MONTH(Table1_1[[#This Row],[Firstmonth]]))</f>
        <v>26</v>
      </c>
    </row>
    <row r="78" spans="1:27" x14ac:dyDescent="0.25">
      <c r="A78" s="11" t="s">
        <v>608</v>
      </c>
      <c r="B78" s="2">
        <v>45726</v>
      </c>
      <c r="C78" s="2">
        <v>45751</v>
      </c>
      <c r="D78" s="11" t="s">
        <v>1413</v>
      </c>
      <c r="E78">
        <v>25</v>
      </c>
      <c r="F78" s="11" t="s">
        <v>1476</v>
      </c>
      <c r="G78" s="11" t="s">
        <v>1451</v>
      </c>
      <c r="H78" s="11" t="s">
        <v>1487</v>
      </c>
      <c r="I78" s="11" t="s">
        <v>642</v>
      </c>
      <c r="J78" s="11" t="s">
        <v>652</v>
      </c>
      <c r="K78" s="11" t="s">
        <v>669</v>
      </c>
      <c r="L78" s="11" t="s">
        <v>1271</v>
      </c>
      <c r="M78" s="10">
        <v>13</v>
      </c>
      <c r="N78">
        <v>783.72</v>
      </c>
      <c r="O78" s="3">
        <v>1355.94</v>
      </c>
      <c r="P78" s="11" t="s">
        <v>1466</v>
      </c>
      <c r="Q78" s="4">
        <v>0.187</v>
      </c>
      <c r="R78" s="3">
        <v>14330.92986</v>
      </c>
      <c r="S78" s="3">
        <v>10188.36</v>
      </c>
      <c r="T78" s="4">
        <v>0.289064973485258</v>
      </c>
      <c r="U78" s="11" t="s">
        <v>663</v>
      </c>
      <c r="V78" s="3">
        <v>4142.5698599999996</v>
      </c>
      <c r="W78" s="11" t="s">
        <v>1434</v>
      </c>
      <c r="X78" t="str">
        <f>TEXT(Table1_1[[#This Row],[OrderDate]],"mm yyyy")</f>
        <v>03 2025</v>
      </c>
      <c r="Y78" s="13">
        <f>DATE(YEAR(Table1_1[[#This Row],[OrderDate]]),MONTH(B78),1)</f>
        <v>45717</v>
      </c>
      <c r="Z78" s="2">
        <f t="shared" si="1"/>
        <v>44986</v>
      </c>
      <c r="AA78">
        <f>(YEAR(Table1_1[[#This Row],[OrderMonth]])-YEAR(Table1_1[[#This Row],[Firstmonth]]))*12+(MONTH(Table1_1[[#This Row],[OrderMonth]])-MONTH(Table1_1[[#This Row],[Firstmonth]]))</f>
        <v>24</v>
      </c>
    </row>
    <row r="79" spans="1:27" x14ac:dyDescent="0.25">
      <c r="A79" s="11" t="s">
        <v>291</v>
      </c>
      <c r="B79" s="2">
        <v>45730</v>
      </c>
      <c r="C79" s="2">
        <v>45745</v>
      </c>
      <c r="D79" s="11" t="s">
        <v>1413</v>
      </c>
      <c r="E79">
        <v>15</v>
      </c>
      <c r="F79" s="11" t="s">
        <v>1476</v>
      </c>
      <c r="G79" s="11" t="s">
        <v>1451</v>
      </c>
      <c r="H79" s="11" t="s">
        <v>1510</v>
      </c>
      <c r="I79" s="11" t="s">
        <v>644</v>
      </c>
      <c r="J79" s="11" t="s">
        <v>652</v>
      </c>
      <c r="K79" s="11" t="s">
        <v>670</v>
      </c>
      <c r="L79" s="11" t="s">
        <v>956</v>
      </c>
      <c r="M79" s="10">
        <v>17</v>
      </c>
      <c r="N79">
        <v>1106.96</v>
      </c>
      <c r="O79" s="3">
        <v>2726.62</v>
      </c>
      <c r="P79" s="11" t="s">
        <v>1471</v>
      </c>
      <c r="Q79" s="4">
        <v>0.317</v>
      </c>
      <c r="R79" s="3">
        <v>31658.784820000004</v>
      </c>
      <c r="S79" s="3">
        <v>18818.32</v>
      </c>
      <c r="T79" s="4">
        <v>0.405589314087893</v>
      </c>
      <c r="U79" s="11" t="s">
        <v>663</v>
      </c>
      <c r="V79" s="3">
        <v>12840.464820000005</v>
      </c>
      <c r="W79" s="11" t="s">
        <v>1434</v>
      </c>
      <c r="X79" t="str">
        <f>TEXT(Table1_1[[#This Row],[OrderDate]],"mm yyyy")</f>
        <v>03 2025</v>
      </c>
      <c r="Y79" s="13">
        <f>DATE(YEAR(Table1_1[[#This Row],[OrderDate]]),MONTH(B79),1)</f>
        <v>45717</v>
      </c>
      <c r="Z79" s="2">
        <f t="shared" si="1"/>
        <v>44986</v>
      </c>
      <c r="AA79">
        <f>(YEAR(Table1_1[[#This Row],[OrderMonth]])-YEAR(Table1_1[[#This Row],[Firstmonth]]))*12+(MONTH(Table1_1[[#This Row],[OrderMonth]])-MONTH(Table1_1[[#This Row],[Firstmonth]]))</f>
        <v>24</v>
      </c>
    </row>
    <row r="80" spans="1:27" x14ac:dyDescent="0.25">
      <c r="A80" s="11" t="s">
        <v>134</v>
      </c>
      <c r="B80" s="2">
        <v>45598</v>
      </c>
      <c r="C80" s="2">
        <v>45625</v>
      </c>
      <c r="D80" s="11" t="s">
        <v>1413</v>
      </c>
      <c r="E80">
        <v>27</v>
      </c>
      <c r="F80" s="11" t="s">
        <v>1473</v>
      </c>
      <c r="G80" s="11" t="s">
        <v>1454</v>
      </c>
      <c r="H80" s="11" t="s">
        <v>1478</v>
      </c>
      <c r="I80" s="11" t="s">
        <v>646</v>
      </c>
      <c r="J80" s="11" t="s">
        <v>652</v>
      </c>
      <c r="K80" s="11" t="s">
        <v>670</v>
      </c>
      <c r="L80" s="11" t="s">
        <v>798</v>
      </c>
      <c r="M80" s="10">
        <v>20</v>
      </c>
      <c r="N80">
        <v>1363.51</v>
      </c>
      <c r="O80" s="3">
        <v>1433.9</v>
      </c>
      <c r="P80" s="11" t="s">
        <v>1466</v>
      </c>
      <c r="Q80" s="4">
        <v>5.7000000000000002E-2</v>
      </c>
      <c r="R80" s="3">
        <v>27043.353999999999</v>
      </c>
      <c r="S80" s="3">
        <v>27270.2</v>
      </c>
      <c r="T80" s="4">
        <v>-8.3882346842037905E-3</v>
      </c>
      <c r="U80" s="11" t="s">
        <v>655</v>
      </c>
      <c r="V80" s="3">
        <v>-226.84600000000137</v>
      </c>
      <c r="W80" s="11" t="s">
        <v>1440</v>
      </c>
      <c r="X80" t="str">
        <f>TEXT(Table1_1[[#This Row],[OrderDate]],"mm yyyy")</f>
        <v>11 2024</v>
      </c>
      <c r="Y80" s="13">
        <f>DATE(YEAR(Table1_1[[#This Row],[OrderDate]]),MONTH(B80),1)</f>
        <v>45597</v>
      </c>
      <c r="Z80" s="2">
        <f t="shared" si="1"/>
        <v>44927</v>
      </c>
      <c r="AA80">
        <f>(YEAR(Table1_1[[#This Row],[OrderMonth]])-YEAR(Table1_1[[#This Row],[Firstmonth]]))*12+(MONTH(Table1_1[[#This Row],[OrderMonth]])-MONTH(Table1_1[[#This Row],[Firstmonth]]))</f>
        <v>22</v>
      </c>
    </row>
    <row r="81" spans="1:27" x14ac:dyDescent="0.25">
      <c r="A81" s="11" t="s">
        <v>71</v>
      </c>
      <c r="B81" s="2">
        <v>45361</v>
      </c>
      <c r="C81" s="2">
        <v>45391</v>
      </c>
      <c r="D81" s="11" t="s">
        <v>1413</v>
      </c>
      <c r="E81">
        <v>30</v>
      </c>
      <c r="F81" s="11" t="s">
        <v>1464</v>
      </c>
      <c r="G81" s="11" t="s">
        <v>1456</v>
      </c>
      <c r="H81" s="11" t="s">
        <v>1481</v>
      </c>
      <c r="I81" s="11" t="s">
        <v>642</v>
      </c>
      <c r="J81" s="11" t="s">
        <v>652</v>
      </c>
      <c r="K81" s="11" t="s">
        <v>668</v>
      </c>
      <c r="L81" s="11" t="s">
        <v>735</v>
      </c>
      <c r="M81" s="10">
        <v>3</v>
      </c>
      <c r="N81">
        <v>1176.56</v>
      </c>
      <c r="O81" s="3">
        <v>1911.89</v>
      </c>
      <c r="P81" s="11" t="s">
        <v>1471</v>
      </c>
      <c r="Q81" s="4">
        <v>0.11899999999999999</v>
      </c>
      <c r="R81" s="3">
        <v>5053.1252700000005</v>
      </c>
      <c r="S81" s="3">
        <v>3529.68</v>
      </c>
      <c r="T81" s="4">
        <v>0.30148575160892499</v>
      </c>
      <c r="U81" s="11" t="s">
        <v>655</v>
      </c>
      <c r="V81" s="3">
        <v>1523.4452700000006</v>
      </c>
      <c r="W81" s="11" t="s">
        <v>1433</v>
      </c>
      <c r="X81" t="str">
        <f>TEXT(Table1_1[[#This Row],[OrderDate]],"mm yyyy")</f>
        <v>03 2024</v>
      </c>
      <c r="Y81" s="13">
        <f>DATE(YEAR(Table1_1[[#This Row],[OrderDate]]),MONTH(B81),1)</f>
        <v>45352</v>
      </c>
      <c r="Z81" s="2">
        <f t="shared" si="1"/>
        <v>44958</v>
      </c>
      <c r="AA81">
        <f>(YEAR(Table1_1[[#This Row],[OrderMonth]])-YEAR(Table1_1[[#This Row],[Firstmonth]]))*12+(MONTH(Table1_1[[#This Row],[OrderMonth]])-MONTH(Table1_1[[#This Row],[Firstmonth]]))</f>
        <v>13</v>
      </c>
    </row>
    <row r="82" spans="1:27" x14ac:dyDescent="0.25">
      <c r="A82" s="11" t="s">
        <v>588</v>
      </c>
      <c r="B82" s="2">
        <v>45092</v>
      </c>
      <c r="C82" s="2">
        <v>45119</v>
      </c>
      <c r="D82" s="11" t="s">
        <v>1413</v>
      </c>
      <c r="E82">
        <v>27</v>
      </c>
      <c r="F82" s="11" t="s">
        <v>1464</v>
      </c>
      <c r="G82" s="11" t="s">
        <v>1469</v>
      </c>
      <c r="H82" s="11" t="s">
        <v>1482</v>
      </c>
      <c r="I82" s="11" t="s">
        <v>645</v>
      </c>
      <c r="J82" s="11" t="s">
        <v>652</v>
      </c>
      <c r="K82" s="11" t="s">
        <v>674</v>
      </c>
      <c r="L82" s="11" t="s">
        <v>1251</v>
      </c>
      <c r="M82" s="10">
        <v>26</v>
      </c>
      <c r="N82">
        <v>751.28</v>
      </c>
      <c r="O82" s="3">
        <v>1111.8800000000001</v>
      </c>
      <c r="P82" s="11" t="s">
        <v>1466</v>
      </c>
      <c r="Q82" s="4">
        <v>0.13500000000000001</v>
      </c>
      <c r="R82" s="3">
        <v>25006.181200000003</v>
      </c>
      <c r="S82" s="3">
        <v>19533.28</v>
      </c>
      <c r="T82" s="4">
        <v>0.21886193482433899</v>
      </c>
      <c r="U82" s="11" t="s">
        <v>655</v>
      </c>
      <c r="V82" s="3">
        <v>5472.9012000000039</v>
      </c>
      <c r="W82" s="11" t="s">
        <v>1435</v>
      </c>
      <c r="X82" t="str">
        <f>TEXT(Table1_1[[#This Row],[OrderDate]],"mm yyyy")</f>
        <v>06 2023</v>
      </c>
      <c r="Y82" s="13">
        <f>DATE(YEAR(Table1_1[[#This Row],[OrderDate]]),MONTH(B82),1)</f>
        <v>45078</v>
      </c>
      <c r="Z82" s="2">
        <f t="shared" si="1"/>
        <v>44927</v>
      </c>
      <c r="AA82">
        <f>(YEAR(Table1_1[[#This Row],[OrderMonth]])-YEAR(Table1_1[[#This Row],[Firstmonth]]))*12+(MONTH(Table1_1[[#This Row],[OrderMonth]])-MONTH(Table1_1[[#This Row],[Firstmonth]]))</f>
        <v>5</v>
      </c>
    </row>
    <row r="83" spans="1:27" x14ac:dyDescent="0.25">
      <c r="A83" s="11" t="s">
        <v>90</v>
      </c>
      <c r="B83" s="2">
        <v>45617</v>
      </c>
      <c r="C83" s="2">
        <v>45647</v>
      </c>
      <c r="D83" s="11" t="s">
        <v>1413</v>
      </c>
      <c r="E83">
        <v>30</v>
      </c>
      <c r="F83" s="11" t="s">
        <v>1464</v>
      </c>
      <c r="G83" s="11" t="s">
        <v>1456</v>
      </c>
      <c r="H83" s="11" t="s">
        <v>1472</v>
      </c>
      <c r="I83" s="11" t="s">
        <v>646</v>
      </c>
      <c r="J83" s="11" t="s">
        <v>652</v>
      </c>
      <c r="K83" s="11" t="s">
        <v>673</v>
      </c>
      <c r="L83" s="11" t="s">
        <v>754</v>
      </c>
      <c r="M83" s="10">
        <v>16</v>
      </c>
      <c r="N83">
        <v>1122.68</v>
      </c>
      <c r="O83" s="3">
        <v>1997.19</v>
      </c>
      <c r="P83" s="11" t="s">
        <v>1471</v>
      </c>
      <c r="Q83" s="4">
        <v>0.186</v>
      </c>
      <c r="R83" s="3">
        <v>26011.402560000002</v>
      </c>
      <c r="S83" s="3">
        <v>17962.88</v>
      </c>
      <c r="T83" s="4">
        <v>0.30942285951073301</v>
      </c>
      <c r="U83" s="11" t="s">
        <v>655</v>
      </c>
      <c r="V83" s="3">
        <v>8048.5225600000012</v>
      </c>
      <c r="W83" s="11" t="s">
        <v>1440</v>
      </c>
      <c r="X83" t="str">
        <f>TEXT(Table1_1[[#This Row],[OrderDate]],"mm yyyy")</f>
        <v>11 2024</v>
      </c>
      <c r="Y83" s="13">
        <f>DATE(YEAR(Table1_1[[#This Row],[OrderDate]]),MONTH(B83),1)</f>
        <v>45597</v>
      </c>
      <c r="Z83" s="2">
        <f t="shared" si="1"/>
        <v>44958</v>
      </c>
      <c r="AA83">
        <f>(YEAR(Table1_1[[#This Row],[OrderMonth]])-YEAR(Table1_1[[#This Row],[Firstmonth]]))*12+(MONTH(Table1_1[[#This Row],[OrderMonth]])-MONTH(Table1_1[[#This Row],[Firstmonth]]))</f>
        <v>21</v>
      </c>
    </row>
    <row r="84" spans="1:27" x14ac:dyDescent="0.25">
      <c r="A84" s="11" t="s">
        <v>225</v>
      </c>
      <c r="B84" s="2">
        <v>45351</v>
      </c>
      <c r="C84" s="2">
        <v>45381</v>
      </c>
      <c r="D84" s="11" t="s">
        <v>1413</v>
      </c>
      <c r="E84">
        <v>30</v>
      </c>
      <c r="F84" s="11" t="s">
        <v>1476</v>
      </c>
      <c r="G84" s="11" t="s">
        <v>1451</v>
      </c>
      <c r="H84" s="11" t="s">
        <v>1484</v>
      </c>
      <c r="I84" s="11" t="s">
        <v>646</v>
      </c>
      <c r="J84" s="11" t="s">
        <v>652</v>
      </c>
      <c r="K84" s="11" t="s">
        <v>670</v>
      </c>
      <c r="L84" s="11" t="s">
        <v>890</v>
      </c>
      <c r="M84" s="10">
        <v>15</v>
      </c>
      <c r="N84">
        <v>231.11</v>
      </c>
      <c r="O84" s="3">
        <v>318.17</v>
      </c>
      <c r="P84" s="11" t="s">
        <v>1468</v>
      </c>
      <c r="Q84" s="4">
        <v>0.20100000000000001</v>
      </c>
      <c r="R84" s="3">
        <v>3813.2674499999998</v>
      </c>
      <c r="S84" s="3">
        <v>3466.65</v>
      </c>
      <c r="T84" s="4">
        <v>9.0897754889969706E-2</v>
      </c>
      <c r="U84" s="11" t="s">
        <v>655</v>
      </c>
      <c r="V84" s="3">
        <v>346.61744999999974</v>
      </c>
      <c r="W84" s="11" t="s">
        <v>1433</v>
      </c>
      <c r="X84" t="str">
        <f>TEXT(Table1_1[[#This Row],[OrderDate]],"mm yyyy")</f>
        <v>02 2024</v>
      </c>
      <c r="Y84" s="13">
        <f>DATE(YEAR(Table1_1[[#This Row],[OrderDate]]),MONTH(B84),1)</f>
        <v>45323</v>
      </c>
      <c r="Z84" s="2">
        <f t="shared" si="1"/>
        <v>44986</v>
      </c>
      <c r="AA84">
        <f>(YEAR(Table1_1[[#This Row],[OrderMonth]])-YEAR(Table1_1[[#This Row],[Firstmonth]]))*12+(MONTH(Table1_1[[#This Row],[OrderMonth]])-MONTH(Table1_1[[#This Row],[Firstmonth]]))</f>
        <v>11</v>
      </c>
    </row>
    <row r="85" spans="1:27" x14ac:dyDescent="0.25">
      <c r="A85" s="11" t="s">
        <v>630</v>
      </c>
      <c r="B85" s="2">
        <v>45177</v>
      </c>
      <c r="C85" s="2">
        <v>45183</v>
      </c>
      <c r="D85" s="11" t="s">
        <v>1413</v>
      </c>
      <c r="E85">
        <v>6</v>
      </c>
      <c r="F85" s="11" t="s">
        <v>1485</v>
      </c>
      <c r="G85" s="11" t="s">
        <v>1449</v>
      </c>
      <c r="H85" s="11" t="s">
        <v>1494</v>
      </c>
      <c r="I85" s="11" t="s">
        <v>643</v>
      </c>
      <c r="J85" s="11" t="s">
        <v>652</v>
      </c>
      <c r="K85" s="11" t="s">
        <v>674</v>
      </c>
      <c r="L85" s="11" t="s">
        <v>1293</v>
      </c>
      <c r="M85" s="10">
        <v>15</v>
      </c>
      <c r="N85">
        <v>251.03</v>
      </c>
      <c r="O85" s="3">
        <v>411.48</v>
      </c>
      <c r="P85" s="11" t="s">
        <v>1468</v>
      </c>
      <c r="Q85" s="4">
        <v>0.16500000000000001</v>
      </c>
      <c r="R85" s="3">
        <v>5153.7870000000003</v>
      </c>
      <c r="S85" s="3">
        <v>3765.45</v>
      </c>
      <c r="T85" s="4">
        <v>0.26938191275658102</v>
      </c>
      <c r="U85" s="11" t="s">
        <v>655</v>
      </c>
      <c r="V85" s="3">
        <v>1388.3370000000004</v>
      </c>
      <c r="W85" s="11" t="s">
        <v>1430</v>
      </c>
      <c r="X85" t="str">
        <f>TEXT(Table1_1[[#This Row],[OrderDate]],"mm yyyy")</f>
        <v>09 2023</v>
      </c>
      <c r="Y85" s="13">
        <f>DATE(YEAR(Table1_1[[#This Row],[OrderDate]]),MONTH(B85),1)</f>
        <v>45170</v>
      </c>
      <c r="Z85" s="2">
        <f t="shared" si="1"/>
        <v>44927</v>
      </c>
      <c r="AA85">
        <f>(YEAR(Table1_1[[#This Row],[OrderMonth]])-YEAR(Table1_1[[#This Row],[Firstmonth]]))*12+(MONTH(Table1_1[[#This Row],[OrderMonth]])-MONTH(Table1_1[[#This Row],[Firstmonth]]))</f>
        <v>8</v>
      </c>
    </row>
    <row r="86" spans="1:27" x14ac:dyDescent="0.25">
      <c r="A86" s="11" t="s">
        <v>403</v>
      </c>
      <c r="B86" s="2">
        <v>45360</v>
      </c>
      <c r="C86" s="2">
        <v>45377</v>
      </c>
      <c r="D86" s="11" t="s">
        <v>1413</v>
      </c>
      <c r="E86">
        <v>17</v>
      </c>
      <c r="F86" s="11" t="s">
        <v>1473</v>
      </c>
      <c r="G86" s="11" t="s">
        <v>1498</v>
      </c>
      <c r="H86" s="11" t="s">
        <v>1499</v>
      </c>
      <c r="I86" s="11" t="s">
        <v>643</v>
      </c>
      <c r="J86" s="11" t="s">
        <v>652</v>
      </c>
      <c r="K86" s="11" t="s">
        <v>671</v>
      </c>
      <c r="L86" s="11" t="s">
        <v>1067</v>
      </c>
      <c r="M86" s="10">
        <v>13</v>
      </c>
      <c r="N86">
        <v>1137.4100000000001</v>
      </c>
      <c r="O86" s="3">
        <v>1680.93</v>
      </c>
      <c r="P86" s="11" t="s">
        <v>1471</v>
      </c>
      <c r="Q86" s="4">
        <v>0.254</v>
      </c>
      <c r="R86" s="3">
        <v>16301.65914</v>
      </c>
      <c r="S86" s="3">
        <v>14786.330000000002</v>
      </c>
      <c r="T86" s="4">
        <v>9.2955516183121395E-2</v>
      </c>
      <c r="U86" s="11" t="s">
        <v>655</v>
      </c>
      <c r="V86" s="3">
        <v>1515.329139999998</v>
      </c>
      <c r="W86" s="11" t="s">
        <v>1433</v>
      </c>
      <c r="X86" t="str">
        <f>TEXT(Table1_1[[#This Row],[OrderDate]],"mm yyyy")</f>
        <v>03 2024</v>
      </c>
      <c r="Y86" s="13">
        <f>DATE(YEAR(Table1_1[[#This Row],[OrderDate]]),MONTH(B86),1)</f>
        <v>45352</v>
      </c>
      <c r="Z86" s="2">
        <f t="shared" si="1"/>
        <v>44927</v>
      </c>
      <c r="AA86">
        <f>(YEAR(Table1_1[[#This Row],[OrderMonth]])-YEAR(Table1_1[[#This Row],[Firstmonth]]))*12+(MONTH(Table1_1[[#This Row],[OrderMonth]])-MONTH(Table1_1[[#This Row],[Firstmonth]]))</f>
        <v>14</v>
      </c>
    </row>
    <row r="87" spans="1:27" x14ac:dyDescent="0.25">
      <c r="A87" s="11" t="s">
        <v>328</v>
      </c>
      <c r="B87" s="2">
        <v>45748</v>
      </c>
      <c r="C87" s="2">
        <v>45774</v>
      </c>
      <c r="D87" s="11" t="s">
        <v>1413</v>
      </c>
      <c r="E87">
        <v>26</v>
      </c>
      <c r="F87" s="11" t="s">
        <v>1473</v>
      </c>
      <c r="G87" s="11" t="s">
        <v>1498</v>
      </c>
      <c r="H87" s="11" t="s">
        <v>1499</v>
      </c>
      <c r="I87" s="11" t="s">
        <v>642</v>
      </c>
      <c r="J87" s="11" t="s">
        <v>652</v>
      </c>
      <c r="K87" s="11" t="s">
        <v>673</v>
      </c>
      <c r="L87" s="11" t="s">
        <v>993</v>
      </c>
      <c r="M87" s="10">
        <v>11</v>
      </c>
      <c r="N87">
        <v>156.55000000000001</v>
      </c>
      <c r="O87" s="3">
        <v>227.45</v>
      </c>
      <c r="P87" s="11" t="s">
        <v>1468</v>
      </c>
      <c r="Q87" s="4">
        <v>1.4E-2</v>
      </c>
      <c r="R87" s="3">
        <v>2466.9226999999996</v>
      </c>
      <c r="S87" s="3">
        <v>1722.0500000000002</v>
      </c>
      <c r="T87" s="4">
        <v>0.30194407793969402</v>
      </c>
      <c r="U87" s="11" t="s">
        <v>655</v>
      </c>
      <c r="V87" s="3">
        <v>744.87269999999944</v>
      </c>
      <c r="W87" s="11" t="s">
        <v>1431</v>
      </c>
      <c r="X87" t="str">
        <f>TEXT(Table1_1[[#This Row],[OrderDate]],"mm yyyy")</f>
        <v>04 2025</v>
      </c>
      <c r="Y87" s="13">
        <f>DATE(YEAR(Table1_1[[#This Row],[OrderDate]]),MONTH(B87),1)</f>
        <v>45748</v>
      </c>
      <c r="Z87" s="2">
        <f t="shared" si="1"/>
        <v>44927</v>
      </c>
      <c r="AA87">
        <f>(YEAR(Table1_1[[#This Row],[OrderMonth]])-YEAR(Table1_1[[#This Row],[Firstmonth]]))*12+(MONTH(Table1_1[[#This Row],[OrderMonth]])-MONTH(Table1_1[[#This Row],[Firstmonth]]))</f>
        <v>27</v>
      </c>
    </row>
    <row r="88" spans="1:27" x14ac:dyDescent="0.25">
      <c r="A88" s="11" t="s">
        <v>170</v>
      </c>
      <c r="B88" s="2">
        <v>45870</v>
      </c>
      <c r="C88" s="2">
        <v>45890</v>
      </c>
      <c r="D88" s="11" t="s">
        <v>1413</v>
      </c>
      <c r="E88">
        <v>20</v>
      </c>
      <c r="F88" s="11" t="s">
        <v>1476</v>
      </c>
      <c r="G88" s="11" t="s">
        <v>1457</v>
      </c>
      <c r="H88" s="11" t="s">
        <v>1511</v>
      </c>
      <c r="I88" s="11" t="s">
        <v>642</v>
      </c>
      <c r="J88" s="11" t="s">
        <v>652</v>
      </c>
      <c r="K88" s="11" t="s">
        <v>671</v>
      </c>
      <c r="L88" s="11" t="s">
        <v>834</v>
      </c>
      <c r="M88" s="10">
        <v>10</v>
      </c>
      <c r="N88">
        <v>1220.4100000000001</v>
      </c>
      <c r="O88" s="3">
        <v>2552.2199999999998</v>
      </c>
      <c r="P88" s="11" t="s">
        <v>1471</v>
      </c>
      <c r="Q88" s="4">
        <v>0.18099999999999999</v>
      </c>
      <c r="R88" s="3">
        <v>20902.681799999995</v>
      </c>
      <c r="S88" s="3">
        <v>12204.1</v>
      </c>
      <c r="T88" s="4">
        <v>0.41614668793360299</v>
      </c>
      <c r="U88" s="11" t="s">
        <v>655</v>
      </c>
      <c r="V88" s="3">
        <v>8698.5817999999945</v>
      </c>
      <c r="W88" s="11" t="s">
        <v>1438</v>
      </c>
      <c r="X88" t="str">
        <f>TEXT(Table1_1[[#This Row],[OrderDate]],"mm yyyy")</f>
        <v>08 2025</v>
      </c>
      <c r="Y88" s="13">
        <f>DATE(YEAR(Table1_1[[#This Row],[OrderDate]]),MONTH(B88),1)</f>
        <v>45870</v>
      </c>
      <c r="Z88" s="2">
        <f t="shared" si="1"/>
        <v>44927</v>
      </c>
      <c r="AA88">
        <f>(YEAR(Table1_1[[#This Row],[OrderMonth]])-YEAR(Table1_1[[#This Row],[Firstmonth]]))*12+(MONTH(Table1_1[[#This Row],[OrderMonth]])-MONTH(Table1_1[[#This Row],[Firstmonth]]))</f>
        <v>31</v>
      </c>
    </row>
    <row r="89" spans="1:27" x14ac:dyDescent="0.25">
      <c r="A89" s="11" t="s">
        <v>308</v>
      </c>
      <c r="B89" s="2">
        <v>45377</v>
      </c>
      <c r="C89" s="2">
        <v>45387</v>
      </c>
      <c r="D89" s="11" t="s">
        <v>1413</v>
      </c>
      <c r="E89">
        <v>10</v>
      </c>
      <c r="F89" s="11" t="s">
        <v>1473</v>
      </c>
      <c r="G89" s="11" t="s">
        <v>1458</v>
      </c>
      <c r="H89" s="11" t="s">
        <v>1500</v>
      </c>
      <c r="I89" s="11" t="s">
        <v>645</v>
      </c>
      <c r="J89" s="11" t="s">
        <v>652</v>
      </c>
      <c r="K89" s="11" t="s">
        <v>673</v>
      </c>
      <c r="L89" s="11" t="s">
        <v>973</v>
      </c>
      <c r="M89" s="10">
        <v>3</v>
      </c>
      <c r="N89">
        <v>5.66</v>
      </c>
      <c r="O89" s="3">
        <v>4.22</v>
      </c>
      <c r="P89" s="11" t="s">
        <v>1468</v>
      </c>
      <c r="Q89" s="4">
        <v>0.11899999999999999</v>
      </c>
      <c r="R89" s="3">
        <v>11.153460000000001</v>
      </c>
      <c r="S89" s="3">
        <v>16.98</v>
      </c>
      <c r="T89" s="4">
        <v>-0.52239753403876399</v>
      </c>
      <c r="U89" s="11" t="s">
        <v>654</v>
      </c>
      <c r="V89" s="3">
        <v>-5.8265399999999996</v>
      </c>
      <c r="W89" s="11" t="s">
        <v>1433</v>
      </c>
      <c r="X89" t="str">
        <f>TEXT(Table1_1[[#This Row],[OrderDate]],"mm yyyy")</f>
        <v>03 2024</v>
      </c>
      <c r="Y89" s="13">
        <f>DATE(YEAR(Table1_1[[#This Row],[OrderDate]]),MONTH(B89),1)</f>
        <v>45352</v>
      </c>
      <c r="Z89" s="2">
        <f t="shared" si="1"/>
        <v>44958</v>
      </c>
      <c r="AA89">
        <f>(YEAR(Table1_1[[#This Row],[OrderMonth]])-YEAR(Table1_1[[#This Row],[Firstmonth]]))*12+(MONTH(Table1_1[[#This Row],[OrderMonth]])-MONTH(Table1_1[[#This Row],[Firstmonth]]))</f>
        <v>13</v>
      </c>
    </row>
    <row r="90" spans="1:27" x14ac:dyDescent="0.25">
      <c r="A90" s="11" t="s">
        <v>250</v>
      </c>
      <c r="B90" s="2">
        <v>45188</v>
      </c>
      <c r="C90" s="2">
        <v>45207</v>
      </c>
      <c r="D90" s="11" t="s">
        <v>1413</v>
      </c>
      <c r="E90">
        <v>19</v>
      </c>
      <c r="F90" s="11" t="s">
        <v>1476</v>
      </c>
      <c r="G90" s="11" t="s">
        <v>1453</v>
      </c>
      <c r="H90" s="11" t="s">
        <v>1497</v>
      </c>
      <c r="I90" s="11" t="s">
        <v>643</v>
      </c>
      <c r="J90" s="11" t="s">
        <v>652</v>
      </c>
      <c r="K90" s="11" t="s">
        <v>669</v>
      </c>
      <c r="L90" s="11" t="s">
        <v>915</v>
      </c>
      <c r="M90" s="10">
        <v>11</v>
      </c>
      <c r="N90">
        <v>385.32</v>
      </c>
      <c r="O90" s="3">
        <v>606.76</v>
      </c>
      <c r="P90" s="11" t="s">
        <v>1468</v>
      </c>
      <c r="Q90" s="4">
        <v>8.5999999999999993E-2</v>
      </c>
      <c r="R90" s="3">
        <v>6100.3650399999997</v>
      </c>
      <c r="S90" s="3">
        <v>4238.5199999999995</v>
      </c>
      <c r="T90" s="4">
        <v>0.30520223425842702</v>
      </c>
      <c r="U90" s="11" t="s">
        <v>654</v>
      </c>
      <c r="V90" s="3">
        <v>1861.8450400000002</v>
      </c>
      <c r="W90" s="11" t="s">
        <v>1430</v>
      </c>
      <c r="X90" t="str">
        <f>TEXT(Table1_1[[#This Row],[OrderDate]],"mm yyyy")</f>
        <v>09 2023</v>
      </c>
      <c r="Y90" s="13">
        <f>DATE(YEAR(Table1_1[[#This Row],[OrderDate]]),MONTH(B90),1)</f>
        <v>45170</v>
      </c>
      <c r="Z90" s="2">
        <f t="shared" si="1"/>
        <v>44927</v>
      </c>
      <c r="AA90">
        <f>(YEAR(Table1_1[[#This Row],[OrderMonth]])-YEAR(Table1_1[[#This Row],[Firstmonth]]))*12+(MONTH(Table1_1[[#This Row],[OrderMonth]])-MONTH(Table1_1[[#This Row],[Firstmonth]]))</f>
        <v>8</v>
      </c>
    </row>
    <row r="91" spans="1:27" x14ac:dyDescent="0.25">
      <c r="A91" s="11" t="s">
        <v>439</v>
      </c>
      <c r="B91" s="2">
        <v>45784</v>
      </c>
      <c r="C91" s="2">
        <v>45790</v>
      </c>
      <c r="D91" s="11" t="s">
        <v>1413</v>
      </c>
      <c r="E91">
        <v>6</v>
      </c>
      <c r="F91" s="11" t="s">
        <v>1476</v>
      </c>
      <c r="G91" s="11" t="s">
        <v>1453</v>
      </c>
      <c r="H91" s="11" t="s">
        <v>1497</v>
      </c>
      <c r="I91" s="11" t="s">
        <v>647</v>
      </c>
      <c r="J91" s="11" t="s">
        <v>652</v>
      </c>
      <c r="K91" s="11" t="s">
        <v>671</v>
      </c>
      <c r="L91" s="11" t="s">
        <v>1103</v>
      </c>
      <c r="M91" s="10">
        <v>8</v>
      </c>
      <c r="N91">
        <v>935.98</v>
      </c>
      <c r="O91" s="3">
        <v>2077.69</v>
      </c>
      <c r="P91" s="11" t="s">
        <v>1471</v>
      </c>
      <c r="Q91" s="4">
        <v>0.17499999999999999</v>
      </c>
      <c r="R91" s="3">
        <v>13712.753999999999</v>
      </c>
      <c r="S91" s="3">
        <v>7487.84</v>
      </c>
      <c r="T91" s="4">
        <v>0.45395067978321502</v>
      </c>
      <c r="U91" s="11" t="s">
        <v>654</v>
      </c>
      <c r="V91" s="3">
        <v>6224.9139999999989</v>
      </c>
      <c r="W91" s="11" t="s">
        <v>1431</v>
      </c>
      <c r="X91" t="str">
        <f>TEXT(Table1_1[[#This Row],[OrderDate]],"mm yyyy")</f>
        <v>05 2025</v>
      </c>
      <c r="Y91" s="13">
        <f>DATE(YEAR(Table1_1[[#This Row],[OrderDate]]),MONTH(B91),1)</f>
        <v>45778</v>
      </c>
      <c r="Z91" s="2">
        <f t="shared" si="1"/>
        <v>44927</v>
      </c>
      <c r="AA91">
        <f>(YEAR(Table1_1[[#This Row],[OrderMonth]])-YEAR(Table1_1[[#This Row],[Firstmonth]]))*12+(MONTH(Table1_1[[#This Row],[OrderMonth]])-MONTH(Table1_1[[#This Row],[Firstmonth]]))</f>
        <v>28</v>
      </c>
    </row>
    <row r="92" spans="1:27" x14ac:dyDescent="0.25">
      <c r="A92" s="11" t="s">
        <v>280</v>
      </c>
      <c r="B92" s="2">
        <v>45141</v>
      </c>
      <c r="C92" s="2">
        <v>45152</v>
      </c>
      <c r="D92" s="11" t="s">
        <v>1413</v>
      </c>
      <c r="E92">
        <v>11</v>
      </c>
      <c r="F92" s="11" t="s">
        <v>1473</v>
      </c>
      <c r="G92" s="11" t="s">
        <v>1454</v>
      </c>
      <c r="H92" s="11" t="s">
        <v>1478</v>
      </c>
      <c r="I92" s="11" t="s">
        <v>642</v>
      </c>
      <c r="J92" s="11" t="s">
        <v>652</v>
      </c>
      <c r="K92" s="11" t="s">
        <v>674</v>
      </c>
      <c r="L92" s="11" t="s">
        <v>945</v>
      </c>
      <c r="M92" s="10">
        <v>7</v>
      </c>
      <c r="N92">
        <v>232.73</v>
      </c>
      <c r="O92" s="3">
        <v>334.19</v>
      </c>
      <c r="P92" s="11" t="s">
        <v>1468</v>
      </c>
      <c r="Q92" s="4">
        <v>0.13400000000000001</v>
      </c>
      <c r="R92" s="3">
        <v>2025.85978</v>
      </c>
      <c r="S92" s="3">
        <v>1629.11</v>
      </c>
      <c r="T92" s="4">
        <v>0.19584266587295601</v>
      </c>
      <c r="U92" s="11" t="s">
        <v>654</v>
      </c>
      <c r="V92" s="3">
        <v>396.7497800000001</v>
      </c>
      <c r="W92" s="11" t="s">
        <v>1430</v>
      </c>
      <c r="X92" t="str">
        <f>TEXT(Table1_1[[#This Row],[OrderDate]],"mm yyyy")</f>
        <v>08 2023</v>
      </c>
      <c r="Y92" s="13">
        <f>DATE(YEAR(Table1_1[[#This Row],[OrderDate]]),MONTH(B92),1)</f>
        <v>45139</v>
      </c>
      <c r="Z92" s="2">
        <f t="shared" si="1"/>
        <v>44927</v>
      </c>
      <c r="AA92">
        <f>(YEAR(Table1_1[[#This Row],[OrderMonth]])-YEAR(Table1_1[[#This Row],[Firstmonth]]))*12+(MONTH(Table1_1[[#This Row],[OrderMonth]])-MONTH(Table1_1[[#This Row],[Firstmonth]]))</f>
        <v>7</v>
      </c>
    </row>
    <row r="93" spans="1:27" x14ac:dyDescent="0.25">
      <c r="A93" s="11" t="s">
        <v>209</v>
      </c>
      <c r="B93" s="2">
        <v>45030</v>
      </c>
      <c r="C93" s="2">
        <v>45059</v>
      </c>
      <c r="D93" s="11" t="s">
        <v>1413</v>
      </c>
      <c r="E93">
        <v>29</v>
      </c>
      <c r="F93" s="11" t="s">
        <v>1464</v>
      </c>
      <c r="G93" s="11" t="s">
        <v>1455</v>
      </c>
      <c r="H93" s="11" t="s">
        <v>1467</v>
      </c>
      <c r="I93" s="11" t="s">
        <v>645</v>
      </c>
      <c r="J93" s="11" t="s">
        <v>652</v>
      </c>
      <c r="K93" s="11" t="s">
        <v>669</v>
      </c>
      <c r="L93" s="11" t="s">
        <v>874</v>
      </c>
      <c r="M93" s="10">
        <v>25</v>
      </c>
      <c r="N93">
        <v>1320.33</v>
      </c>
      <c r="O93" s="3">
        <v>2645.23</v>
      </c>
      <c r="P93" s="11" t="s">
        <v>1471</v>
      </c>
      <c r="Q93" s="4">
        <v>0.155</v>
      </c>
      <c r="R93" s="3">
        <v>55880.483749999999</v>
      </c>
      <c r="S93" s="3">
        <v>33008.25</v>
      </c>
      <c r="T93" s="4">
        <v>0.40930629470436503</v>
      </c>
      <c r="U93" s="11" t="s">
        <v>654</v>
      </c>
      <c r="V93" s="3">
        <v>22872.233749999999</v>
      </c>
      <c r="W93" s="11" t="s">
        <v>1435</v>
      </c>
      <c r="X93" t="str">
        <f>TEXT(Table1_1[[#This Row],[OrderDate]],"mm yyyy")</f>
        <v>04 2023</v>
      </c>
      <c r="Y93" s="13">
        <f>DATE(YEAR(Table1_1[[#This Row],[OrderDate]]),MONTH(B93),1)</f>
        <v>45017</v>
      </c>
      <c r="Z93" s="2">
        <f t="shared" si="1"/>
        <v>44927</v>
      </c>
      <c r="AA93">
        <f>(YEAR(Table1_1[[#This Row],[OrderMonth]])-YEAR(Table1_1[[#This Row],[Firstmonth]]))*12+(MONTH(Table1_1[[#This Row],[OrderMonth]])-MONTH(Table1_1[[#This Row],[Firstmonth]]))</f>
        <v>3</v>
      </c>
    </row>
    <row r="94" spans="1:27" x14ac:dyDescent="0.25">
      <c r="A94" s="11" t="s">
        <v>314</v>
      </c>
      <c r="B94" s="2">
        <v>45462</v>
      </c>
      <c r="C94" s="2">
        <v>45463</v>
      </c>
      <c r="D94" s="11" t="s">
        <v>1413</v>
      </c>
      <c r="E94">
        <v>1</v>
      </c>
      <c r="F94" s="11" t="s">
        <v>1485</v>
      </c>
      <c r="G94" s="11" t="s">
        <v>1449</v>
      </c>
      <c r="H94" s="11" t="s">
        <v>1512</v>
      </c>
      <c r="I94" s="11" t="s">
        <v>646</v>
      </c>
      <c r="J94" s="11" t="s">
        <v>652</v>
      </c>
      <c r="K94" s="11" t="s">
        <v>672</v>
      </c>
      <c r="L94" s="11" t="s">
        <v>979</v>
      </c>
      <c r="M94" s="10">
        <v>8</v>
      </c>
      <c r="N94">
        <v>231.63</v>
      </c>
      <c r="O94" s="3">
        <v>537.39</v>
      </c>
      <c r="P94" s="11" t="s">
        <v>1468</v>
      </c>
      <c r="Q94" s="4">
        <v>0.08</v>
      </c>
      <c r="R94" s="3">
        <v>3955.1904</v>
      </c>
      <c r="S94" s="3">
        <v>1853.04</v>
      </c>
      <c r="T94" s="4">
        <v>0.53149158129024598</v>
      </c>
      <c r="U94" s="11" t="s">
        <v>654</v>
      </c>
      <c r="V94" s="3">
        <v>2102.1504</v>
      </c>
      <c r="W94" s="11" t="s">
        <v>1436</v>
      </c>
      <c r="X94" t="str">
        <f>TEXT(Table1_1[[#This Row],[OrderDate]],"mm yyyy")</f>
        <v>06 2024</v>
      </c>
      <c r="Y94" s="13">
        <f>DATE(YEAR(Table1_1[[#This Row],[OrderDate]]),MONTH(B94),1)</f>
        <v>45444</v>
      </c>
      <c r="Z94" s="2">
        <f t="shared" si="1"/>
        <v>44927</v>
      </c>
      <c r="AA94">
        <f>(YEAR(Table1_1[[#This Row],[OrderMonth]])-YEAR(Table1_1[[#This Row],[Firstmonth]]))*12+(MONTH(Table1_1[[#This Row],[OrderMonth]])-MONTH(Table1_1[[#This Row],[Firstmonth]]))</f>
        <v>17</v>
      </c>
    </row>
    <row r="95" spans="1:27" x14ac:dyDescent="0.25">
      <c r="A95" s="11" t="s">
        <v>501</v>
      </c>
      <c r="B95" s="2">
        <v>45523</v>
      </c>
      <c r="C95" s="2">
        <v>45542</v>
      </c>
      <c r="D95" s="11" t="s">
        <v>1413</v>
      </c>
      <c r="E95">
        <v>19</v>
      </c>
      <c r="F95" s="11" t="s">
        <v>1464</v>
      </c>
      <c r="G95" s="11" t="s">
        <v>1456</v>
      </c>
      <c r="H95" s="11" t="s">
        <v>1481</v>
      </c>
      <c r="I95" s="11" t="s">
        <v>642</v>
      </c>
      <c r="J95" s="11" t="s">
        <v>652</v>
      </c>
      <c r="K95" s="11" t="s">
        <v>668</v>
      </c>
      <c r="L95" s="11" t="s">
        <v>1165</v>
      </c>
      <c r="M95" s="10">
        <v>23</v>
      </c>
      <c r="N95">
        <v>297.58999999999997</v>
      </c>
      <c r="O95" s="3">
        <v>666.41</v>
      </c>
      <c r="P95" s="11" t="s">
        <v>1468</v>
      </c>
      <c r="Q95" s="4">
        <v>0</v>
      </c>
      <c r="R95" s="3">
        <v>15327.429999999998</v>
      </c>
      <c r="S95" s="3">
        <v>6844.57</v>
      </c>
      <c r="T95" s="4">
        <v>0.5534430755841</v>
      </c>
      <c r="U95" s="11" t="s">
        <v>654</v>
      </c>
      <c r="V95" s="3">
        <v>8482.8599999999988</v>
      </c>
      <c r="W95" s="11" t="s">
        <v>1437</v>
      </c>
      <c r="X95" t="str">
        <f>TEXT(Table1_1[[#This Row],[OrderDate]],"mm yyyy")</f>
        <v>08 2024</v>
      </c>
      <c r="Y95" s="13">
        <f>DATE(YEAR(Table1_1[[#This Row],[OrderDate]]),MONTH(B95),1)</f>
        <v>45505</v>
      </c>
      <c r="Z95" s="2">
        <f t="shared" si="1"/>
        <v>44958</v>
      </c>
      <c r="AA95">
        <f>(YEAR(Table1_1[[#This Row],[OrderMonth]])-YEAR(Table1_1[[#This Row],[Firstmonth]]))*12+(MONTH(Table1_1[[#This Row],[OrderMonth]])-MONTH(Table1_1[[#This Row],[Firstmonth]]))</f>
        <v>18</v>
      </c>
    </row>
    <row r="96" spans="1:27" x14ac:dyDescent="0.25">
      <c r="A96" s="11" t="s">
        <v>530</v>
      </c>
      <c r="B96" s="2">
        <v>45482</v>
      </c>
      <c r="C96" s="2">
        <v>45512</v>
      </c>
      <c r="D96" s="11" t="s">
        <v>1413</v>
      </c>
      <c r="E96">
        <v>30</v>
      </c>
      <c r="F96" s="11" t="s">
        <v>1464</v>
      </c>
      <c r="G96" s="11" t="s">
        <v>1456</v>
      </c>
      <c r="H96" s="11" t="s">
        <v>1472</v>
      </c>
      <c r="I96" s="11" t="s">
        <v>642</v>
      </c>
      <c r="J96" s="11" t="s">
        <v>652</v>
      </c>
      <c r="K96" s="11" t="s">
        <v>668</v>
      </c>
      <c r="L96" s="11" t="s">
        <v>1194</v>
      </c>
      <c r="M96" s="10">
        <v>6</v>
      </c>
      <c r="N96">
        <v>1062.3800000000001</v>
      </c>
      <c r="O96" s="3">
        <v>1503.96</v>
      </c>
      <c r="P96" s="11" t="s">
        <v>1466</v>
      </c>
      <c r="Q96" s="4">
        <v>0.18</v>
      </c>
      <c r="R96" s="3">
        <v>7399.4832000000006</v>
      </c>
      <c r="S96" s="3">
        <v>6374.2800000000007</v>
      </c>
      <c r="T96" s="4">
        <v>0.138550649050734</v>
      </c>
      <c r="U96" s="11" t="s">
        <v>654</v>
      </c>
      <c r="V96" s="3">
        <v>1025.2031999999999</v>
      </c>
      <c r="W96" s="11" t="s">
        <v>1437</v>
      </c>
      <c r="X96" t="str">
        <f>TEXT(Table1_1[[#This Row],[OrderDate]],"mm yyyy")</f>
        <v>07 2024</v>
      </c>
      <c r="Y96" s="13">
        <f>DATE(YEAR(Table1_1[[#This Row],[OrderDate]]),MONTH(B96),1)</f>
        <v>45474</v>
      </c>
      <c r="Z96" s="2">
        <f t="shared" si="1"/>
        <v>44958</v>
      </c>
      <c r="AA96">
        <f>(YEAR(Table1_1[[#This Row],[OrderMonth]])-YEAR(Table1_1[[#This Row],[Firstmonth]]))*12+(MONTH(Table1_1[[#This Row],[OrderMonth]])-MONTH(Table1_1[[#This Row],[Firstmonth]]))</f>
        <v>17</v>
      </c>
    </row>
    <row r="97" spans="1:27" x14ac:dyDescent="0.25">
      <c r="A97" s="11" t="s">
        <v>356</v>
      </c>
      <c r="B97" s="2">
        <v>45498</v>
      </c>
      <c r="C97" s="2">
        <v>45506</v>
      </c>
      <c r="D97" s="11" t="s">
        <v>1413</v>
      </c>
      <c r="E97">
        <v>8</v>
      </c>
      <c r="F97" s="11" t="s">
        <v>1473</v>
      </c>
      <c r="G97" s="11" t="s">
        <v>1452</v>
      </c>
      <c r="H97" s="11" t="s">
        <v>1492</v>
      </c>
      <c r="I97" s="11" t="s">
        <v>645</v>
      </c>
      <c r="J97" s="11" t="s">
        <v>652</v>
      </c>
      <c r="K97" s="11" t="s">
        <v>674</v>
      </c>
      <c r="L97" s="11" t="s">
        <v>1021</v>
      </c>
      <c r="M97" s="10">
        <v>18</v>
      </c>
      <c r="N97">
        <v>986.81</v>
      </c>
      <c r="O97" s="3">
        <v>2050.31</v>
      </c>
      <c r="P97" s="11" t="s">
        <v>1471</v>
      </c>
      <c r="Q97" s="4">
        <v>0.10299999999999999</v>
      </c>
      <c r="R97" s="3">
        <v>33104.305260000001</v>
      </c>
      <c r="S97" s="3">
        <v>17762.579999999998</v>
      </c>
      <c r="T97" s="4">
        <v>0.46343595310358099</v>
      </c>
      <c r="U97" s="11" t="s">
        <v>654</v>
      </c>
      <c r="V97" s="3">
        <v>15341.725260000003</v>
      </c>
      <c r="W97" s="11" t="s">
        <v>1437</v>
      </c>
      <c r="X97" t="str">
        <f>TEXT(Table1_1[[#This Row],[OrderDate]],"mm yyyy")</f>
        <v>07 2024</v>
      </c>
      <c r="Y97" s="13">
        <f>DATE(YEAR(Table1_1[[#This Row],[OrderDate]]),MONTH(B97),1)</f>
        <v>45474</v>
      </c>
      <c r="Z97" s="2">
        <f t="shared" si="1"/>
        <v>44927</v>
      </c>
      <c r="AA97">
        <f>(YEAR(Table1_1[[#This Row],[OrderMonth]])-YEAR(Table1_1[[#This Row],[Firstmonth]]))*12+(MONTH(Table1_1[[#This Row],[OrderMonth]])-MONTH(Table1_1[[#This Row],[Firstmonth]]))</f>
        <v>18</v>
      </c>
    </row>
    <row r="98" spans="1:27" x14ac:dyDescent="0.25">
      <c r="A98" s="11" t="s">
        <v>334</v>
      </c>
      <c r="B98" s="2">
        <v>45544</v>
      </c>
      <c r="C98" s="2">
        <v>45573</v>
      </c>
      <c r="D98" s="11" t="s">
        <v>1413</v>
      </c>
      <c r="E98">
        <v>29</v>
      </c>
      <c r="F98" s="11" t="s">
        <v>1473</v>
      </c>
      <c r="G98" s="11" t="s">
        <v>1488</v>
      </c>
      <c r="H98" s="11" t="s">
        <v>1489</v>
      </c>
      <c r="I98" s="11" t="s">
        <v>643</v>
      </c>
      <c r="J98" s="11" t="s">
        <v>652</v>
      </c>
      <c r="K98" s="11" t="s">
        <v>668</v>
      </c>
      <c r="L98" s="11" t="s">
        <v>999</v>
      </c>
      <c r="M98" s="10">
        <v>6</v>
      </c>
      <c r="N98">
        <v>1010.33</v>
      </c>
      <c r="O98" s="3">
        <v>2492.14</v>
      </c>
      <c r="P98" s="11" t="s">
        <v>1471</v>
      </c>
      <c r="Q98" s="4">
        <v>5.0999999999999997E-2</v>
      </c>
      <c r="R98" s="3">
        <v>14190.245159999999</v>
      </c>
      <c r="S98" s="3">
        <v>6061.9800000000005</v>
      </c>
      <c r="T98" s="4">
        <v>0.57280653493656797</v>
      </c>
      <c r="U98" s="11" t="s">
        <v>654</v>
      </c>
      <c r="V98" s="3">
        <v>8128.2651599999981</v>
      </c>
      <c r="W98" s="11" t="s">
        <v>1437</v>
      </c>
      <c r="X98" t="str">
        <f>TEXT(Table1_1[[#This Row],[OrderDate]],"mm yyyy")</f>
        <v>09 2024</v>
      </c>
      <c r="Y98" s="13">
        <f>DATE(YEAR(Table1_1[[#This Row],[OrderDate]]),MONTH(B98),1)</f>
        <v>45536</v>
      </c>
      <c r="Z98" s="2">
        <f t="shared" si="1"/>
        <v>44958</v>
      </c>
      <c r="AA98">
        <f>(YEAR(Table1_1[[#This Row],[OrderMonth]])-YEAR(Table1_1[[#This Row],[Firstmonth]]))*12+(MONTH(Table1_1[[#This Row],[OrderMonth]])-MONTH(Table1_1[[#This Row],[Firstmonth]]))</f>
        <v>19</v>
      </c>
    </row>
    <row r="99" spans="1:27" x14ac:dyDescent="0.25">
      <c r="A99" s="11" t="s">
        <v>467</v>
      </c>
      <c r="B99" s="2">
        <v>45048</v>
      </c>
      <c r="C99" s="2">
        <v>45065</v>
      </c>
      <c r="D99" s="11" t="s">
        <v>1413</v>
      </c>
      <c r="E99">
        <v>17</v>
      </c>
      <c r="F99" s="11" t="s">
        <v>1476</v>
      </c>
      <c r="G99" s="11" t="s">
        <v>1457</v>
      </c>
      <c r="H99" s="11" t="s">
        <v>1511</v>
      </c>
      <c r="I99" s="11" t="s">
        <v>644</v>
      </c>
      <c r="J99" s="11" t="s">
        <v>652</v>
      </c>
      <c r="K99" s="11" t="s">
        <v>673</v>
      </c>
      <c r="L99" s="11" t="s">
        <v>1131</v>
      </c>
      <c r="M99" s="10">
        <v>18</v>
      </c>
      <c r="N99">
        <v>714.28</v>
      </c>
      <c r="O99" s="3">
        <v>757.59</v>
      </c>
      <c r="P99" s="11" t="s">
        <v>1468</v>
      </c>
      <c r="Q99" s="4">
        <v>0.13600000000000001</v>
      </c>
      <c r="R99" s="3">
        <v>11782.03968</v>
      </c>
      <c r="S99" s="3">
        <v>12857.039999999999</v>
      </c>
      <c r="T99" s="4">
        <v>-9.1240595787910203E-2</v>
      </c>
      <c r="U99" s="11" t="s">
        <v>654</v>
      </c>
      <c r="V99" s="3">
        <v>-1075.0003199999992</v>
      </c>
      <c r="W99" s="11" t="s">
        <v>1435</v>
      </c>
      <c r="X99" t="str">
        <f>TEXT(Table1_1[[#This Row],[OrderDate]],"mm yyyy")</f>
        <v>05 2023</v>
      </c>
      <c r="Y99" s="13">
        <f>DATE(YEAR(Table1_1[[#This Row],[OrderDate]]),MONTH(B99),1)</f>
        <v>45047</v>
      </c>
      <c r="Z99" s="2">
        <f t="shared" si="1"/>
        <v>44927</v>
      </c>
      <c r="AA99">
        <f>(YEAR(Table1_1[[#This Row],[OrderMonth]])-YEAR(Table1_1[[#This Row],[Firstmonth]]))*12+(MONTH(Table1_1[[#This Row],[OrderMonth]])-MONTH(Table1_1[[#This Row],[Firstmonth]]))</f>
        <v>4</v>
      </c>
    </row>
    <row r="100" spans="1:27" x14ac:dyDescent="0.25">
      <c r="A100" s="11" t="s">
        <v>84</v>
      </c>
      <c r="B100" s="2">
        <v>45641</v>
      </c>
      <c r="C100" s="2">
        <v>45646</v>
      </c>
      <c r="D100" s="11" t="s">
        <v>1413</v>
      </c>
      <c r="E100">
        <v>5</v>
      </c>
      <c r="F100" s="11" t="s">
        <v>1476</v>
      </c>
      <c r="G100" s="11" t="s">
        <v>1457</v>
      </c>
      <c r="H100" s="11" t="s">
        <v>1513</v>
      </c>
      <c r="I100" s="11" t="s">
        <v>646</v>
      </c>
      <c r="J100" s="11" t="s">
        <v>652</v>
      </c>
      <c r="K100" s="11" t="s">
        <v>670</v>
      </c>
      <c r="L100" s="11" t="s">
        <v>748</v>
      </c>
      <c r="M100" s="10">
        <v>14</v>
      </c>
      <c r="N100">
        <v>717.55</v>
      </c>
      <c r="O100" s="3">
        <v>546.42999999999995</v>
      </c>
      <c r="P100" s="11" t="s">
        <v>1468</v>
      </c>
      <c r="Q100" s="4">
        <v>4.7E-2</v>
      </c>
      <c r="R100" s="3">
        <v>7290.4690599999994</v>
      </c>
      <c r="S100" s="3">
        <v>10045.699999999999</v>
      </c>
      <c r="T100" s="4">
        <v>-0.37792231437026402</v>
      </c>
      <c r="U100" s="11" t="s">
        <v>654</v>
      </c>
      <c r="V100" s="3">
        <v>-2755.2309399999995</v>
      </c>
      <c r="W100" s="11" t="s">
        <v>1440</v>
      </c>
      <c r="X100" t="str">
        <f>TEXT(Table1_1[[#This Row],[OrderDate]],"mm yyyy")</f>
        <v>12 2024</v>
      </c>
      <c r="Y100" s="13">
        <f>DATE(YEAR(Table1_1[[#This Row],[OrderDate]]),MONTH(B100),1)</f>
        <v>45627</v>
      </c>
      <c r="Z100" s="2">
        <f t="shared" si="1"/>
        <v>44927</v>
      </c>
      <c r="AA100">
        <f>(YEAR(Table1_1[[#This Row],[OrderMonth]])-YEAR(Table1_1[[#This Row],[Firstmonth]]))*12+(MONTH(Table1_1[[#This Row],[OrderMonth]])-MONTH(Table1_1[[#This Row],[Firstmonth]]))</f>
        <v>23</v>
      </c>
    </row>
    <row r="101" spans="1:27" x14ac:dyDescent="0.25">
      <c r="A101" s="11" t="s">
        <v>374</v>
      </c>
      <c r="B101" s="2">
        <v>45082</v>
      </c>
      <c r="C101" s="2">
        <v>45105</v>
      </c>
      <c r="D101" s="11" t="s">
        <v>1413</v>
      </c>
      <c r="E101">
        <v>23</v>
      </c>
      <c r="F101" s="11" t="s">
        <v>1464</v>
      </c>
      <c r="G101" s="11" t="s">
        <v>1469</v>
      </c>
      <c r="H101" s="11" t="s">
        <v>1507</v>
      </c>
      <c r="I101" s="11" t="s">
        <v>642</v>
      </c>
      <c r="J101" s="11" t="s">
        <v>652</v>
      </c>
      <c r="K101" s="11" t="s">
        <v>669</v>
      </c>
      <c r="L101" s="11" t="s">
        <v>1039</v>
      </c>
      <c r="M101" s="10">
        <v>18</v>
      </c>
      <c r="N101">
        <v>605.82000000000005</v>
      </c>
      <c r="O101" s="3">
        <v>771.12</v>
      </c>
      <c r="P101" s="11" t="s">
        <v>1468</v>
      </c>
      <c r="Q101" s="4">
        <v>0.13200000000000001</v>
      </c>
      <c r="R101" s="3">
        <v>12047.978880000001</v>
      </c>
      <c r="S101" s="3">
        <v>10904.76</v>
      </c>
      <c r="T101" s="4">
        <v>9.4888851597986906E-2</v>
      </c>
      <c r="U101" s="11" t="s">
        <v>664</v>
      </c>
      <c r="V101" s="3">
        <v>1143.2188800000004</v>
      </c>
      <c r="W101" s="11" t="s">
        <v>1435</v>
      </c>
      <c r="X101" t="str">
        <f>TEXT(Table1_1[[#This Row],[OrderDate]],"mm yyyy")</f>
        <v>06 2023</v>
      </c>
      <c r="Y101" s="13">
        <f>DATE(YEAR(Table1_1[[#This Row],[OrderDate]]),MONTH(B101),1)</f>
        <v>45078</v>
      </c>
      <c r="Z101" s="2">
        <f t="shared" si="1"/>
        <v>44927</v>
      </c>
      <c r="AA101">
        <f>(YEAR(Table1_1[[#This Row],[OrderMonth]])-YEAR(Table1_1[[#This Row],[Firstmonth]]))*12+(MONTH(Table1_1[[#This Row],[OrderMonth]])-MONTH(Table1_1[[#This Row],[Firstmonth]]))</f>
        <v>5</v>
      </c>
    </row>
    <row r="102" spans="1:27" x14ac:dyDescent="0.25">
      <c r="A102" s="11" t="s">
        <v>388</v>
      </c>
      <c r="B102" s="2">
        <v>45664</v>
      </c>
      <c r="C102" s="2">
        <v>45677</v>
      </c>
      <c r="D102" s="11" t="s">
        <v>1413</v>
      </c>
      <c r="E102">
        <v>13</v>
      </c>
      <c r="F102" s="11" t="s">
        <v>1485</v>
      </c>
      <c r="G102" s="11" t="s">
        <v>1501</v>
      </c>
      <c r="H102" s="11" t="s">
        <v>1502</v>
      </c>
      <c r="I102" s="11" t="s">
        <v>642</v>
      </c>
      <c r="J102" s="11" t="s">
        <v>652</v>
      </c>
      <c r="K102" s="11" t="s">
        <v>670</v>
      </c>
      <c r="L102" s="11" t="s">
        <v>1053</v>
      </c>
      <c r="M102" s="10">
        <v>17</v>
      </c>
      <c r="N102">
        <v>432.13</v>
      </c>
      <c r="O102" s="3">
        <v>1034.6600000000001</v>
      </c>
      <c r="P102" s="11" t="s">
        <v>1466</v>
      </c>
      <c r="Q102" s="4">
        <v>9.1999999999999998E-2</v>
      </c>
      <c r="R102" s="3">
        <v>15971.011760000001</v>
      </c>
      <c r="S102" s="3">
        <v>7346.21</v>
      </c>
      <c r="T102" s="4">
        <v>0.54002851476204805</v>
      </c>
      <c r="U102" s="11" t="s">
        <v>664</v>
      </c>
      <c r="V102" s="3">
        <v>8624.8017600000021</v>
      </c>
      <c r="W102" s="11" t="s">
        <v>1434</v>
      </c>
      <c r="X102" t="str">
        <f>TEXT(Table1_1[[#This Row],[OrderDate]],"mm yyyy")</f>
        <v>01 2025</v>
      </c>
      <c r="Y102" s="13">
        <f>DATE(YEAR(Table1_1[[#This Row],[OrderDate]]),MONTH(B102),1)</f>
        <v>45658</v>
      </c>
      <c r="Z102" s="2">
        <f t="shared" si="1"/>
        <v>44927</v>
      </c>
      <c r="AA102">
        <f>(YEAR(Table1_1[[#This Row],[OrderMonth]])-YEAR(Table1_1[[#This Row],[Firstmonth]]))*12+(MONTH(Table1_1[[#This Row],[OrderMonth]])-MONTH(Table1_1[[#This Row],[Firstmonth]]))</f>
        <v>24</v>
      </c>
    </row>
    <row r="103" spans="1:27" x14ac:dyDescent="0.25">
      <c r="A103" s="11" t="s">
        <v>164</v>
      </c>
      <c r="B103" s="2">
        <v>45340</v>
      </c>
      <c r="C103" s="2">
        <v>45355</v>
      </c>
      <c r="D103" s="11" t="s">
        <v>1413</v>
      </c>
      <c r="E103">
        <v>15</v>
      </c>
      <c r="F103" s="11" t="s">
        <v>1485</v>
      </c>
      <c r="G103" s="11" t="s">
        <v>1449</v>
      </c>
      <c r="H103" s="11" t="s">
        <v>1512</v>
      </c>
      <c r="I103" s="11" t="s">
        <v>643</v>
      </c>
      <c r="J103" s="11" t="s">
        <v>652</v>
      </c>
      <c r="K103" s="11" t="s">
        <v>669</v>
      </c>
      <c r="L103" s="11" t="s">
        <v>828</v>
      </c>
      <c r="M103" s="10">
        <v>22</v>
      </c>
      <c r="N103">
        <v>928.68</v>
      </c>
      <c r="O103" s="3">
        <v>2145.17</v>
      </c>
      <c r="P103" s="11" t="s">
        <v>1471</v>
      </c>
      <c r="Q103" s="4">
        <v>0.13600000000000001</v>
      </c>
      <c r="R103" s="3">
        <v>40775.391360000001</v>
      </c>
      <c r="S103" s="3">
        <v>20430.96</v>
      </c>
      <c r="T103" s="4">
        <v>0.49893896003062199</v>
      </c>
      <c r="U103" s="11" t="s">
        <v>664</v>
      </c>
      <c r="V103" s="3">
        <v>20344.431360000002</v>
      </c>
      <c r="W103" s="11" t="s">
        <v>1433</v>
      </c>
      <c r="X103" t="str">
        <f>TEXT(Table1_1[[#This Row],[OrderDate]],"mm yyyy")</f>
        <v>02 2024</v>
      </c>
      <c r="Y103" s="13">
        <f>DATE(YEAR(Table1_1[[#This Row],[OrderDate]]),MONTH(B103),1)</f>
        <v>45323</v>
      </c>
      <c r="Z103" s="2">
        <f t="shared" si="1"/>
        <v>44927</v>
      </c>
      <c r="AA103">
        <f>(YEAR(Table1_1[[#This Row],[OrderMonth]])-YEAR(Table1_1[[#This Row],[Firstmonth]]))*12+(MONTH(Table1_1[[#This Row],[OrderMonth]])-MONTH(Table1_1[[#This Row],[Firstmonth]]))</f>
        <v>13</v>
      </c>
    </row>
    <row r="104" spans="1:27" x14ac:dyDescent="0.25">
      <c r="A104" s="11" t="s">
        <v>515</v>
      </c>
      <c r="B104" s="2">
        <v>45387</v>
      </c>
      <c r="C104" s="2">
        <v>45391</v>
      </c>
      <c r="D104" s="11" t="s">
        <v>1413</v>
      </c>
      <c r="E104">
        <v>4</v>
      </c>
      <c r="F104" s="11" t="s">
        <v>1485</v>
      </c>
      <c r="G104" s="11" t="s">
        <v>1450</v>
      </c>
      <c r="H104" s="11" t="s">
        <v>1514</v>
      </c>
      <c r="I104" s="11" t="s">
        <v>644</v>
      </c>
      <c r="J104" s="11" t="s">
        <v>652</v>
      </c>
      <c r="K104" s="11" t="s">
        <v>668</v>
      </c>
      <c r="L104" s="11" t="s">
        <v>1179</v>
      </c>
      <c r="M104" s="10">
        <v>7</v>
      </c>
      <c r="N104">
        <v>395.07</v>
      </c>
      <c r="O104" s="3">
        <v>970.27</v>
      </c>
      <c r="P104" s="11" t="s">
        <v>1466</v>
      </c>
      <c r="Q104" s="4">
        <v>0.123</v>
      </c>
      <c r="R104" s="3">
        <v>5956.4875299999994</v>
      </c>
      <c r="S104" s="3">
        <v>2765.49</v>
      </c>
      <c r="T104" s="4">
        <v>0.53571799049833702</v>
      </c>
      <c r="U104" s="11" t="s">
        <v>664</v>
      </c>
      <c r="V104" s="3">
        <v>3190.9975299999996</v>
      </c>
      <c r="W104" s="11" t="s">
        <v>1436</v>
      </c>
      <c r="X104" t="str">
        <f>TEXT(Table1_1[[#This Row],[OrderDate]],"mm yyyy")</f>
        <v>04 2024</v>
      </c>
      <c r="Y104" s="13">
        <f>DATE(YEAR(Table1_1[[#This Row],[OrderDate]]),MONTH(B104),1)</f>
        <v>45383</v>
      </c>
      <c r="Z104" s="2">
        <f t="shared" si="1"/>
        <v>44927</v>
      </c>
      <c r="AA104">
        <f>(YEAR(Table1_1[[#This Row],[OrderMonth]])-YEAR(Table1_1[[#This Row],[Firstmonth]]))*12+(MONTH(Table1_1[[#This Row],[OrderMonth]])-MONTH(Table1_1[[#This Row],[Firstmonth]]))</f>
        <v>15</v>
      </c>
    </row>
    <row r="105" spans="1:27" x14ac:dyDescent="0.25">
      <c r="A105" s="11" t="s">
        <v>242</v>
      </c>
      <c r="B105" s="2">
        <v>45538</v>
      </c>
      <c r="C105" s="2">
        <v>45543</v>
      </c>
      <c r="D105" s="11" t="s">
        <v>1413</v>
      </c>
      <c r="E105">
        <v>5</v>
      </c>
      <c r="F105" s="11" t="s">
        <v>1485</v>
      </c>
      <c r="G105" s="11" t="s">
        <v>1450</v>
      </c>
      <c r="H105" s="11" t="s">
        <v>1514</v>
      </c>
      <c r="I105" s="11" t="s">
        <v>646</v>
      </c>
      <c r="J105" s="11" t="s">
        <v>652</v>
      </c>
      <c r="K105" s="11" t="s">
        <v>669</v>
      </c>
      <c r="L105" s="11" t="s">
        <v>907</v>
      </c>
      <c r="M105" s="10">
        <v>30</v>
      </c>
      <c r="N105">
        <v>197.63</v>
      </c>
      <c r="O105" s="3">
        <v>325.79000000000002</v>
      </c>
      <c r="P105" s="11" t="s">
        <v>1468</v>
      </c>
      <c r="Q105" s="4">
        <v>0.11600000000000001</v>
      </c>
      <c r="R105" s="3">
        <v>8639.9508000000005</v>
      </c>
      <c r="S105" s="3">
        <v>5928.9</v>
      </c>
      <c r="T105" s="4">
        <v>0.31378081458519402</v>
      </c>
      <c r="U105" s="11" t="s">
        <v>664</v>
      </c>
      <c r="V105" s="3">
        <v>2711.0508000000009</v>
      </c>
      <c r="W105" s="11" t="s">
        <v>1437</v>
      </c>
      <c r="X105" t="str">
        <f>TEXT(Table1_1[[#This Row],[OrderDate]],"mm yyyy")</f>
        <v>09 2024</v>
      </c>
      <c r="Y105" s="13">
        <f>DATE(YEAR(Table1_1[[#This Row],[OrderDate]]),MONTH(B105),1)</f>
        <v>45536</v>
      </c>
      <c r="Z105" s="2">
        <f t="shared" si="1"/>
        <v>44927</v>
      </c>
      <c r="AA105">
        <f>(YEAR(Table1_1[[#This Row],[OrderMonth]])-YEAR(Table1_1[[#This Row],[Firstmonth]]))*12+(MONTH(Table1_1[[#This Row],[OrderMonth]])-MONTH(Table1_1[[#This Row],[Firstmonth]]))</f>
        <v>20</v>
      </c>
    </row>
    <row r="106" spans="1:27" x14ac:dyDescent="0.25">
      <c r="A106" s="11" t="s">
        <v>404</v>
      </c>
      <c r="B106" s="2">
        <v>45075</v>
      </c>
      <c r="C106" s="2">
        <v>45097</v>
      </c>
      <c r="D106" s="11" t="s">
        <v>1413</v>
      </c>
      <c r="E106">
        <v>22</v>
      </c>
      <c r="F106" s="11" t="s">
        <v>1464</v>
      </c>
      <c r="G106" s="11" t="s">
        <v>1469</v>
      </c>
      <c r="H106" s="11" t="s">
        <v>1470</v>
      </c>
      <c r="I106" s="11" t="s">
        <v>646</v>
      </c>
      <c r="J106" s="11" t="s">
        <v>652</v>
      </c>
      <c r="K106" s="11" t="s">
        <v>668</v>
      </c>
      <c r="L106" s="11" t="s">
        <v>1068</v>
      </c>
      <c r="M106" s="10">
        <v>5</v>
      </c>
      <c r="N106">
        <v>1295.3900000000001</v>
      </c>
      <c r="O106" s="3">
        <v>2905.06</v>
      </c>
      <c r="P106" s="11" t="s">
        <v>1471</v>
      </c>
      <c r="Q106" s="4">
        <v>0.14799999999999999</v>
      </c>
      <c r="R106" s="3">
        <v>12375.5556</v>
      </c>
      <c r="S106" s="3">
        <v>6476.9500000000007</v>
      </c>
      <c r="T106" s="4">
        <v>0.47663359857556598</v>
      </c>
      <c r="U106" s="11" t="s">
        <v>664</v>
      </c>
      <c r="V106" s="3">
        <v>5898.605599999999</v>
      </c>
      <c r="W106" s="11" t="s">
        <v>1435</v>
      </c>
      <c r="X106" t="str">
        <f>TEXT(Table1_1[[#This Row],[OrderDate]],"mm yyyy")</f>
        <v>05 2023</v>
      </c>
      <c r="Y106" s="13">
        <f>DATE(YEAR(Table1_1[[#This Row],[OrderDate]]),MONTH(B106),1)</f>
        <v>45047</v>
      </c>
      <c r="Z106" s="2">
        <f t="shared" si="1"/>
        <v>44927</v>
      </c>
      <c r="AA106">
        <f>(YEAR(Table1_1[[#This Row],[OrderMonth]])-YEAR(Table1_1[[#This Row],[Firstmonth]]))*12+(MONTH(Table1_1[[#This Row],[OrderMonth]])-MONTH(Table1_1[[#This Row],[Firstmonth]]))</f>
        <v>4</v>
      </c>
    </row>
    <row r="107" spans="1:27" x14ac:dyDescent="0.25">
      <c r="A107" s="11" t="s">
        <v>599</v>
      </c>
      <c r="B107" s="2">
        <v>45703</v>
      </c>
      <c r="C107" s="2">
        <v>45715</v>
      </c>
      <c r="D107" s="11" t="s">
        <v>1413</v>
      </c>
      <c r="E107">
        <v>12</v>
      </c>
      <c r="F107" s="11" t="s">
        <v>1464</v>
      </c>
      <c r="G107" s="11" t="s">
        <v>1456</v>
      </c>
      <c r="H107" s="11" t="s">
        <v>1481</v>
      </c>
      <c r="I107" s="11" t="s">
        <v>644</v>
      </c>
      <c r="J107" s="11" t="s">
        <v>652</v>
      </c>
      <c r="K107" s="11" t="s">
        <v>674</v>
      </c>
      <c r="L107" s="11" t="s">
        <v>1262</v>
      </c>
      <c r="M107" s="10">
        <v>12</v>
      </c>
      <c r="N107">
        <v>1027.26</v>
      </c>
      <c r="O107" s="3">
        <v>2200.41</v>
      </c>
      <c r="P107" s="11" t="s">
        <v>1471</v>
      </c>
      <c r="Q107" s="4">
        <v>8.7999999999999995E-2</v>
      </c>
      <c r="R107" s="3">
        <v>24081.287039999999</v>
      </c>
      <c r="S107" s="3">
        <v>12327.119999999999</v>
      </c>
      <c r="T107" s="4">
        <v>0.48810377204822403</v>
      </c>
      <c r="U107" s="11" t="s">
        <v>664</v>
      </c>
      <c r="V107" s="3">
        <v>11754.16704</v>
      </c>
      <c r="W107" s="11" t="s">
        <v>1434</v>
      </c>
      <c r="X107" t="str">
        <f>TEXT(Table1_1[[#This Row],[OrderDate]],"mm yyyy")</f>
        <v>02 2025</v>
      </c>
      <c r="Y107" s="13">
        <f>DATE(YEAR(Table1_1[[#This Row],[OrderDate]]),MONTH(B107),1)</f>
        <v>45689</v>
      </c>
      <c r="Z107" s="2">
        <f t="shared" si="1"/>
        <v>44958</v>
      </c>
      <c r="AA107">
        <f>(YEAR(Table1_1[[#This Row],[OrderMonth]])-YEAR(Table1_1[[#This Row],[Firstmonth]]))*12+(MONTH(Table1_1[[#This Row],[OrderMonth]])-MONTH(Table1_1[[#This Row],[Firstmonth]]))</f>
        <v>24</v>
      </c>
    </row>
    <row r="108" spans="1:27" x14ac:dyDescent="0.25">
      <c r="A108" s="11" t="s">
        <v>89</v>
      </c>
      <c r="B108" s="2">
        <v>45091</v>
      </c>
      <c r="C108" s="2">
        <v>45093</v>
      </c>
      <c r="D108" s="11" t="s">
        <v>1413</v>
      </c>
      <c r="E108">
        <v>2</v>
      </c>
      <c r="F108" s="11" t="s">
        <v>1464</v>
      </c>
      <c r="G108" s="11" t="s">
        <v>1469</v>
      </c>
      <c r="H108" s="11" t="s">
        <v>1482</v>
      </c>
      <c r="I108" s="11" t="s">
        <v>644</v>
      </c>
      <c r="J108" s="11" t="s">
        <v>652</v>
      </c>
      <c r="K108" s="11" t="s">
        <v>668</v>
      </c>
      <c r="L108" s="11" t="s">
        <v>753</v>
      </c>
      <c r="M108" s="10">
        <v>39</v>
      </c>
      <c r="N108">
        <v>357.36</v>
      </c>
      <c r="O108" s="3">
        <v>703.62</v>
      </c>
      <c r="P108" s="11" t="s">
        <v>1468</v>
      </c>
      <c r="Q108" s="4">
        <v>0.25700000000000001</v>
      </c>
      <c r="R108" s="3">
        <v>20388.796740000002</v>
      </c>
      <c r="S108" s="3">
        <v>13937.04</v>
      </c>
      <c r="T108" s="4">
        <v>0.31643636563125599</v>
      </c>
      <c r="U108" s="11" t="s">
        <v>664</v>
      </c>
      <c r="V108" s="3">
        <v>6451.7567400000007</v>
      </c>
      <c r="W108" s="11" t="s">
        <v>1435</v>
      </c>
      <c r="X108" t="str">
        <f>TEXT(Table1_1[[#This Row],[OrderDate]],"mm yyyy")</f>
        <v>06 2023</v>
      </c>
      <c r="Y108" s="13">
        <f>DATE(YEAR(Table1_1[[#This Row],[OrderDate]]),MONTH(B108),1)</f>
        <v>45078</v>
      </c>
      <c r="Z108" s="2">
        <f t="shared" si="1"/>
        <v>44927</v>
      </c>
      <c r="AA108">
        <f>(YEAR(Table1_1[[#This Row],[OrderMonth]])-YEAR(Table1_1[[#This Row],[Firstmonth]]))*12+(MONTH(Table1_1[[#This Row],[OrderMonth]])-MONTH(Table1_1[[#This Row],[Firstmonth]]))</f>
        <v>5</v>
      </c>
    </row>
    <row r="109" spans="1:27" x14ac:dyDescent="0.25">
      <c r="A109" s="11" t="s">
        <v>327</v>
      </c>
      <c r="B109" s="2">
        <v>45244</v>
      </c>
      <c r="C109" s="2">
        <v>45260</v>
      </c>
      <c r="D109" s="11" t="s">
        <v>1413</v>
      </c>
      <c r="E109">
        <v>16</v>
      </c>
      <c r="F109" s="11" t="s">
        <v>1473</v>
      </c>
      <c r="G109" s="11" t="s">
        <v>1488</v>
      </c>
      <c r="H109" s="11" t="s">
        <v>1489</v>
      </c>
      <c r="I109" s="11" t="s">
        <v>647</v>
      </c>
      <c r="J109" s="11" t="s">
        <v>652</v>
      </c>
      <c r="K109" s="11" t="s">
        <v>670</v>
      </c>
      <c r="L109" s="11" t="s">
        <v>992</v>
      </c>
      <c r="M109" s="10">
        <v>12</v>
      </c>
      <c r="N109">
        <v>1017.92</v>
      </c>
      <c r="O109" s="3">
        <v>1175.25</v>
      </c>
      <c r="P109" s="11" t="s">
        <v>1466</v>
      </c>
      <c r="Q109" s="4">
        <v>7.4999999999999997E-2</v>
      </c>
      <c r="R109" s="3">
        <v>13045.275000000001</v>
      </c>
      <c r="S109" s="3">
        <v>12215.039999999999</v>
      </c>
      <c r="T109" s="4">
        <v>6.3642583234159694E-2</v>
      </c>
      <c r="U109" s="11" t="s">
        <v>664</v>
      </c>
      <c r="V109" s="3">
        <v>830.2350000000024</v>
      </c>
      <c r="W109" s="11" t="s">
        <v>1439</v>
      </c>
      <c r="X109" t="str">
        <f>TEXT(Table1_1[[#This Row],[OrderDate]],"mm yyyy")</f>
        <v>11 2023</v>
      </c>
      <c r="Y109" s="13">
        <f>DATE(YEAR(Table1_1[[#This Row],[OrderDate]]),MONTH(B109),1)</f>
        <v>45231</v>
      </c>
      <c r="Z109" s="2">
        <f t="shared" si="1"/>
        <v>44958</v>
      </c>
      <c r="AA109">
        <f>(YEAR(Table1_1[[#This Row],[OrderMonth]])-YEAR(Table1_1[[#This Row],[Firstmonth]]))*12+(MONTH(Table1_1[[#This Row],[OrderMonth]])-MONTH(Table1_1[[#This Row],[Firstmonth]]))</f>
        <v>9</v>
      </c>
    </row>
    <row r="110" spans="1:27" x14ac:dyDescent="0.25">
      <c r="A110" s="11" t="s">
        <v>176</v>
      </c>
      <c r="B110" s="2">
        <v>44976</v>
      </c>
      <c r="C110" s="2">
        <v>44997</v>
      </c>
      <c r="D110" s="11" t="s">
        <v>1413</v>
      </c>
      <c r="E110">
        <v>21</v>
      </c>
      <c r="F110" s="11" t="s">
        <v>1464</v>
      </c>
      <c r="G110" s="11" t="s">
        <v>1455</v>
      </c>
      <c r="H110" s="11" t="s">
        <v>1465</v>
      </c>
      <c r="I110" s="11" t="s">
        <v>646</v>
      </c>
      <c r="J110" s="11" t="s">
        <v>652</v>
      </c>
      <c r="K110" s="11" t="s">
        <v>673</v>
      </c>
      <c r="L110" s="11" t="s">
        <v>840</v>
      </c>
      <c r="M110" s="10">
        <v>10</v>
      </c>
      <c r="N110">
        <v>1234.81</v>
      </c>
      <c r="O110" s="3">
        <v>2055.2399999999998</v>
      </c>
      <c r="P110" s="11" t="s">
        <v>1471</v>
      </c>
      <c r="Q110" s="4">
        <v>5.2999999999999999E-2</v>
      </c>
      <c r="R110" s="3">
        <v>19463.122799999997</v>
      </c>
      <c r="S110" s="3">
        <v>12348.099999999999</v>
      </c>
      <c r="T110" s="4">
        <v>0.36556429680441599</v>
      </c>
      <c r="U110" s="11" t="s">
        <v>657</v>
      </c>
      <c r="V110" s="3">
        <v>7115.0227999999988</v>
      </c>
      <c r="W110" s="11" t="s">
        <v>1432</v>
      </c>
      <c r="X110" t="str">
        <f>TEXT(Table1_1[[#This Row],[OrderDate]],"mm yyyy")</f>
        <v>02 2023</v>
      </c>
      <c r="Y110" s="13">
        <f>DATE(YEAR(Table1_1[[#This Row],[OrderDate]]),MONTH(B110),1)</f>
        <v>44958</v>
      </c>
      <c r="Z110" s="2">
        <f t="shared" si="1"/>
        <v>44927</v>
      </c>
      <c r="AA110">
        <f>(YEAR(Table1_1[[#This Row],[OrderMonth]])-YEAR(Table1_1[[#This Row],[Firstmonth]]))*12+(MONTH(Table1_1[[#This Row],[OrderMonth]])-MONTH(Table1_1[[#This Row],[Firstmonth]]))</f>
        <v>1</v>
      </c>
    </row>
    <row r="111" spans="1:27" x14ac:dyDescent="0.25">
      <c r="A111" s="11" t="s">
        <v>133</v>
      </c>
      <c r="B111" s="2">
        <v>45289</v>
      </c>
      <c r="C111" s="2">
        <v>45311</v>
      </c>
      <c r="D111" s="11" t="s">
        <v>1413</v>
      </c>
      <c r="E111">
        <v>22</v>
      </c>
      <c r="F111" s="11" t="s">
        <v>1485</v>
      </c>
      <c r="G111" s="11" t="s">
        <v>1449</v>
      </c>
      <c r="H111" s="11" t="s">
        <v>1512</v>
      </c>
      <c r="I111" s="11" t="s">
        <v>642</v>
      </c>
      <c r="J111" s="11" t="s">
        <v>652</v>
      </c>
      <c r="K111" s="11" t="s">
        <v>671</v>
      </c>
      <c r="L111" s="11" t="s">
        <v>797</v>
      </c>
      <c r="M111" s="10">
        <v>2</v>
      </c>
      <c r="N111">
        <v>1395.49</v>
      </c>
      <c r="O111" s="3">
        <v>1679.42</v>
      </c>
      <c r="P111" s="11" t="s">
        <v>1471</v>
      </c>
      <c r="Q111" s="4">
        <v>0.20300000000000001</v>
      </c>
      <c r="R111" s="3">
        <v>2676.99548</v>
      </c>
      <c r="S111" s="3">
        <v>2790.98</v>
      </c>
      <c r="T111" s="4">
        <v>-4.2579272490964402E-2</v>
      </c>
      <c r="U111" s="11" t="s">
        <v>657</v>
      </c>
      <c r="V111" s="3">
        <v>-113.98451999999997</v>
      </c>
      <c r="W111" s="11" t="s">
        <v>1439</v>
      </c>
      <c r="X111" t="str">
        <f>TEXT(Table1_1[[#This Row],[OrderDate]],"mm yyyy")</f>
        <v>12 2023</v>
      </c>
      <c r="Y111" s="13">
        <f>DATE(YEAR(Table1_1[[#This Row],[OrderDate]]),MONTH(B111),1)</f>
        <v>45261</v>
      </c>
      <c r="Z111" s="2">
        <f t="shared" si="1"/>
        <v>44927</v>
      </c>
      <c r="AA111">
        <f>(YEAR(Table1_1[[#This Row],[OrderMonth]])-YEAR(Table1_1[[#This Row],[Firstmonth]]))*12+(MONTH(Table1_1[[#This Row],[OrderMonth]])-MONTH(Table1_1[[#This Row],[Firstmonth]]))</f>
        <v>11</v>
      </c>
    </row>
    <row r="112" spans="1:27" x14ac:dyDescent="0.25">
      <c r="A112" s="11" t="s">
        <v>564</v>
      </c>
      <c r="B112" s="2">
        <v>45703</v>
      </c>
      <c r="C112" s="2">
        <v>45717</v>
      </c>
      <c r="D112" s="11" t="s">
        <v>1413</v>
      </c>
      <c r="E112">
        <v>14</v>
      </c>
      <c r="F112" s="11" t="s">
        <v>1485</v>
      </c>
      <c r="G112" s="11" t="s">
        <v>1449</v>
      </c>
      <c r="H112" s="11" t="s">
        <v>1503</v>
      </c>
      <c r="I112" s="11" t="s">
        <v>643</v>
      </c>
      <c r="J112" s="11" t="s">
        <v>652</v>
      </c>
      <c r="K112" s="11" t="s">
        <v>674</v>
      </c>
      <c r="L112" s="11" t="s">
        <v>1227</v>
      </c>
      <c r="M112" s="10">
        <v>27</v>
      </c>
      <c r="N112">
        <v>1162.8599999999999</v>
      </c>
      <c r="O112" s="3">
        <v>1447.68</v>
      </c>
      <c r="P112" s="11" t="s">
        <v>1466</v>
      </c>
      <c r="Q112" s="4">
        <v>8.6999999999999994E-2</v>
      </c>
      <c r="R112" s="3">
        <v>35686.759680000003</v>
      </c>
      <c r="S112" s="3">
        <v>31397.219999999998</v>
      </c>
      <c r="T112" s="4">
        <v>0.120199752470214</v>
      </c>
      <c r="U112" s="11" t="s">
        <v>657</v>
      </c>
      <c r="V112" s="3">
        <v>4289.5396800000053</v>
      </c>
      <c r="W112" s="11" t="s">
        <v>1434</v>
      </c>
      <c r="X112" t="str">
        <f>TEXT(Table1_1[[#This Row],[OrderDate]],"mm yyyy")</f>
        <v>02 2025</v>
      </c>
      <c r="Y112" s="13">
        <f>DATE(YEAR(Table1_1[[#This Row],[OrderDate]]),MONTH(B112),1)</f>
        <v>45689</v>
      </c>
      <c r="Z112" s="2">
        <f t="shared" si="1"/>
        <v>44927</v>
      </c>
      <c r="AA112">
        <f>(YEAR(Table1_1[[#This Row],[OrderMonth]])-YEAR(Table1_1[[#This Row],[Firstmonth]]))*12+(MONTH(Table1_1[[#This Row],[OrderMonth]])-MONTH(Table1_1[[#This Row],[Firstmonth]]))</f>
        <v>25</v>
      </c>
    </row>
    <row r="113" spans="1:27" x14ac:dyDescent="0.25">
      <c r="A113" s="11" t="s">
        <v>105</v>
      </c>
      <c r="B113" s="2">
        <v>45910</v>
      </c>
      <c r="C113" s="2">
        <v>45930</v>
      </c>
      <c r="D113" s="11" t="s">
        <v>1413</v>
      </c>
      <c r="E113">
        <v>20</v>
      </c>
      <c r="F113" s="11" t="s">
        <v>1485</v>
      </c>
      <c r="G113" s="11" t="s">
        <v>1449</v>
      </c>
      <c r="H113" s="11" t="s">
        <v>1503</v>
      </c>
      <c r="I113" s="11" t="s">
        <v>642</v>
      </c>
      <c r="J113" s="11" t="s">
        <v>652</v>
      </c>
      <c r="K113" s="11" t="s">
        <v>671</v>
      </c>
      <c r="L113" s="11" t="s">
        <v>769</v>
      </c>
      <c r="M113" s="10">
        <v>17</v>
      </c>
      <c r="N113">
        <v>1009.48</v>
      </c>
      <c r="O113" s="3">
        <v>1088.81</v>
      </c>
      <c r="P113" s="11" t="s">
        <v>1466</v>
      </c>
      <c r="Q113" s="4">
        <v>0.16</v>
      </c>
      <c r="R113" s="3">
        <v>15548.2068</v>
      </c>
      <c r="S113" s="3">
        <v>17161.16</v>
      </c>
      <c r="T113" s="4">
        <v>-0.103738856882197</v>
      </c>
      <c r="U113" s="11" t="s">
        <v>657</v>
      </c>
      <c r="V113" s="3">
        <v>-1612.9531999999999</v>
      </c>
      <c r="W113" s="11" t="s">
        <v>1438</v>
      </c>
      <c r="X113" t="str">
        <f>TEXT(Table1_1[[#This Row],[OrderDate]],"mm yyyy")</f>
        <v>09 2025</v>
      </c>
      <c r="Y113" s="13">
        <f>DATE(YEAR(Table1_1[[#This Row],[OrderDate]]),MONTH(B113),1)</f>
        <v>45901</v>
      </c>
      <c r="Z113" s="2">
        <f t="shared" si="1"/>
        <v>44927</v>
      </c>
      <c r="AA113">
        <f>(YEAR(Table1_1[[#This Row],[OrderMonth]])-YEAR(Table1_1[[#This Row],[Firstmonth]]))*12+(MONTH(Table1_1[[#This Row],[OrderMonth]])-MONTH(Table1_1[[#This Row],[Firstmonth]]))</f>
        <v>32</v>
      </c>
    </row>
    <row r="114" spans="1:27" x14ac:dyDescent="0.25">
      <c r="A114" s="11" t="s">
        <v>191</v>
      </c>
      <c r="B114" s="2">
        <v>45915</v>
      </c>
      <c r="C114" s="2">
        <v>45918</v>
      </c>
      <c r="D114" s="11" t="s">
        <v>1413</v>
      </c>
      <c r="E114">
        <v>3</v>
      </c>
      <c r="F114" s="11" t="s">
        <v>1473</v>
      </c>
      <c r="G114" s="11" t="s">
        <v>1505</v>
      </c>
      <c r="H114" s="11" t="s">
        <v>1506</v>
      </c>
      <c r="I114" s="11" t="s">
        <v>644</v>
      </c>
      <c r="J114" s="11" t="s">
        <v>652</v>
      </c>
      <c r="K114" s="11" t="s">
        <v>674</v>
      </c>
      <c r="L114" s="11" t="s">
        <v>855</v>
      </c>
      <c r="M114" s="10">
        <v>9</v>
      </c>
      <c r="N114">
        <v>5.5</v>
      </c>
      <c r="O114" s="3">
        <v>5.92</v>
      </c>
      <c r="P114" s="11" t="s">
        <v>1468</v>
      </c>
      <c r="Q114" s="4">
        <v>0.21199999999999999</v>
      </c>
      <c r="R114" s="3">
        <v>41.984640000000006</v>
      </c>
      <c r="S114" s="3">
        <v>49.5</v>
      </c>
      <c r="T114" s="4">
        <v>-0.179002606667581</v>
      </c>
      <c r="U114" s="11" t="s">
        <v>657</v>
      </c>
      <c r="V114" s="3">
        <v>-7.515359999999994</v>
      </c>
      <c r="W114" s="11" t="s">
        <v>1438</v>
      </c>
      <c r="X114" t="str">
        <f>TEXT(Table1_1[[#This Row],[OrderDate]],"mm yyyy")</f>
        <v>09 2025</v>
      </c>
      <c r="Y114" s="13">
        <f>DATE(YEAR(Table1_1[[#This Row],[OrderDate]]),MONTH(B114),1)</f>
        <v>45901</v>
      </c>
      <c r="Z114" s="2">
        <f t="shared" si="1"/>
        <v>45017</v>
      </c>
      <c r="AA114">
        <f>(YEAR(Table1_1[[#This Row],[OrderMonth]])-YEAR(Table1_1[[#This Row],[Firstmonth]]))*12+(MONTH(Table1_1[[#This Row],[OrderMonth]])-MONTH(Table1_1[[#This Row],[Firstmonth]]))</f>
        <v>29</v>
      </c>
    </row>
    <row r="115" spans="1:27" x14ac:dyDescent="0.25">
      <c r="A115" s="11" t="s">
        <v>301</v>
      </c>
      <c r="B115" s="2">
        <v>45746</v>
      </c>
      <c r="C115" s="2">
        <v>45754</v>
      </c>
      <c r="D115" s="11" t="s">
        <v>1413</v>
      </c>
      <c r="E115">
        <v>8</v>
      </c>
      <c r="F115" s="11" t="s">
        <v>1473</v>
      </c>
      <c r="G115" s="11" t="s">
        <v>1488</v>
      </c>
      <c r="H115" s="11" t="s">
        <v>1489</v>
      </c>
      <c r="I115" s="11" t="s">
        <v>644</v>
      </c>
      <c r="J115" s="11" t="s">
        <v>652</v>
      </c>
      <c r="K115" s="11" t="s">
        <v>669</v>
      </c>
      <c r="L115" s="11" t="s">
        <v>966</v>
      </c>
      <c r="M115" s="10">
        <v>11</v>
      </c>
      <c r="N115">
        <v>71.62</v>
      </c>
      <c r="O115" s="3">
        <v>118.37</v>
      </c>
      <c r="P115" s="11" t="s">
        <v>1468</v>
      </c>
      <c r="Q115" s="4">
        <v>0.156</v>
      </c>
      <c r="R115" s="3">
        <v>1098.9470800000001</v>
      </c>
      <c r="S115" s="3">
        <v>787.82</v>
      </c>
      <c r="T115" s="4">
        <v>0.28311379652603502</v>
      </c>
      <c r="U115" s="11" t="s">
        <v>657</v>
      </c>
      <c r="V115" s="3">
        <v>311.12708000000009</v>
      </c>
      <c r="W115" s="11" t="s">
        <v>1434</v>
      </c>
      <c r="X115" t="str">
        <f>TEXT(Table1_1[[#This Row],[OrderDate]],"mm yyyy")</f>
        <v>03 2025</v>
      </c>
      <c r="Y115" s="13">
        <f>DATE(YEAR(Table1_1[[#This Row],[OrderDate]]),MONTH(B115),1)</f>
        <v>45717</v>
      </c>
      <c r="Z115" s="2">
        <f t="shared" si="1"/>
        <v>44958</v>
      </c>
      <c r="AA115">
        <f>(YEAR(Table1_1[[#This Row],[OrderMonth]])-YEAR(Table1_1[[#This Row],[Firstmonth]]))*12+(MONTH(Table1_1[[#This Row],[OrderMonth]])-MONTH(Table1_1[[#This Row],[Firstmonth]]))</f>
        <v>25</v>
      </c>
    </row>
    <row r="116" spans="1:27" x14ac:dyDescent="0.25">
      <c r="A116" s="11" t="s">
        <v>222</v>
      </c>
      <c r="B116" s="2">
        <v>45544</v>
      </c>
      <c r="C116" s="2">
        <v>45566</v>
      </c>
      <c r="D116" s="11" t="s">
        <v>1413</v>
      </c>
      <c r="E116">
        <v>22</v>
      </c>
      <c r="F116" s="11" t="s">
        <v>1476</v>
      </c>
      <c r="G116" s="11" t="s">
        <v>1457</v>
      </c>
      <c r="H116" s="11" t="s">
        <v>1513</v>
      </c>
      <c r="I116" s="11" t="s">
        <v>645</v>
      </c>
      <c r="J116" s="11" t="s">
        <v>652</v>
      </c>
      <c r="K116" s="11" t="s">
        <v>669</v>
      </c>
      <c r="L116" s="11" t="s">
        <v>887</v>
      </c>
      <c r="M116" s="10">
        <v>6</v>
      </c>
      <c r="N116">
        <v>1166.18</v>
      </c>
      <c r="O116" s="3">
        <v>1335.02</v>
      </c>
      <c r="P116" s="11" t="s">
        <v>1466</v>
      </c>
      <c r="Q116" s="4">
        <v>0.128</v>
      </c>
      <c r="R116" s="3">
        <v>6984.8246399999998</v>
      </c>
      <c r="S116" s="3">
        <v>6997.08</v>
      </c>
      <c r="T116" s="4">
        <v>-1.75456946045822E-3</v>
      </c>
      <c r="U116" s="11" t="s">
        <v>657</v>
      </c>
      <c r="V116" s="3">
        <v>-12.25536000000011</v>
      </c>
      <c r="W116" s="11" t="s">
        <v>1437</v>
      </c>
      <c r="X116" t="str">
        <f>TEXT(Table1_1[[#This Row],[OrderDate]],"mm yyyy")</f>
        <v>09 2024</v>
      </c>
      <c r="Y116" s="13">
        <f>DATE(YEAR(Table1_1[[#This Row],[OrderDate]]),MONTH(B116),1)</f>
        <v>45536</v>
      </c>
      <c r="Z116" s="2">
        <f t="shared" si="1"/>
        <v>44927</v>
      </c>
      <c r="AA116">
        <f>(YEAR(Table1_1[[#This Row],[OrderMonth]])-YEAR(Table1_1[[#This Row],[Firstmonth]]))*12+(MONTH(Table1_1[[#This Row],[OrderMonth]])-MONTH(Table1_1[[#This Row],[Firstmonth]]))</f>
        <v>20</v>
      </c>
    </row>
    <row r="117" spans="1:27" x14ac:dyDescent="0.25">
      <c r="A117" s="11" t="s">
        <v>111</v>
      </c>
      <c r="B117" s="2">
        <v>45684</v>
      </c>
      <c r="C117" s="2">
        <v>45703</v>
      </c>
      <c r="D117" s="11" t="s">
        <v>1413</v>
      </c>
      <c r="E117">
        <v>19</v>
      </c>
      <c r="F117" s="11" t="s">
        <v>1476</v>
      </c>
      <c r="G117" s="11" t="s">
        <v>1457</v>
      </c>
      <c r="H117" s="11" t="s">
        <v>1513</v>
      </c>
      <c r="I117" s="11" t="s">
        <v>644</v>
      </c>
      <c r="J117" s="11" t="s">
        <v>652</v>
      </c>
      <c r="K117" s="11" t="s">
        <v>671</v>
      </c>
      <c r="L117" s="11" t="s">
        <v>775</v>
      </c>
      <c r="M117" s="10">
        <v>8</v>
      </c>
      <c r="N117">
        <v>1253.22</v>
      </c>
      <c r="O117" s="3">
        <v>3104.71</v>
      </c>
      <c r="P117" s="11" t="s">
        <v>1471</v>
      </c>
      <c r="Q117" s="4">
        <v>0</v>
      </c>
      <c r="R117" s="3">
        <v>24837.68</v>
      </c>
      <c r="S117" s="3">
        <v>10025.76</v>
      </c>
      <c r="T117" s="4">
        <v>0.59634877331538205</v>
      </c>
      <c r="U117" s="11" t="s">
        <v>657</v>
      </c>
      <c r="V117" s="3">
        <v>14811.92</v>
      </c>
      <c r="W117" s="11" t="s">
        <v>1434</v>
      </c>
      <c r="X117" t="str">
        <f>TEXT(Table1_1[[#This Row],[OrderDate]],"mm yyyy")</f>
        <v>01 2025</v>
      </c>
      <c r="Y117" s="13">
        <f>DATE(YEAR(Table1_1[[#This Row],[OrderDate]]),MONTH(B117),1)</f>
        <v>45658</v>
      </c>
      <c r="Z117" s="2">
        <f t="shared" si="1"/>
        <v>44927</v>
      </c>
      <c r="AA117">
        <f>(YEAR(Table1_1[[#This Row],[OrderMonth]])-YEAR(Table1_1[[#This Row],[Firstmonth]]))*12+(MONTH(Table1_1[[#This Row],[OrderMonth]])-MONTH(Table1_1[[#This Row],[Firstmonth]]))</f>
        <v>24</v>
      </c>
    </row>
    <row r="118" spans="1:27" x14ac:dyDescent="0.25">
      <c r="A118" s="11" t="s">
        <v>91</v>
      </c>
      <c r="B118" s="2">
        <v>44965</v>
      </c>
      <c r="C118" s="2">
        <v>44968</v>
      </c>
      <c r="D118" s="11" t="s">
        <v>1413</v>
      </c>
      <c r="E118">
        <v>3</v>
      </c>
      <c r="F118" s="11" t="s">
        <v>1485</v>
      </c>
      <c r="G118" s="11" t="s">
        <v>1501</v>
      </c>
      <c r="H118" s="11" t="s">
        <v>1502</v>
      </c>
      <c r="I118" s="11" t="s">
        <v>642</v>
      </c>
      <c r="J118" s="11" t="s">
        <v>652</v>
      </c>
      <c r="K118" s="11" t="s">
        <v>670</v>
      </c>
      <c r="L118" s="11" t="s">
        <v>755</v>
      </c>
      <c r="M118" s="10">
        <v>17</v>
      </c>
      <c r="N118">
        <v>1410.05</v>
      </c>
      <c r="O118" s="3">
        <v>2763.95</v>
      </c>
      <c r="P118" s="11" t="s">
        <v>1471</v>
      </c>
      <c r="Q118" s="4">
        <v>0.161</v>
      </c>
      <c r="R118" s="3">
        <v>39422.21884999999</v>
      </c>
      <c r="S118" s="3">
        <v>23970.85</v>
      </c>
      <c r="T118" s="4">
        <v>0.39194569206750801</v>
      </c>
      <c r="U118" s="11" t="s">
        <v>665</v>
      </c>
      <c r="V118" s="3">
        <v>15451.368849999992</v>
      </c>
      <c r="W118" s="11" t="s">
        <v>1432</v>
      </c>
      <c r="X118" t="str">
        <f>TEXT(Table1_1[[#This Row],[OrderDate]],"mm yyyy")</f>
        <v>02 2023</v>
      </c>
      <c r="Y118" s="13">
        <f>DATE(YEAR(Table1_1[[#This Row],[OrderDate]]),MONTH(B118),1)</f>
        <v>44958</v>
      </c>
      <c r="Z118" s="2">
        <f t="shared" si="1"/>
        <v>44927</v>
      </c>
      <c r="AA118">
        <f>(YEAR(Table1_1[[#This Row],[OrderMonth]])-YEAR(Table1_1[[#This Row],[Firstmonth]]))*12+(MONTH(Table1_1[[#This Row],[OrderMonth]])-MONTH(Table1_1[[#This Row],[Firstmonth]]))</f>
        <v>1</v>
      </c>
    </row>
    <row r="119" spans="1:27" x14ac:dyDescent="0.25">
      <c r="A119" s="11" t="s">
        <v>472</v>
      </c>
      <c r="B119" s="2">
        <v>45358</v>
      </c>
      <c r="C119" s="2">
        <v>45385</v>
      </c>
      <c r="D119" s="11" t="s">
        <v>1413</v>
      </c>
      <c r="E119">
        <v>27</v>
      </c>
      <c r="F119" s="11" t="s">
        <v>1464</v>
      </c>
      <c r="G119" s="11" t="s">
        <v>1455</v>
      </c>
      <c r="H119" s="11" t="s">
        <v>1467</v>
      </c>
      <c r="I119" s="11" t="s">
        <v>642</v>
      </c>
      <c r="J119" s="11" t="s">
        <v>652</v>
      </c>
      <c r="K119" s="11" t="s">
        <v>669</v>
      </c>
      <c r="L119" s="11" t="s">
        <v>1136</v>
      </c>
      <c r="M119" s="10">
        <v>23</v>
      </c>
      <c r="N119">
        <v>738.16</v>
      </c>
      <c r="O119" s="3">
        <v>956.49</v>
      </c>
      <c r="P119" s="11" t="s">
        <v>1466</v>
      </c>
      <c r="Q119" s="4">
        <v>0.152</v>
      </c>
      <c r="R119" s="3">
        <v>18655.380959999999</v>
      </c>
      <c r="S119" s="3">
        <v>16977.68</v>
      </c>
      <c r="T119" s="4">
        <v>8.9931208780846997E-2</v>
      </c>
      <c r="U119" s="11" t="s">
        <v>665</v>
      </c>
      <c r="V119" s="3">
        <v>1677.7009599999983</v>
      </c>
      <c r="W119" s="11" t="s">
        <v>1433</v>
      </c>
      <c r="X119" t="str">
        <f>TEXT(Table1_1[[#This Row],[OrderDate]],"mm yyyy")</f>
        <v>03 2024</v>
      </c>
      <c r="Y119" s="13">
        <f>DATE(YEAR(Table1_1[[#This Row],[OrderDate]]),MONTH(B119),1)</f>
        <v>45352</v>
      </c>
      <c r="Z119" s="2">
        <f t="shared" si="1"/>
        <v>44927</v>
      </c>
      <c r="AA119">
        <f>(YEAR(Table1_1[[#This Row],[OrderMonth]])-YEAR(Table1_1[[#This Row],[Firstmonth]]))*12+(MONTH(Table1_1[[#This Row],[OrderMonth]])-MONTH(Table1_1[[#This Row],[Firstmonth]]))</f>
        <v>14</v>
      </c>
    </row>
    <row r="120" spans="1:27" x14ac:dyDescent="0.25">
      <c r="A120" s="11" t="s">
        <v>623</v>
      </c>
      <c r="B120" s="2">
        <v>45468</v>
      </c>
      <c r="C120" s="2">
        <v>45473</v>
      </c>
      <c r="D120" s="11" t="s">
        <v>1413</v>
      </c>
      <c r="E120">
        <v>5</v>
      </c>
      <c r="F120" s="11" t="s">
        <v>1485</v>
      </c>
      <c r="G120" s="11" t="s">
        <v>1449</v>
      </c>
      <c r="H120" s="11" t="s">
        <v>1512</v>
      </c>
      <c r="I120" s="11" t="s">
        <v>643</v>
      </c>
      <c r="J120" s="11" t="s">
        <v>652</v>
      </c>
      <c r="K120" s="11" t="s">
        <v>670</v>
      </c>
      <c r="L120" s="11" t="s">
        <v>1286</v>
      </c>
      <c r="M120" s="10">
        <v>10</v>
      </c>
      <c r="N120">
        <v>1323.55</v>
      </c>
      <c r="O120" s="3">
        <v>3230.35</v>
      </c>
      <c r="P120" s="11" t="s">
        <v>1471</v>
      </c>
      <c r="Q120" s="4">
        <v>2.1999999999999999E-2</v>
      </c>
      <c r="R120" s="3">
        <v>31592.823</v>
      </c>
      <c r="S120" s="3">
        <v>13235.5</v>
      </c>
      <c r="T120" s="4">
        <v>0.58105991351263497</v>
      </c>
      <c r="U120" s="11" t="s">
        <v>665</v>
      </c>
      <c r="V120" s="3">
        <v>18357.323</v>
      </c>
      <c r="W120" s="11" t="s">
        <v>1436</v>
      </c>
      <c r="X120" t="str">
        <f>TEXT(Table1_1[[#This Row],[OrderDate]],"mm yyyy")</f>
        <v>06 2024</v>
      </c>
      <c r="Y120" s="13">
        <f>DATE(YEAR(Table1_1[[#This Row],[OrderDate]]),MONTH(B120),1)</f>
        <v>45444</v>
      </c>
      <c r="Z120" s="2">
        <f t="shared" si="1"/>
        <v>44927</v>
      </c>
      <c r="AA120">
        <f>(YEAR(Table1_1[[#This Row],[OrderMonth]])-YEAR(Table1_1[[#This Row],[Firstmonth]]))*12+(MONTH(Table1_1[[#This Row],[OrderMonth]])-MONTH(Table1_1[[#This Row],[Firstmonth]]))</f>
        <v>17</v>
      </c>
    </row>
    <row r="121" spans="1:27" x14ac:dyDescent="0.25">
      <c r="A121" s="11" t="s">
        <v>219</v>
      </c>
      <c r="B121" s="2">
        <v>45859</v>
      </c>
      <c r="C121" s="2">
        <v>45876</v>
      </c>
      <c r="D121" s="11" t="s">
        <v>1413</v>
      </c>
      <c r="E121">
        <v>17</v>
      </c>
      <c r="F121" s="11" t="s">
        <v>1485</v>
      </c>
      <c r="G121" s="11" t="s">
        <v>1450</v>
      </c>
      <c r="H121" s="11" t="s">
        <v>1514</v>
      </c>
      <c r="I121" s="11" t="s">
        <v>647</v>
      </c>
      <c r="J121" s="11" t="s">
        <v>652</v>
      </c>
      <c r="K121" s="11" t="s">
        <v>674</v>
      </c>
      <c r="L121" s="11" t="s">
        <v>884</v>
      </c>
      <c r="M121" s="10">
        <v>7</v>
      </c>
      <c r="N121">
        <v>1204.95</v>
      </c>
      <c r="O121" s="3">
        <v>2065.73</v>
      </c>
      <c r="P121" s="11" t="s">
        <v>1471</v>
      </c>
      <c r="Q121" s="4">
        <v>0.13600000000000001</v>
      </c>
      <c r="R121" s="3">
        <v>12493.535040000001</v>
      </c>
      <c r="S121" s="3">
        <v>8434.65</v>
      </c>
      <c r="T121" s="4">
        <v>0.324878829491001</v>
      </c>
      <c r="U121" s="11" t="s">
        <v>665</v>
      </c>
      <c r="V121" s="3">
        <v>4058.885040000001</v>
      </c>
      <c r="W121" s="11" t="s">
        <v>1438</v>
      </c>
      <c r="X121" t="str">
        <f>TEXT(Table1_1[[#This Row],[OrderDate]],"mm yyyy")</f>
        <v>07 2025</v>
      </c>
      <c r="Y121" s="13">
        <f>DATE(YEAR(Table1_1[[#This Row],[OrderDate]]),MONTH(B121),1)</f>
        <v>45839</v>
      </c>
      <c r="Z121" s="2">
        <f t="shared" si="1"/>
        <v>44927</v>
      </c>
      <c r="AA121">
        <f>(YEAR(Table1_1[[#This Row],[OrderMonth]])-YEAR(Table1_1[[#This Row],[Firstmonth]]))*12+(MONTH(Table1_1[[#This Row],[OrderMonth]])-MONTH(Table1_1[[#This Row],[Firstmonth]]))</f>
        <v>30</v>
      </c>
    </row>
    <row r="122" spans="1:27" x14ac:dyDescent="0.25">
      <c r="A122" s="11" t="s">
        <v>585</v>
      </c>
      <c r="B122" s="2">
        <v>45042</v>
      </c>
      <c r="C122" s="2">
        <v>45042</v>
      </c>
      <c r="D122" s="11" t="s">
        <v>1413</v>
      </c>
      <c r="E122">
        <v>0</v>
      </c>
      <c r="F122" s="11" t="s">
        <v>1464</v>
      </c>
      <c r="G122" s="11" t="s">
        <v>1456</v>
      </c>
      <c r="H122" s="11" t="s">
        <v>1472</v>
      </c>
      <c r="I122" s="11" t="s">
        <v>645</v>
      </c>
      <c r="J122" s="11" t="s">
        <v>652</v>
      </c>
      <c r="K122" s="11" t="s">
        <v>668</v>
      </c>
      <c r="L122" s="11" t="s">
        <v>1248</v>
      </c>
      <c r="M122" s="10">
        <v>23</v>
      </c>
      <c r="N122">
        <v>81.489999999999995</v>
      </c>
      <c r="O122" s="3">
        <v>113.08</v>
      </c>
      <c r="P122" s="11" t="s">
        <v>1468</v>
      </c>
      <c r="Q122" s="4">
        <v>0.121</v>
      </c>
      <c r="R122" s="3">
        <v>2286.1383599999999</v>
      </c>
      <c r="S122" s="3">
        <v>1874.27</v>
      </c>
      <c r="T122" s="4">
        <v>0.18015898215364401</v>
      </c>
      <c r="U122" s="11" t="s">
        <v>665</v>
      </c>
      <c r="V122" s="3">
        <v>411.86835999999994</v>
      </c>
      <c r="W122" s="11" t="s">
        <v>1435</v>
      </c>
      <c r="X122" t="str">
        <f>TEXT(Table1_1[[#This Row],[OrderDate]],"mm yyyy")</f>
        <v>04 2023</v>
      </c>
      <c r="Y122" s="13">
        <f>DATE(YEAR(Table1_1[[#This Row],[OrderDate]]),MONTH(B122),1)</f>
        <v>45017</v>
      </c>
      <c r="Z122" s="2">
        <f t="shared" si="1"/>
        <v>44958</v>
      </c>
      <c r="AA122">
        <f>(YEAR(Table1_1[[#This Row],[OrderMonth]])-YEAR(Table1_1[[#This Row],[Firstmonth]]))*12+(MONTH(Table1_1[[#This Row],[OrderMonth]])-MONTH(Table1_1[[#This Row],[Firstmonth]]))</f>
        <v>2</v>
      </c>
    </row>
    <row r="123" spans="1:27" x14ac:dyDescent="0.25">
      <c r="A123" s="11" t="s">
        <v>391</v>
      </c>
      <c r="B123" s="2">
        <v>45876</v>
      </c>
      <c r="C123" s="2">
        <v>45906</v>
      </c>
      <c r="D123" s="11" t="s">
        <v>1413</v>
      </c>
      <c r="E123">
        <v>30</v>
      </c>
      <c r="F123" s="11" t="s">
        <v>1473</v>
      </c>
      <c r="G123" s="11" t="s">
        <v>1452</v>
      </c>
      <c r="H123" s="11" t="s">
        <v>1492</v>
      </c>
      <c r="I123" s="11" t="s">
        <v>643</v>
      </c>
      <c r="J123" s="11" t="s">
        <v>652</v>
      </c>
      <c r="K123" s="11" t="s">
        <v>670</v>
      </c>
      <c r="L123" s="11" t="s">
        <v>1055</v>
      </c>
      <c r="M123" s="10">
        <v>9</v>
      </c>
      <c r="N123">
        <v>833.73</v>
      </c>
      <c r="O123" s="3">
        <v>1116.5999999999999</v>
      </c>
      <c r="P123" s="11" t="s">
        <v>1466</v>
      </c>
      <c r="Q123" s="4">
        <v>0.17599999999999999</v>
      </c>
      <c r="R123" s="3">
        <v>8280.7056000000011</v>
      </c>
      <c r="S123" s="3">
        <v>7503.57</v>
      </c>
      <c r="T123" s="4">
        <v>9.3848958958280201E-2</v>
      </c>
      <c r="U123" s="11" t="s">
        <v>665</v>
      </c>
      <c r="V123" s="3">
        <v>777.13560000000143</v>
      </c>
      <c r="W123" s="11" t="s">
        <v>1438</v>
      </c>
      <c r="X123" t="str">
        <f>TEXT(Table1_1[[#This Row],[OrderDate]],"mm yyyy")</f>
        <v>08 2025</v>
      </c>
      <c r="Y123" s="13">
        <f>DATE(YEAR(Table1_1[[#This Row],[OrderDate]]),MONTH(B123),1)</f>
        <v>45870</v>
      </c>
      <c r="Z123" s="2">
        <f t="shared" si="1"/>
        <v>44927</v>
      </c>
      <c r="AA123">
        <f>(YEAR(Table1_1[[#This Row],[OrderMonth]])-YEAR(Table1_1[[#This Row],[Firstmonth]]))*12+(MONTH(Table1_1[[#This Row],[OrderMonth]])-MONTH(Table1_1[[#This Row],[Firstmonth]]))</f>
        <v>31</v>
      </c>
    </row>
    <row r="124" spans="1:27" x14ac:dyDescent="0.25">
      <c r="A124" s="11" t="s">
        <v>478</v>
      </c>
      <c r="B124" s="2">
        <v>45809</v>
      </c>
      <c r="C124" s="2">
        <v>45813</v>
      </c>
      <c r="D124" s="11" t="s">
        <v>1413</v>
      </c>
      <c r="E124">
        <v>4</v>
      </c>
      <c r="F124" s="11" t="s">
        <v>1464</v>
      </c>
      <c r="G124" s="11" t="s">
        <v>1455</v>
      </c>
      <c r="H124" s="11" t="s">
        <v>1483</v>
      </c>
      <c r="I124" s="11" t="s">
        <v>647</v>
      </c>
      <c r="J124" s="11" t="s">
        <v>652</v>
      </c>
      <c r="K124" s="11" t="s">
        <v>668</v>
      </c>
      <c r="L124" s="11" t="s">
        <v>1142</v>
      </c>
      <c r="M124" s="10">
        <v>12</v>
      </c>
      <c r="N124">
        <v>1171.42</v>
      </c>
      <c r="O124" s="3">
        <v>2187.8000000000002</v>
      </c>
      <c r="P124" s="11" t="s">
        <v>1471</v>
      </c>
      <c r="Q124" s="4">
        <v>0.23</v>
      </c>
      <c r="R124" s="3">
        <v>20215.272000000001</v>
      </c>
      <c r="S124" s="3">
        <v>14057.04</v>
      </c>
      <c r="T124" s="4">
        <v>0.30463265594447603</v>
      </c>
      <c r="U124" s="11" t="s">
        <v>665</v>
      </c>
      <c r="V124" s="3">
        <v>6158.232</v>
      </c>
      <c r="W124" s="11" t="s">
        <v>1431</v>
      </c>
      <c r="X124" t="str">
        <f>TEXT(Table1_1[[#This Row],[OrderDate]],"mm yyyy")</f>
        <v>06 2025</v>
      </c>
      <c r="Y124" s="13">
        <f>DATE(YEAR(Table1_1[[#This Row],[OrderDate]]),MONTH(B124),1)</f>
        <v>45809</v>
      </c>
      <c r="Z124" s="2">
        <f t="shared" si="1"/>
        <v>44927</v>
      </c>
      <c r="AA124">
        <f>(YEAR(Table1_1[[#This Row],[OrderMonth]])-YEAR(Table1_1[[#This Row],[Firstmonth]]))*12+(MONTH(Table1_1[[#This Row],[OrderMonth]])-MONTH(Table1_1[[#This Row],[Firstmonth]]))</f>
        <v>29</v>
      </c>
    </row>
    <row r="125" spans="1:27" x14ac:dyDescent="0.25">
      <c r="A125" s="11" t="s">
        <v>476</v>
      </c>
      <c r="B125" s="2">
        <v>45466</v>
      </c>
      <c r="C125" s="2">
        <v>45471</v>
      </c>
      <c r="D125" s="11" t="s">
        <v>1413</v>
      </c>
      <c r="E125">
        <v>5</v>
      </c>
      <c r="F125" s="11" t="s">
        <v>1485</v>
      </c>
      <c r="G125" s="11" t="s">
        <v>1495</v>
      </c>
      <c r="H125" s="11" t="s">
        <v>1496</v>
      </c>
      <c r="I125" s="11" t="s">
        <v>644</v>
      </c>
      <c r="J125" s="11" t="s">
        <v>652</v>
      </c>
      <c r="K125" s="11" t="s">
        <v>674</v>
      </c>
      <c r="L125" s="11" t="s">
        <v>1140</v>
      </c>
      <c r="M125" s="10">
        <v>8</v>
      </c>
      <c r="N125">
        <v>242.31</v>
      </c>
      <c r="O125" s="3">
        <v>587.95000000000005</v>
      </c>
      <c r="P125" s="11" t="s">
        <v>1468</v>
      </c>
      <c r="Q125" s="4">
        <v>0.22900000000000001</v>
      </c>
      <c r="R125" s="3">
        <v>3626.4756000000002</v>
      </c>
      <c r="S125" s="3">
        <v>1938.48</v>
      </c>
      <c r="T125" s="4">
        <v>0.46546448568411702</v>
      </c>
      <c r="U125" s="11" t="s">
        <v>665</v>
      </c>
      <c r="V125" s="3">
        <v>1687.9956000000002</v>
      </c>
      <c r="W125" s="11" t="s">
        <v>1436</v>
      </c>
      <c r="X125" t="str">
        <f>TEXT(Table1_1[[#This Row],[OrderDate]],"mm yyyy")</f>
        <v>06 2024</v>
      </c>
      <c r="Y125" s="13">
        <f>DATE(YEAR(Table1_1[[#This Row],[OrderDate]]),MONTH(B125),1)</f>
        <v>45444</v>
      </c>
      <c r="Z125" s="2">
        <f t="shared" si="1"/>
        <v>45047</v>
      </c>
      <c r="AA125">
        <f>(YEAR(Table1_1[[#This Row],[OrderMonth]])-YEAR(Table1_1[[#This Row],[Firstmonth]]))*12+(MONTH(Table1_1[[#This Row],[OrderMonth]])-MONTH(Table1_1[[#This Row],[Firstmonth]]))</f>
        <v>13</v>
      </c>
    </row>
    <row r="126" spans="1:27" x14ac:dyDescent="0.25">
      <c r="A126" s="11" t="s">
        <v>516</v>
      </c>
      <c r="B126" s="2">
        <v>45774</v>
      </c>
      <c r="C126" s="2">
        <v>45794</v>
      </c>
      <c r="D126" s="11" t="s">
        <v>1413</v>
      </c>
      <c r="E126">
        <v>20</v>
      </c>
      <c r="F126" s="11" t="s">
        <v>1473</v>
      </c>
      <c r="G126" s="11" t="s">
        <v>1458</v>
      </c>
      <c r="H126" s="11" t="s">
        <v>1500</v>
      </c>
      <c r="I126" s="11" t="s">
        <v>642</v>
      </c>
      <c r="J126" s="11" t="s">
        <v>652</v>
      </c>
      <c r="K126" s="11" t="s">
        <v>671</v>
      </c>
      <c r="L126" s="11" t="s">
        <v>1180</v>
      </c>
      <c r="M126" s="10">
        <v>8</v>
      </c>
      <c r="N126">
        <v>932.26</v>
      </c>
      <c r="O126" s="3">
        <v>1624.67</v>
      </c>
      <c r="P126" s="11" t="s">
        <v>1466</v>
      </c>
      <c r="Q126" s="4">
        <v>0.23499999999999999</v>
      </c>
      <c r="R126" s="3">
        <v>9942.9804000000004</v>
      </c>
      <c r="S126" s="3">
        <v>7458.08</v>
      </c>
      <c r="T126" s="4">
        <v>0.24991504559337199</v>
      </c>
      <c r="U126" s="11" t="s">
        <v>666</v>
      </c>
      <c r="V126" s="3">
        <v>2484.9004000000004</v>
      </c>
      <c r="W126" s="11" t="s">
        <v>1431</v>
      </c>
      <c r="X126" t="str">
        <f>TEXT(Table1_1[[#This Row],[OrderDate]],"mm yyyy")</f>
        <v>04 2025</v>
      </c>
      <c r="Y126" s="13">
        <f>DATE(YEAR(Table1_1[[#This Row],[OrderDate]]),MONTH(B126),1)</f>
        <v>45748</v>
      </c>
      <c r="Z126" s="2">
        <f t="shared" si="1"/>
        <v>44958</v>
      </c>
      <c r="AA126">
        <f>(YEAR(Table1_1[[#This Row],[OrderMonth]])-YEAR(Table1_1[[#This Row],[Firstmonth]]))*12+(MONTH(Table1_1[[#This Row],[OrderMonth]])-MONTH(Table1_1[[#This Row],[Firstmonth]]))</f>
        <v>26</v>
      </c>
    </row>
    <row r="127" spans="1:27" x14ac:dyDescent="0.25">
      <c r="A127" s="11" t="s">
        <v>201</v>
      </c>
      <c r="B127" s="2">
        <v>45146</v>
      </c>
      <c r="C127" s="2">
        <v>45160</v>
      </c>
      <c r="D127" s="11" t="s">
        <v>1413</v>
      </c>
      <c r="E127">
        <v>14</v>
      </c>
      <c r="F127" s="11" t="s">
        <v>1464</v>
      </c>
      <c r="G127" s="11" t="s">
        <v>1469</v>
      </c>
      <c r="H127" s="11" t="s">
        <v>1507</v>
      </c>
      <c r="I127" s="11" t="s">
        <v>644</v>
      </c>
      <c r="J127" s="11" t="s">
        <v>652</v>
      </c>
      <c r="K127" s="11" t="s">
        <v>673</v>
      </c>
      <c r="L127" s="11" t="s">
        <v>866</v>
      </c>
      <c r="M127" s="10">
        <v>14</v>
      </c>
      <c r="N127">
        <v>446.69</v>
      </c>
      <c r="O127" s="3">
        <v>967.25</v>
      </c>
      <c r="P127" s="11" t="s">
        <v>1466</v>
      </c>
      <c r="Q127" s="4">
        <v>9.4E-2</v>
      </c>
      <c r="R127" s="3">
        <v>12268.599</v>
      </c>
      <c r="S127" s="3">
        <v>6253.66</v>
      </c>
      <c r="T127" s="4">
        <v>0.49027105702941298</v>
      </c>
      <c r="U127" s="11" t="s">
        <v>666</v>
      </c>
      <c r="V127" s="3">
        <v>6014.9390000000003</v>
      </c>
      <c r="W127" s="11" t="s">
        <v>1430</v>
      </c>
      <c r="X127" t="str">
        <f>TEXT(Table1_1[[#This Row],[OrderDate]],"mm yyyy")</f>
        <v>08 2023</v>
      </c>
      <c r="Y127" s="13">
        <f>DATE(YEAR(Table1_1[[#This Row],[OrderDate]]),MONTH(B127),1)</f>
        <v>45139</v>
      </c>
      <c r="Z127" s="2">
        <f t="shared" si="1"/>
        <v>44927</v>
      </c>
      <c r="AA127">
        <f>(YEAR(Table1_1[[#This Row],[OrderMonth]])-YEAR(Table1_1[[#This Row],[Firstmonth]]))*12+(MONTH(Table1_1[[#This Row],[OrderMonth]])-MONTH(Table1_1[[#This Row],[Firstmonth]]))</f>
        <v>7</v>
      </c>
    </row>
    <row r="128" spans="1:27" x14ac:dyDescent="0.25">
      <c r="A128" s="11" t="s">
        <v>383</v>
      </c>
      <c r="B128" s="2">
        <v>45751</v>
      </c>
      <c r="C128" s="2">
        <v>45757</v>
      </c>
      <c r="D128" s="11" t="s">
        <v>1413</v>
      </c>
      <c r="E128">
        <v>6</v>
      </c>
      <c r="F128" s="11" t="s">
        <v>1464</v>
      </c>
      <c r="G128" s="11" t="s">
        <v>1469</v>
      </c>
      <c r="H128" s="11" t="s">
        <v>1507</v>
      </c>
      <c r="I128" s="11" t="s">
        <v>644</v>
      </c>
      <c r="J128" s="11" t="s">
        <v>652</v>
      </c>
      <c r="K128" s="11" t="s">
        <v>669</v>
      </c>
      <c r="L128" s="11" t="s">
        <v>1048</v>
      </c>
      <c r="M128" s="10">
        <v>38</v>
      </c>
      <c r="N128">
        <v>290.14</v>
      </c>
      <c r="O128" s="3">
        <v>250.73</v>
      </c>
      <c r="P128" s="11" t="s">
        <v>1468</v>
      </c>
      <c r="Q128" s="4">
        <v>3.4000000000000002E-2</v>
      </c>
      <c r="R128" s="3">
        <v>9203.7968399999991</v>
      </c>
      <c r="S128" s="3">
        <v>11025.32</v>
      </c>
      <c r="T128" s="4">
        <v>-0.197909970381311</v>
      </c>
      <c r="U128" s="11" t="s">
        <v>666</v>
      </c>
      <c r="V128" s="3">
        <v>-1821.5231600000006</v>
      </c>
      <c r="W128" s="11" t="s">
        <v>1431</v>
      </c>
      <c r="X128" t="str">
        <f>TEXT(Table1_1[[#This Row],[OrderDate]],"mm yyyy")</f>
        <v>04 2025</v>
      </c>
      <c r="Y128" s="13">
        <f>DATE(YEAR(Table1_1[[#This Row],[OrderDate]]),MONTH(B128),1)</f>
        <v>45748</v>
      </c>
      <c r="Z128" s="2">
        <f t="shared" si="1"/>
        <v>44927</v>
      </c>
      <c r="AA128">
        <f>(YEAR(Table1_1[[#This Row],[OrderMonth]])-YEAR(Table1_1[[#This Row],[Firstmonth]]))*12+(MONTH(Table1_1[[#This Row],[OrderMonth]])-MONTH(Table1_1[[#This Row],[Firstmonth]]))</f>
        <v>27</v>
      </c>
    </row>
    <row r="129" spans="1:27" x14ac:dyDescent="0.25">
      <c r="A129" s="11" t="s">
        <v>173</v>
      </c>
      <c r="B129" s="2">
        <v>45385</v>
      </c>
      <c r="C129" s="2">
        <v>45389</v>
      </c>
      <c r="D129" s="11" t="s">
        <v>1413</v>
      </c>
      <c r="E129">
        <v>4</v>
      </c>
      <c r="F129" s="11" t="s">
        <v>1473</v>
      </c>
      <c r="G129" s="11" t="s">
        <v>1454</v>
      </c>
      <c r="H129" s="11" t="s">
        <v>1478</v>
      </c>
      <c r="I129" s="11" t="s">
        <v>644</v>
      </c>
      <c r="J129" s="11" t="s">
        <v>652</v>
      </c>
      <c r="K129" s="11" t="s">
        <v>671</v>
      </c>
      <c r="L129" s="11" t="s">
        <v>837</v>
      </c>
      <c r="M129" s="10">
        <v>23</v>
      </c>
      <c r="N129">
        <v>1023.27</v>
      </c>
      <c r="O129" s="3">
        <v>1343.64</v>
      </c>
      <c r="P129" s="11" t="s">
        <v>1466</v>
      </c>
      <c r="Q129" s="4">
        <v>0.13300000000000001</v>
      </c>
      <c r="R129" s="3">
        <v>26793.525239999999</v>
      </c>
      <c r="S129" s="3">
        <v>23535.21</v>
      </c>
      <c r="T129" s="4">
        <v>0.12160830688810099</v>
      </c>
      <c r="U129" s="11" t="s">
        <v>666</v>
      </c>
      <c r="V129" s="3">
        <v>3258.3152399999999</v>
      </c>
      <c r="W129" s="11" t="s">
        <v>1436</v>
      </c>
      <c r="X129" t="str">
        <f>TEXT(Table1_1[[#This Row],[OrderDate]],"mm yyyy")</f>
        <v>04 2024</v>
      </c>
      <c r="Y129" s="13">
        <f>DATE(YEAR(Table1_1[[#This Row],[OrderDate]]),MONTH(B129),1)</f>
        <v>45383</v>
      </c>
      <c r="Z129" s="2">
        <f t="shared" si="1"/>
        <v>44927</v>
      </c>
      <c r="AA129">
        <f>(YEAR(Table1_1[[#This Row],[OrderMonth]])-YEAR(Table1_1[[#This Row],[Firstmonth]]))*12+(MONTH(Table1_1[[#This Row],[OrderMonth]])-MONTH(Table1_1[[#This Row],[Firstmonth]]))</f>
        <v>15</v>
      </c>
    </row>
    <row r="130" spans="1:27" x14ac:dyDescent="0.25">
      <c r="A130" s="11" t="s">
        <v>232</v>
      </c>
      <c r="B130" s="2">
        <v>45164</v>
      </c>
      <c r="C130" s="2">
        <v>45179</v>
      </c>
      <c r="D130" s="11" t="s">
        <v>1413</v>
      </c>
      <c r="E130">
        <v>15</v>
      </c>
      <c r="F130" s="11" t="s">
        <v>1485</v>
      </c>
      <c r="G130" s="11" t="s">
        <v>1501</v>
      </c>
      <c r="H130" s="11" t="s">
        <v>1502</v>
      </c>
      <c r="I130" s="11" t="s">
        <v>644</v>
      </c>
      <c r="J130" s="11" t="s">
        <v>652</v>
      </c>
      <c r="K130" s="11" t="s">
        <v>668</v>
      </c>
      <c r="L130" s="11" t="s">
        <v>897</v>
      </c>
      <c r="M130" s="10">
        <v>9</v>
      </c>
      <c r="N130">
        <v>241.14</v>
      </c>
      <c r="O130" s="3">
        <v>496.52</v>
      </c>
      <c r="P130" s="11" t="s">
        <v>1468</v>
      </c>
      <c r="Q130" s="4">
        <v>9.2999999999999999E-2</v>
      </c>
      <c r="R130" s="3">
        <v>4053.0927600000005</v>
      </c>
      <c r="S130" s="3">
        <v>2170.2599999999998</v>
      </c>
      <c r="T130" s="4">
        <v>0.46454223268257999</v>
      </c>
      <c r="U130" s="11" t="s">
        <v>666</v>
      </c>
      <c r="V130" s="3">
        <v>1882.8327600000007</v>
      </c>
      <c r="W130" s="11" t="s">
        <v>1430</v>
      </c>
      <c r="X130" t="str">
        <f>TEXT(Table1_1[[#This Row],[OrderDate]],"mm yyyy")</f>
        <v>08 2023</v>
      </c>
      <c r="Y130" s="13">
        <f>DATE(YEAR(Table1_1[[#This Row],[OrderDate]]),MONTH(B130),1)</f>
        <v>45139</v>
      </c>
      <c r="Z130" s="2">
        <f t="shared" ref="Z130:Z193" si="2">_xlfn.MINIFS(Y130:Y761,G130:G761,G130)</f>
        <v>44927</v>
      </c>
      <c r="AA130">
        <f>(YEAR(Table1_1[[#This Row],[OrderMonth]])-YEAR(Table1_1[[#This Row],[Firstmonth]]))*12+(MONTH(Table1_1[[#This Row],[OrderMonth]])-MONTH(Table1_1[[#This Row],[Firstmonth]]))</f>
        <v>7</v>
      </c>
    </row>
    <row r="131" spans="1:27" x14ac:dyDescent="0.25">
      <c r="A131" s="11" t="s">
        <v>361</v>
      </c>
      <c r="B131" s="2">
        <v>45262</v>
      </c>
      <c r="C131" s="2">
        <v>45276</v>
      </c>
      <c r="D131" s="11" t="s">
        <v>1413</v>
      </c>
      <c r="E131">
        <v>14</v>
      </c>
      <c r="F131" s="11" t="s">
        <v>1464</v>
      </c>
      <c r="G131" s="11" t="s">
        <v>1455</v>
      </c>
      <c r="H131" s="11" t="s">
        <v>1467</v>
      </c>
      <c r="I131" s="11" t="s">
        <v>643</v>
      </c>
      <c r="J131" s="11" t="s">
        <v>652</v>
      </c>
      <c r="K131" s="11" t="s">
        <v>673</v>
      </c>
      <c r="L131" s="11" t="s">
        <v>1026</v>
      </c>
      <c r="M131" s="10">
        <v>18</v>
      </c>
      <c r="N131">
        <v>879.08</v>
      </c>
      <c r="O131" s="3">
        <v>1093.3900000000001</v>
      </c>
      <c r="P131" s="11" t="s">
        <v>1466</v>
      </c>
      <c r="Q131" s="4">
        <v>0.113</v>
      </c>
      <c r="R131" s="3">
        <v>17457.064740000002</v>
      </c>
      <c r="S131" s="3">
        <v>15823.44</v>
      </c>
      <c r="T131" s="4">
        <v>9.3579577341935199E-2</v>
      </c>
      <c r="U131" s="11" t="s">
        <v>666</v>
      </c>
      <c r="V131" s="3">
        <v>1633.6247400000011</v>
      </c>
      <c r="W131" s="11" t="s">
        <v>1439</v>
      </c>
      <c r="X131" t="str">
        <f>TEXT(Table1_1[[#This Row],[OrderDate]],"mm yyyy")</f>
        <v>12 2023</v>
      </c>
      <c r="Y131" s="13">
        <f>DATE(YEAR(Table1_1[[#This Row],[OrderDate]]),MONTH(B131),1)</f>
        <v>45261</v>
      </c>
      <c r="Z131" s="2">
        <f t="shared" si="2"/>
        <v>44927</v>
      </c>
      <c r="AA131">
        <f>(YEAR(Table1_1[[#This Row],[OrderMonth]])-YEAR(Table1_1[[#This Row],[Firstmonth]]))*12+(MONTH(Table1_1[[#This Row],[OrderMonth]])-MONTH(Table1_1[[#This Row],[Firstmonth]]))</f>
        <v>11</v>
      </c>
    </row>
    <row r="132" spans="1:27" x14ac:dyDescent="0.25">
      <c r="A132" s="11" t="s">
        <v>341</v>
      </c>
      <c r="B132" s="2">
        <v>45914</v>
      </c>
      <c r="C132" s="2">
        <v>45926</v>
      </c>
      <c r="D132" s="11" t="s">
        <v>1413</v>
      </c>
      <c r="E132">
        <v>12</v>
      </c>
      <c r="F132" s="11" t="s">
        <v>1464</v>
      </c>
      <c r="G132" s="11" t="s">
        <v>1469</v>
      </c>
      <c r="H132" s="11" t="s">
        <v>1470</v>
      </c>
      <c r="I132" s="11" t="s">
        <v>646</v>
      </c>
      <c r="J132" s="11" t="s">
        <v>652</v>
      </c>
      <c r="K132" s="11" t="s">
        <v>670</v>
      </c>
      <c r="L132" s="11" t="s">
        <v>1006</v>
      </c>
      <c r="M132" s="10">
        <v>8</v>
      </c>
      <c r="N132">
        <v>425.15</v>
      </c>
      <c r="O132" s="3">
        <v>885.92</v>
      </c>
      <c r="P132" s="11" t="s">
        <v>1466</v>
      </c>
      <c r="Q132" s="4">
        <v>0.23899999999999999</v>
      </c>
      <c r="R132" s="3">
        <v>5393.4809599999999</v>
      </c>
      <c r="S132" s="3">
        <v>3401.2</v>
      </c>
      <c r="T132" s="4">
        <v>0.36938685327258503</v>
      </c>
      <c r="U132" s="11" t="s">
        <v>666</v>
      </c>
      <c r="V132" s="3">
        <v>1992.2809600000001</v>
      </c>
      <c r="W132" s="11" t="s">
        <v>1438</v>
      </c>
      <c r="X132" t="str">
        <f>TEXT(Table1_1[[#This Row],[OrderDate]],"mm yyyy")</f>
        <v>09 2025</v>
      </c>
      <c r="Y132" s="13">
        <f>DATE(YEAR(Table1_1[[#This Row],[OrderDate]]),MONTH(B132),1)</f>
        <v>45901</v>
      </c>
      <c r="Z132" s="2">
        <f t="shared" si="2"/>
        <v>44927</v>
      </c>
      <c r="AA132">
        <f>(YEAR(Table1_1[[#This Row],[OrderMonth]])-YEAR(Table1_1[[#This Row],[Firstmonth]]))*12+(MONTH(Table1_1[[#This Row],[OrderMonth]])-MONTH(Table1_1[[#This Row],[Firstmonth]]))</f>
        <v>32</v>
      </c>
    </row>
    <row r="133" spans="1:27" x14ac:dyDescent="0.25">
      <c r="A133" s="11" t="s">
        <v>65</v>
      </c>
      <c r="B133" s="2">
        <v>45168</v>
      </c>
      <c r="C133" s="2">
        <v>45170</v>
      </c>
      <c r="D133" s="11" t="s">
        <v>1413</v>
      </c>
      <c r="E133">
        <v>2</v>
      </c>
      <c r="F133" s="11" t="s">
        <v>1464</v>
      </c>
      <c r="G133" s="11" t="s">
        <v>1455</v>
      </c>
      <c r="H133" s="11" t="s">
        <v>1483</v>
      </c>
      <c r="I133" s="11" t="s">
        <v>642</v>
      </c>
      <c r="J133" s="11" t="s">
        <v>652</v>
      </c>
      <c r="K133" s="11" t="s">
        <v>670</v>
      </c>
      <c r="L133" s="11" t="s">
        <v>729</v>
      </c>
      <c r="M133" s="10">
        <v>11</v>
      </c>
      <c r="N133">
        <v>44.42</v>
      </c>
      <c r="O133" s="3">
        <v>41.9</v>
      </c>
      <c r="P133" s="11" t="s">
        <v>1468</v>
      </c>
      <c r="Q133" s="4">
        <v>0.14399999999999999</v>
      </c>
      <c r="R133" s="3">
        <v>394.53039999999999</v>
      </c>
      <c r="S133" s="3">
        <v>488.62</v>
      </c>
      <c r="T133" s="4">
        <v>-0.23848504449847199</v>
      </c>
      <c r="U133" s="11" t="s">
        <v>666</v>
      </c>
      <c r="V133" s="3">
        <v>-94.089600000000019</v>
      </c>
      <c r="W133" s="11" t="s">
        <v>1430</v>
      </c>
      <c r="X133" t="str">
        <f>TEXT(Table1_1[[#This Row],[OrderDate]],"mm yyyy")</f>
        <v>08 2023</v>
      </c>
      <c r="Y133" s="13">
        <f>DATE(YEAR(Table1_1[[#This Row],[OrderDate]]),MONTH(B133),1)</f>
        <v>45139</v>
      </c>
      <c r="Z133" s="2">
        <f t="shared" si="2"/>
        <v>44927</v>
      </c>
      <c r="AA133">
        <f>(YEAR(Table1_1[[#This Row],[OrderMonth]])-YEAR(Table1_1[[#This Row],[Firstmonth]]))*12+(MONTH(Table1_1[[#This Row],[OrderMonth]])-MONTH(Table1_1[[#This Row],[Firstmonth]]))</f>
        <v>7</v>
      </c>
    </row>
    <row r="134" spans="1:27" x14ac:dyDescent="0.25">
      <c r="A134" s="11" t="s">
        <v>355</v>
      </c>
      <c r="B134" s="2">
        <v>45261</v>
      </c>
      <c r="C134" s="2">
        <v>45278</v>
      </c>
      <c r="D134" s="11" t="s">
        <v>1413</v>
      </c>
      <c r="E134">
        <v>17</v>
      </c>
      <c r="F134" s="11" t="s">
        <v>1476</v>
      </c>
      <c r="G134" s="11" t="s">
        <v>1451</v>
      </c>
      <c r="H134" s="11" t="s">
        <v>1484</v>
      </c>
      <c r="I134" s="11" t="s">
        <v>646</v>
      </c>
      <c r="J134" s="11" t="s">
        <v>652</v>
      </c>
      <c r="K134" s="11" t="s">
        <v>672</v>
      </c>
      <c r="L134" s="11" t="s">
        <v>1020</v>
      </c>
      <c r="M134" s="10">
        <v>16</v>
      </c>
      <c r="N134">
        <v>1495.79</v>
      </c>
      <c r="O134" s="3">
        <v>2783.12</v>
      </c>
      <c r="P134" s="11" t="s">
        <v>1471</v>
      </c>
      <c r="Q134" s="4">
        <v>0.02</v>
      </c>
      <c r="R134" s="3">
        <v>43639.321599999996</v>
      </c>
      <c r="S134" s="3">
        <v>23932.639999999999</v>
      </c>
      <c r="T134" s="4">
        <v>0.45158084217331201</v>
      </c>
      <c r="U134" s="11" t="s">
        <v>666</v>
      </c>
      <c r="V134" s="3">
        <v>19706.681599999996</v>
      </c>
      <c r="W134" s="11" t="s">
        <v>1439</v>
      </c>
      <c r="X134" t="str">
        <f>TEXT(Table1_1[[#This Row],[OrderDate]],"mm yyyy")</f>
        <v>12 2023</v>
      </c>
      <c r="Y134" s="13">
        <f>DATE(YEAR(Table1_1[[#This Row],[OrderDate]]),MONTH(B134),1)</f>
        <v>45261</v>
      </c>
      <c r="Z134" s="2">
        <f t="shared" si="2"/>
        <v>44986</v>
      </c>
      <c r="AA134">
        <f>(YEAR(Table1_1[[#This Row],[OrderMonth]])-YEAR(Table1_1[[#This Row],[Firstmonth]]))*12+(MONTH(Table1_1[[#This Row],[OrderMonth]])-MONTH(Table1_1[[#This Row],[Firstmonth]]))</f>
        <v>9</v>
      </c>
    </row>
    <row r="135" spans="1:27" x14ac:dyDescent="0.25">
      <c r="A135" s="11" t="s">
        <v>101</v>
      </c>
      <c r="B135" s="2">
        <v>45775</v>
      </c>
      <c r="C135" s="2">
        <v>45792</v>
      </c>
      <c r="D135" s="11" t="s">
        <v>1413</v>
      </c>
      <c r="E135">
        <v>17</v>
      </c>
      <c r="F135" s="11" t="s">
        <v>1476</v>
      </c>
      <c r="G135" s="11" t="s">
        <v>1451</v>
      </c>
      <c r="H135" s="11" t="s">
        <v>1484</v>
      </c>
      <c r="I135" s="11" t="s">
        <v>643</v>
      </c>
      <c r="J135" s="11" t="s">
        <v>652</v>
      </c>
      <c r="K135" s="11" t="s">
        <v>670</v>
      </c>
      <c r="L135" s="11" t="s">
        <v>765</v>
      </c>
      <c r="M135" s="10">
        <v>8</v>
      </c>
      <c r="N135">
        <v>691.19</v>
      </c>
      <c r="O135" s="3">
        <v>1284.3</v>
      </c>
      <c r="P135" s="11" t="s">
        <v>1466</v>
      </c>
      <c r="Q135" s="4">
        <v>7.3999999999999996E-2</v>
      </c>
      <c r="R135" s="3">
        <v>9514.0944</v>
      </c>
      <c r="S135" s="3">
        <v>5529.52</v>
      </c>
      <c r="T135" s="4">
        <v>0.41880753253825198</v>
      </c>
      <c r="U135" s="11" t="s">
        <v>666</v>
      </c>
      <c r="V135" s="3">
        <v>3984.5743999999995</v>
      </c>
      <c r="W135" s="11" t="s">
        <v>1431</v>
      </c>
      <c r="X135" t="str">
        <f>TEXT(Table1_1[[#This Row],[OrderDate]],"mm yyyy")</f>
        <v>04 2025</v>
      </c>
      <c r="Y135" s="13">
        <f>DATE(YEAR(Table1_1[[#This Row],[OrderDate]]),MONTH(B135),1)</f>
        <v>45748</v>
      </c>
      <c r="Z135" s="2">
        <f t="shared" si="2"/>
        <v>44986</v>
      </c>
      <c r="AA135">
        <f>(YEAR(Table1_1[[#This Row],[OrderMonth]])-YEAR(Table1_1[[#This Row],[Firstmonth]]))*12+(MONTH(Table1_1[[#This Row],[OrderMonth]])-MONTH(Table1_1[[#This Row],[Firstmonth]]))</f>
        <v>25</v>
      </c>
    </row>
    <row r="136" spans="1:27" x14ac:dyDescent="0.25">
      <c r="A136" s="11" t="s">
        <v>252</v>
      </c>
      <c r="B136" s="2">
        <v>45871</v>
      </c>
      <c r="C136" s="2">
        <v>45877</v>
      </c>
      <c r="D136" s="11" t="s">
        <v>1413</v>
      </c>
      <c r="E136">
        <v>6</v>
      </c>
      <c r="F136" s="11" t="s">
        <v>1476</v>
      </c>
      <c r="G136" s="11" t="s">
        <v>1451</v>
      </c>
      <c r="H136" s="11" t="s">
        <v>1487</v>
      </c>
      <c r="I136" s="11" t="s">
        <v>645</v>
      </c>
      <c r="J136" s="11" t="s">
        <v>652</v>
      </c>
      <c r="K136" s="11" t="s">
        <v>672</v>
      </c>
      <c r="L136" s="11" t="s">
        <v>917</v>
      </c>
      <c r="M136" s="10">
        <v>26</v>
      </c>
      <c r="N136">
        <v>1225.94</v>
      </c>
      <c r="O136" s="3">
        <v>1793.08</v>
      </c>
      <c r="P136" s="11" t="s">
        <v>1471</v>
      </c>
      <c r="Q136" s="4">
        <v>0.13600000000000001</v>
      </c>
      <c r="R136" s="3">
        <v>40279.74912</v>
      </c>
      <c r="S136" s="3">
        <v>31874.440000000002</v>
      </c>
      <c r="T136" s="4">
        <v>0.20867332353434501</v>
      </c>
      <c r="U136" s="11" t="s">
        <v>666</v>
      </c>
      <c r="V136" s="3">
        <v>8405.3091199999981</v>
      </c>
      <c r="W136" s="11" t="s">
        <v>1438</v>
      </c>
      <c r="X136" t="str">
        <f>TEXT(Table1_1[[#This Row],[OrderDate]],"mm yyyy")</f>
        <v>08 2025</v>
      </c>
      <c r="Y136" s="13">
        <f>DATE(YEAR(Table1_1[[#This Row],[OrderDate]]),MONTH(B136),1)</f>
        <v>45870</v>
      </c>
      <c r="Z136" s="2">
        <f t="shared" si="2"/>
        <v>44986</v>
      </c>
      <c r="AA136">
        <f>(YEAR(Table1_1[[#This Row],[OrderMonth]])-YEAR(Table1_1[[#This Row],[Firstmonth]]))*12+(MONTH(Table1_1[[#This Row],[OrderMonth]])-MONTH(Table1_1[[#This Row],[Firstmonth]]))</f>
        <v>29</v>
      </c>
    </row>
    <row r="137" spans="1:27" x14ac:dyDescent="0.25">
      <c r="A137" s="11" t="s">
        <v>48</v>
      </c>
      <c r="B137" s="2">
        <v>45832</v>
      </c>
      <c r="C137" s="2">
        <v>45848</v>
      </c>
      <c r="D137" s="11" t="s">
        <v>1413</v>
      </c>
      <c r="E137">
        <v>16</v>
      </c>
      <c r="F137" s="11" t="s">
        <v>1476</v>
      </c>
      <c r="G137" s="11" t="s">
        <v>1457</v>
      </c>
      <c r="H137" s="11" t="s">
        <v>1511</v>
      </c>
      <c r="I137" s="11" t="s">
        <v>647</v>
      </c>
      <c r="J137" s="11" t="s">
        <v>652</v>
      </c>
      <c r="K137" s="11" t="s">
        <v>668</v>
      </c>
      <c r="L137" s="11" t="s">
        <v>712</v>
      </c>
      <c r="M137" s="10">
        <v>13</v>
      </c>
      <c r="N137">
        <v>757.19</v>
      </c>
      <c r="O137" s="3">
        <v>1735.41</v>
      </c>
      <c r="P137" s="11" t="s">
        <v>1471</v>
      </c>
      <c r="Q137" s="4">
        <v>0.13600000000000001</v>
      </c>
      <c r="R137" s="3">
        <v>19492.125120000001</v>
      </c>
      <c r="S137" s="3">
        <v>9843.4700000000012</v>
      </c>
      <c r="T137" s="4">
        <v>0.49500272856857203</v>
      </c>
      <c r="U137" s="11" t="s">
        <v>666</v>
      </c>
      <c r="V137" s="3">
        <v>9648.6551199999994</v>
      </c>
      <c r="W137" s="11" t="s">
        <v>1431</v>
      </c>
      <c r="X137" t="str">
        <f>TEXT(Table1_1[[#This Row],[OrderDate]],"mm yyyy")</f>
        <v>06 2025</v>
      </c>
      <c r="Y137" s="13">
        <f>DATE(YEAR(Table1_1[[#This Row],[OrderDate]]),MONTH(B137),1)</f>
        <v>45809</v>
      </c>
      <c r="Z137" s="2">
        <f t="shared" si="2"/>
        <v>44927</v>
      </c>
      <c r="AA137">
        <f>(YEAR(Table1_1[[#This Row],[OrderMonth]])-YEAR(Table1_1[[#This Row],[Firstmonth]]))*12+(MONTH(Table1_1[[#This Row],[OrderMonth]])-MONTH(Table1_1[[#This Row],[Firstmonth]]))</f>
        <v>29</v>
      </c>
    </row>
    <row r="138" spans="1:27" x14ac:dyDescent="0.25">
      <c r="A138" s="11" t="s">
        <v>287</v>
      </c>
      <c r="B138" s="2">
        <v>45832</v>
      </c>
      <c r="C138" s="2">
        <v>45852</v>
      </c>
      <c r="D138" s="11" t="s">
        <v>1413</v>
      </c>
      <c r="E138">
        <v>20</v>
      </c>
      <c r="F138" s="11" t="s">
        <v>1464</v>
      </c>
      <c r="G138" s="11" t="s">
        <v>1455</v>
      </c>
      <c r="H138" s="11" t="s">
        <v>1465</v>
      </c>
      <c r="I138" s="11" t="s">
        <v>642</v>
      </c>
      <c r="J138" s="11" t="s">
        <v>652</v>
      </c>
      <c r="K138" s="11" t="s">
        <v>674</v>
      </c>
      <c r="L138" s="11" t="s">
        <v>952</v>
      </c>
      <c r="M138" s="10">
        <v>6</v>
      </c>
      <c r="N138">
        <v>385.08</v>
      </c>
      <c r="O138" s="3">
        <v>893.19</v>
      </c>
      <c r="P138" s="11" t="s">
        <v>1466</v>
      </c>
      <c r="Q138" s="4">
        <v>0.151</v>
      </c>
      <c r="R138" s="3">
        <v>4549.9098599999998</v>
      </c>
      <c r="S138" s="3">
        <v>2310.48</v>
      </c>
      <c r="T138" s="4">
        <v>0.492192137626217</v>
      </c>
      <c r="U138" s="11" t="s">
        <v>660</v>
      </c>
      <c r="V138" s="3">
        <v>2239.4298599999997</v>
      </c>
      <c r="W138" s="11" t="s">
        <v>1431</v>
      </c>
      <c r="X138" t="str">
        <f>TEXT(Table1_1[[#This Row],[OrderDate]],"mm yyyy")</f>
        <v>06 2025</v>
      </c>
      <c r="Y138" s="13">
        <f>DATE(YEAR(Table1_1[[#This Row],[OrderDate]]),MONTH(B138),1)</f>
        <v>45809</v>
      </c>
      <c r="Z138" s="2">
        <f t="shared" si="2"/>
        <v>44927</v>
      </c>
      <c r="AA138">
        <f>(YEAR(Table1_1[[#This Row],[OrderMonth]])-YEAR(Table1_1[[#This Row],[Firstmonth]]))*12+(MONTH(Table1_1[[#This Row],[OrderMonth]])-MONTH(Table1_1[[#This Row],[Firstmonth]]))</f>
        <v>29</v>
      </c>
    </row>
    <row r="139" spans="1:27" x14ac:dyDescent="0.25">
      <c r="A139" s="11" t="s">
        <v>281</v>
      </c>
      <c r="B139" s="2">
        <v>45707</v>
      </c>
      <c r="C139" s="2">
        <v>45725</v>
      </c>
      <c r="D139" s="11" t="s">
        <v>1413</v>
      </c>
      <c r="E139">
        <v>18</v>
      </c>
      <c r="F139" s="11" t="s">
        <v>1476</v>
      </c>
      <c r="G139" s="11" t="s">
        <v>1453</v>
      </c>
      <c r="H139" s="11" t="s">
        <v>1479</v>
      </c>
      <c r="I139" s="11" t="s">
        <v>646</v>
      </c>
      <c r="J139" s="11" t="s">
        <v>652</v>
      </c>
      <c r="K139" s="11" t="s">
        <v>673</v>
      </c>
      <c r="L139" s="11" t="s">
        <v>946</v>
      </c>
      <c r="M139" s="10">
        <v>15</v>
      </c>
      <c r="N139">
        <v>325.87</v>
      </c>
      <c r="O139" s="3">
        <v>538.79</v>
      </c>
      <c r="P139" s="11" t="s">
        <v>1468</v>
      </c>
      <c r="Q139" s="4">
        <v>0.17399999999999999</v>
      </c>
      <c r="R139" s="3">
        <v>6675.6081000000004</v>
      </c>
      <c r="S139" s="3">
        <v>4888.05</v>
      </c>
      <c r="T139" s="4">
        <v>0.26777457172778002</v>
      </c>
      <c r="U139" s="11" t="s">
        <v>660</v>
      </c>
      <c r="V139" s="3">
        <v>1787.5581000000002</v>
      </c>
      <c r="W139" s="11" t="s">
        <v>1434</v>
      </c>
      <c r="X139" t="str">
        <f>TEXT(Table1_1[[#This Row],[OrderDate]],"mm yyyy")</f>
        <v>02 2025</v>
      </c>
      <c r="Y139" s="13">
        <f>DATE(YEAR(Table1_1[[#This Row],[OrderDate]]),MONTH(B139),1)</f>
        <v>45689</v>
      </c>
      <c r="Z139" s="2">
        <f t="shared" si="2"/>
        <v>44927</v>
      </c>
      <c r="AA139">
        <f>(YEAR(Table1_1[[#This Row],[OrderMonth]])-YEAR(Table1_1[[#This Row],[Firstmonth]]))*12+(MONTH(Table1_1[[#This Row],[OrderMonth]])-MONTH(Table1_1[[#This Row],[Firstmonth]]))</f>
        <v>25</v>
      </c>
    </row>
    <row r="140" spans="1:27" x14ac:dyDescent="0.25">
      <c r="A140" s="11" t="s">
        <v>158</v>
      </c>
      <c r="B140" s="2">
        <v>45386</v>
      </c>
      <c r="C140" s="2">
        <v>45406</v>
      </c>
      <c r="D140" s="11" t="s">
        <v>1413</v>
      </c>
      <c r="E140">
        <v>20</v>
      </c>
      <c r="F140" s="11" t="s">
        <v>1464</v>
      </c>
      <c r="G140" s="11" t="s">
        <v>1455</v>
      </c>
      <c r="H140" s="11" t="s">
        <v>1467</v>
      </c>
      <c r="I140" s="11" t="s">
        <v>644</v>
      </c>
      <c r="J140" s="11" t="s">
        <v>652</v>
      </c>
      <c r="K140" s="11" t="s">
        <v>674</v>
      </c>
      <c r="L140" s="11" t="s">
        <v>822</v>
      </c>
      <c r="M140" s="10">
        <v>22</v>
      </c>
      <c r="N140">
        <v>683.42</v>
      </c>
      <c r="O140" s="3">
        <v>951.51</v>
      </c>
      <c r="P140" s="11" t="s">
        <v>1466</v>
      </c>
      <c r="Q140" s="4">
        <v>0</v>
      </c>
      <c r="R140" s="3">
        <v>20933.22</v>
      </c>
      <c r="S140" s="3">
        <v>15035.24</v>
      </c>
      <c r="T140" s="4">
        <v>0.28175216235247103</v>
      </c>
      <c r="U140" s="11" t="s">
        <v>660</v>
      </c>
      <c r="V140" s="3">
        <v>5897.9800000000014</v>
      </c>
      <c r="W140" s="11" t="s">
        <v>1436</v>
      </c>
      <c r="X140" t="str">
        <f>TEXT(Table1_1[[#This Row],[OrderDate]],"mm yyyy")</f>
        <v>04 2024</v>
      </c>
      <c r="Y140" s="13">
        <f>DATE(YEAR(Table1_1[[#This Row],[OrderDate]]),MONTH(B140),1)</f>
        <v>45383</v>
      </c>
      <c r="Z140" s="2">
        <f t="shared" si="2"/>
        <v>44927</v>
      </c>
      <c r="AA140">
        <f>(YEAR(Table1_1[[#This Row],[OrderMonth]])-YEAR(Table1_1[[#This Row],[Firstmonth]]))*12+(MONTH(Table1_1[[#This Row],[OrderMonth]])-MONTH(Table1_1[[#This Row],[Firstmonth]]))</f>
        <v>15</v>
      </c>
    </row>
    <row r="141" spans="1:27" x14ac:dyDescent="0.25">
      <c r="A141" s="11" t="s">
        <v>286</v>
      </c>
      <c r="B141" s="2">
        <v>45378</v>
      </c>
      <c r="C141" s="2">
        <v>45393</v>
      </c>
      <c r="D141" s="11" t="s">
        <v>1413</v>
      </c>
      <c r="E141">
        <v>15</v>
      </c>
      <c r="F141" s="11" t="s">
        <v>1473</v>
      </c>
      <c r="G141" s="11" t="s">
        <v>1498</v>
      </c>
      <c r="H141" s="11" t="s">
        <v>1499</v>
      </c>
      <c r="I141" s="11" t="s">
        <v>646</v>
      </c>
      <c r="J141" s="11" t="s">
        <v>652</v>
      </c>
      <c r="K141" s="11" t="s">
        <v>670</v>
      </c>
      <c r="L141" s="11" t="s">
        <v>951</v>
      </c>
      <c r="M141" s="10">
        <v>23</v>
      </c>
      <c r="N141">
        <v>1338.35</v>
      </c>
      <c r="O141" s="3">
        <v>2247.14</v>
      </c>
      <c r="P141" s="11" t="s">
        <v>1471</v>
      </c>
      <c r="Q141" s="4">
        <v>0.115</v>
      </c>
      <c r="R141" s="3">
        <v>45740.534699999997</v>
      </c>
      <c r="S141" s="3">
        <v>30782.05</v>
      </c>
      <c r="T141" s="4">
        <v>0.32702907384246199</v>
      </c>
      <c r="U141" s="11" t="s">
        <v>660</v>
      </c>
      <c r="V141" s="3">
        <v>14958.484699999997</v>
      </c>
      <c r="W141" s="11" t="s">
        <v>1433</v>
      </c>
      <c r="X141" t="str">
        <f>TEXT(Table1_1[[#This Row],[OrderDate]],"mm yyyy")</f>
        <v>03 2024</v>
      </c>
      <c r="Y141" s="13">
        <f>DATE(YEAR(Table1_1[[#This Row],[OrderDate]]),MONTH(B141),1)</f>
        <v>45352</v>
      </c>
      <c r="Z141" s="2">
        <f t="shared" si="2"/>
        <v>44927</v>
      </c>
      <c r="AA141">
        <f>(YEAR(Table1_1[[#This Row],[OrderMonth]])-YEAR(Table1_1[[#This Row],[Firstmonth]]))*12+(MONTH(Table1_1[[#This Row],[OrderMonth]])-MONTH(Table1_1[[#This Row],[Firstmonth]]))</f>
        <v>14</v>
      </c>
    </row>
    <row r="142" spans="1:27" x14ac:dyDescent="0.25">
      <c r="A142" s="11" t="s">
        <v>306</v>
      </c>
      <c r="B142" s="2">
        <v>45353</v>
      </c>
      <c r="C142" s="2">
        <v>45367</v>
      </c>
      <c r="D142" s="11" t="s">
        <v>1413</v>
      </c>
      <c r="E142">
        <v>14</v>
      </c>
      <c r="F142" s="11" t="s">
        <v>1473</v>
      </c>
      <c r="G142" s="11" t="s">
        <v>1452</v>
      </c>
      <c r="H142" s="11" t="s">
        <v>1475</v>
      </c>
      <c r="I142" s="11" t="s">
        <v>644</v>
      </c>
      <c r="J142" s="11" t="s">
        <v>652</v>
      </c>
      <c r="K142" s="11" t="s">
        <v>669</v>
      </c>
      <c r="L142" s="11" t="s">
        <v>971</v>
      </c>
      <c r="M142" s="10">
        <v>44</v>
      </c>
      <c r="N142">
        <v>248.24</v>
      </c>
      <c r="O142" s="3">
        <v>464.05</v>
      </c>
      <c r="P142" s="11" t="s">
        <v>1468</v>
      </c>
      <c r="Q142" s="4">
        <v>0.16900000000000001</v>
      </c>
      <c r="R142" s="3">
        <v>16967.5242</v>
      </c>
      <c r="S142" s="3">
        <v>10922.560000000001</v>
      </c>
      <c r="T142" s="4">
        <v>0.35626672039754598</v>
      </c>
      <c r="U142" s="11" t="s">
        <v>660</v>
      </c>
      <c r="V142" s="3">
        <v>6044.9641999999985</v>
      </c>
      <c r="W142" s="11" t="s">
        <v>1433</v>
      </c>
      <c r="X142" t="str">
        <f>TEXT(Table1_1[[#This Row],[OrderDate]],"mm yyyy")</f>
        <v>03 2024</v>
      </c>
      <c r="Y142" s="13">
        <f>DATE(YEAR(Table1_1[[#This Row],[OrderDate]]),MONTH(B142),1)</f>
        <v>45352</v>
      </c>
      <c r="Z142" s="2">
        <f t="shared" si="2"/>
        <v>44927</v>
      </c>
      <c r="AA142">
        <f>(YEAR(Table1_1[[#This Row],[OrderMonth]])-YEAR(Table1_1[[#This Row],[Firstmonth]]))*12+(MONTH(Table1_1[[#This Row],[OrderMonth]])-MONTH(Table1_1[[#This Row],[Firstmonth]]))</f>
        <v>14</v>
      </c>
    </row>
    <row r="143" spans="1:27" x14ac:dyDescent="0.25">
      <c r="A143" s="11" t="s">
        <v>107</v>
      </c>
      <c r="B143" s="2">
        <v>45870</v>
      </c>
      <c r="C143" s="2">
        <v>45885</v>
      </c>
      <c r="D143" s="11" t="s">
        <v>1413</v>
      </c>
      <c r="E143">
        <v>15</v>
      </c>
      <c r="F143" s="11" t="s">
        <v>1476</v>
      </c>
      <c r="G143" s="11" t="s">
        <v>1453</v>
      </c>
      <c r="H143" s="11" t="s">
        <v>1366</v>
      </c>
      <c r="I143" s="11" t="s">
        <v>647</v>
      </c>
      <c r="J143" s="11" t="s">
        <v>652</v>
      </c>
      <c r="K143" s="11" t="s">
        <v>673</v>
      </c>
      <c r="L143" s="11" t="s">
        <v>771</v>
      </c>
      <c r="M143" s="10">
        <v>9</v>
      </c>
      <c r="N143">
        <v>24.44</v>
      </c>
      <c r="O143" s="3">
        <v>28.69</v>
      </c>
      <c r="P143" s="11" t="s">
        <v>1468</v>
      </c>
      <c r="Q143" s="4">
        <v>0.14599999999999999</v>
      </c>
      <c r="R143" s="3">
        <v>220.51134000000002</v>
      </c>
      <c r="S143" s="3">
        <v>219.96</v>
      </c>
      <c r="T143" s="4">
        <v>2.50027957745851E-3</v>
      </c>
      <c r="U143" s="11" t="s">
        <v>660</v>
      </c>
      <c r="V143" s="3">
        <v>0.55134000000001038</v>
      </c>
      <c r="W143" s="11" t="s">
        <v>1438</v>
      </c>
      <c r="X143" t="str">
        <f>TEXT(Table1_1[[#This Row],[OrderDate]],"mm yyyy")</f>
        <v>08 2025</v>
      </c>
      <c r="Y143" s="13">
        <f>DATE(YEAR(Table1_1[[#This Row],[OrderDate]]),MONTH(B143),1)</f>
        <v>45870</v>
      </c>
      <c r="Z143" s="2">
        <f t="shared" si="2"/>
        <v>44927</v>
      </c>
      <c r="AA143">
        <f>(YEAR(Table1_1[[#This Row],[OrderMonth]])-YEAR(Table1_1[[#This Row],[Firstmonth]]))*12+(MONTH(Table1_1[[#This Row],[OrderMonth]])-MONTH(Table1_1[[#This Row],[Firstmonth]]))</f>
        <v>31</v>
      </c>
    </row>
    <row r="144" spans="1:27" x14ac:dyDescent="0.25">
      <c r="A144" s="11" t="s">
        <v>272</v>
      </c>
      <c r="B144" s="2">
        <v>45142</v>
      </c>
      <c r="C144" s="2">
        <v>45162</v>
      </c>
      <c r="D144" s="11" t="s">
        <v>1413</v>
      </c>
      <c r="E144">
        <v>20</v>
      </c>
      <c r="F144" s="11" t="s">
        <v>1473</v>
      </c>
      <c r="G144" s="11" t="s">
        <v>1454</v>
      </c>
      <c r="H144" s="11" t="s">
        <v>1478</v>
      </c>
      <c r="I144" s="11" t="s">
        <v>644</v>
      </c>
      <c r="J144" s="11" t="s">
        <v>652</v>
      </c>
      <c r="K144" s="11" t="s">
        <v>670</v>
      </c>
      <c r="L144" s="11" t="s">
        <v>937</v>
      </c>
      <c r="M144" s="10">
        <v>23</v>
      </c>
      <c r="N144">
        <v>582.88</v>
      </c>
      <c r="O144" s="3">
        <v>1044.1400000000001</v>
      </c>
      <c r="P144" s="11" t="s">
        <v>1466</v>
      </c>
      <c r="Q144" s="4">
        <v>0.216</v>
      </c>
      <c r="R144" s="3">
        <v>18827.932480000003</v>
      </c>
      <c r="S144" s="3">
        <v>13406.24</v>
      </c>
      <c r="T144" s="4">
        <v>0.28796005539956099</v>
      </c>
      <c r="U144" s="11" t="s">
        <v>1366</v>
      </c>
      <c r="V144" s="3">
        <v>5421.6924800000033</v>
      </c>
      <c r="W144" s="11" t="s">
        <v>1430</v>
      </c>
      <c r="X144" t="str">
        <f>TEXT(Table1_1[[#This Row],[OrderDate]],"mm yyyy")</f>
        <v>08 2023</v>
      </c>
      <c r="Y144" s="13">
        <f>DATE(YEAR(Table1_1[[#This Row],[OrderDate]]),MONTH(B144),1)</f>
        <v>45139</v>
      </c>
      <c r="Z144" s="2">
        <f t="shared" si="2"/>
        <v>44927</v>
      </c>
      <c r="AA144">
        <f>(YEAR(Table1_1[[#This Row],[OrderMonth]])-YEAR(Table1_1[[#This Row],[Firstmonth]]))*12+(MONTH(Table1_1[[#This Row],[OrderMonth]])-MONTH(Table1_1[[#This Row],[Firstmonth]]))</f>
        <v>7</v>
      </c>
    </row>
    <row r="145" spans="1:27" x14ac:dyDescent="0.25">
      <c r="A145" s="11" t="s">
        <v>131</v>
      </c>
      <c r="B145" s="2">
        <v>45827</v>
      </c>
      <c r="C145" s="2">
        <v>45850</v>
      </c>
      <c r="D145" s="11" t="s">
        <v>1413</v>
      </c>
      <c r="E145">
        <v>23</v>
      </c>
      <c r="F145" s="11" t="s">
        <v>1464</v>
      </c>
      <c r="G145" s="11" t="s">
        <v>1469</v>
      </c>
      <c r="H145" s="11" t="s">
        <v>1366</v>
      </c>
      <c r="I145" s="11" t="s">
        <v>644</v>
      </c>
      <c r="J145" s="11" t="s">
        <v>652</v>
      </c>
      <c r="K145" s="11" t="s">
        <v>670</v>
      </c>
      <c r="L145" s="11" t="s">
        <v>795</v>
      </c>
      <c r="M145" s="10">
        <v>9</v>
      </c>
      <c r="N145">
        <v>801.24</v>
      </c>
      <c r="O145" s="3">
        <v>1959.09</v>
      </c>
      <c r="P145" s="11" t="s">
        <v>1471</v>
      </c>
      <c r="Q145" s="4">
        <v>0.123</v>
      </c>
      <c r="R145" s="3">
        <v>15463.097369999998</v>
      </c>
      <c r="S145" s="3">
        <v>7211.16</v>
      </c>
      <c r="T145" s="4">
        <v>0.53365358650651795</v>
      </c>
      <c r="U145" s="11" t="s">
        <v>1366</v>
      </c>
      <c r="V145" s="3">
        <v>8251.9373699999978</v>
      </c>
      <c r="W145" s="11" t="s">
        <v>1431</v>
      </c>
      <c r="X145" t="str">
        <f>TEXT(Table1_1[[#This Row],[OrderDate]],"mm yyyy")</f>
        <v>06 2025</v>
      </c>
      <c r="Y145" s="13">
        <f>DATE(YEAR(Table1_1[[#This Row],[OrderDate]]),MONTH(B145),1)</f>
        <v>45809</v>
      </c>
      <c r="Z145" s="2">
        <f t="shared" si="2"/>
        <v>44927</v>
      </c>
      <c r="AA145">
        <f>(YEAR(Table1_1[[#This Row],[OrderMonth]])-YEAR(Table1_1[[#This Row],[Firstmonth]]))*12+(MONTH(Table1_1[[#This Row],[OrderMonth]])-MONTH(Table1_1[[#This Row],[Firstmonth]]))</f>
        <v>29</v>
      </c>
    </row>
    <row r="146" spans="1:27" x14ac:dyDescent="0.25">
      <c r="A146" s="11" t="s">
        <v>561</v>
      </c>
      <c r="B146" s="2">
        <v>45875</v>
      </c>
      <c r="C146" s="2">
        <v>45892</v>
      </c>
      <c r="D146" s="11" t="s">
        <v>1413</v>
      </c>
      <c r="E146">
        <v>17</v>
      </c>
      <c r="F146" s="11" t="s">
        <v>1473</v>
      </c>
      <c r="G146" s="11" t="s">
        <v>1454</v>
      </c>
      <c r="H146" s="11" t="s">
        <v>1478</v>
      </c>
      <c r="I146" s="11" t="s">
        <v>645</v>
      </c>
      <c r="J146" s="11" t="s">
        <v>651</v>
      </c>
      <c r="K146" s="11" t="s">
        <v>673</v>
      </c>
      <c r="L146" s="11" t="s">
        <v>1224</v>
      </c>
      <c r="M146" s="10">
        <v>28</v>
      </c>
      <c r="N146">
        <v>86.64</v>
      </c>
      <c r="O146" s="3">
        <v>213.06</v>
      </c>
      <c r="P146" s="11" t="s">
        <v>1468</v>
      </c>
      <c r="Q146" s="4">
        <v>0.21199999999999999</v>
      </c>
      <c r="R146" s="3">
        <v>4700.9558400000005</v>
      </c>
      <c r="S146" s="3">
        <v>2425.92</v>
      </c>
      <c r="T146" s="4">
        <v>0.483951757351543</v>
      </c>
      <c r="U146" s="11" t="s">
        <v>661</v>
      </c>
      <c r="V146" s="3">
        <v>2275.0358400000005</v>
      </c>
      <c r="W146" s="11" t="s">
        <v>1438</v>
      </c>
      <c r="X146" t="str">
        <f>TEXT(Table1_1[[#This Row],[OrderDate]],"mm yyyy")</f>
        <v>08 2025</v>
      </c>
      <c r="Y146" s="13">
        <f>DATE(YEAR(Table1_1[[#This Row],[OrderDate]]),MONTH(B146),1)</f>
        <v>45870</v>
      </c>
      <c r="Z146" s="2">
        <f t="shared" si="2"/>
        <v>44927</v>
      </c>
      <c r="AA146">
        <f>(YEAR(Table1_1[[#This Row],[OrderMonth]])-YEAR(Table1_1[[#This Row],[Firstmonth]]))*12+(MONTH(Table1_1[[#This Row],[OrderMonth]])-MONTH(Table1_1[[#This Row],[Firstmonth]]))</f>
        <v>31</v>
      </c>
    </row>
    <row r="147" spans="1:27" x14ac:dyDescent="0.25">
      <c r="A147" s="11" t="s">
        <v>549</v>
      </c>
      <c r="B147" s="2">
        <v>45288</v>
      </c>
      <c r="C147" s="2">
        <v>45292</v>
      </c>
      <c r="D147" s="11" t="s">
        <v>1413</v>
      </c>
      <c r="E147">
        <v>4</v>
      </c>
      <c r="F147" s="11" t="s">
        <v>1485</v>
      </c>
      <c r="G147" s="11" t="s">
        <v>1501</v>
      </c>
      <c r="H147" s="11" t="s">
        <v>1502</v>
      </c>
      <c r="I147" s="11" t="s">
        <v>643</v>
      </c>
      <c r="J147" s="11" t="s">
        <v>651</v>
      </c>
      <c r="K147" s="11" t="s">
        <v>669</v>
      </c>
      <c r="L147" s="11" t="s">
        <v>1212</v>
      </c>
      <c r="M147" s="10">
        <v>23</v>
      </c>
      <c r="N147">
        <v>1141.8</v>
      </c>
      <c r="O147" s="3">
        <v>2318.7399999999998</v>
      </c>
      <c r="P147" s="11" t="s">
        <v>1471</v>
      </c>
      <c r="Q147" s="4">
        <v>0.107</v>
      </c>
      <c r="R147" s="3">
        <v>47624.600859999999</v>
      </c>
      <c r="S147" s="3">
        <v>26261.399999999998</v>
      </c>
      <c r="T147" s="4">
        <v>0.44857490612468298</v>
      </c>
      <c r="U147" s="11" t="s">
        <v>661</v>
      </c>
      <c r="V147" s="3">
        <v>21363.200860000001</v>
      </c>
      <c r="W147" s="11" t="s">
        <v>1439</v>
      </c>
      <c r="X147" t="str">
        <f>TEXT(Table1_1[[#This Row],[OrderDate]],"mm yyyy")</f>
        <v>12 2023</v>
      </c>
      <c r="Y147" s="13">
        <f>DATE(YEAR(Table1_1[[#This Row],[OrderDate]]),MONTH(B147),1)</f>
        <v>45261</v>
      </c>
      <c r="Z147" s="2">
        <f t="shared" si="2"/>
        <v>44927</v>
      </c>
      <c r="AA147">
        <f>(YEAR(Table1_1[[#This Row],[OrderMonth]])-YEAR(Table1_1[[#This Row],[Firstmonth]]))*12+(MONTH(Table1_1[[#This Row],[OrderMonth]])-MONTH(Table1_1[[#This Row],[Firstmonth]]))</f>
        <v>11</v>
      </c>
    </row>
    <row r="148" spans="1:27" x14ac:dyDescent="0.25">
      <c r="A148" s="11" t="s">
        <v>211</v>
      </c>
      <c r="B148" s="2">
        <v>45303</v>
      </c>
      <c r="C148" s="2">
        <v>45320</v>
      </c>
      <c r="D148" s="11" t="s">
        <v>1413</v>
      </c>
      <c r="E148">
        <v>17</v>
      </c>
      <c r="F148" s="11" t="s">
        <v>1473</v>
      </c>
      <c r="G148" s="11" t="s">
        <v>1458</v>
      </c>
      <c r="H148" s="11" t="s">
        <v>1509</v>
      </c>
      <c r="I148" s="11" t="s">
        <v>643</v>
      </c>
      <c r="J148" s="11" t="s">
        <v>651</v>
      </c>
      <c r="K148" s="11" t="s">
        <v>669</v>
      </c>
      <c r="L148" s="11" t="s">
        <v>876</v>
      </c>
      <c r="M148" s="10">
        <v>6</v>
      </c>
      <c r="N148">
        <v>493.76</v>
      </c>
      <c r="O148" s="3">
        <v>625.04</v>
      </c>
      <c r="P148" s="11" t="s">
        <v>1468</v>
      </c>
      <c r="Q148" s="4">
        <v>0.25800000000000001</v>
      </c>
      <c r="R148" s="3">
        <v>2782.6780799999997</v>
      </c>
      <c r="S148" s="3">
        <v>2962.56</v>
      </c>
      <c r="T148" s="4">
        <v>-6.4643453115496699E-2</v>
      </c>
      <c r="U148" s="11" t="s">
        <v>661</v>
      </c>
      <c r="V148" s="3">
        <v>-179.88192000000026</v>
      </c>
      <c r="W148" s="11" t="s">
        <v>1433</v>
      </c>
      <c r="X148" t="str">
        <f>TEXT(Table1_1[[#This Row],[OrderDate]],"mm yyyy")</f>
        <v>01 2024</v>
      </c>
      <c r="Y148" s="13">
        <f>DATE(YEAR(Table1_1[[#This Row],[OrderDate]]),MONTH(B148),1)</f>
        <v>45292</v>
      </c>
      <c r="Z148" s="2">
        <f t="shared" si="2"/>
        <v>44958</v>
      </c>
      <c r="AA148">
        <f>(YEAR(Table1_1[[#This Row],[OrderMonth]])-YEAR(Table1_1[[#This Row],[Firstmonth]]))*12+(MONTH(Table1_1[[#This Row],[OrderMonth]])-MONTH(Table1_1[[#This Row],[Firstmonth]]))</f>
        <v>11</v>
      </c>
    </row>
    <row r="149" spans="1:27" x14ac:dyDescent="0.25">
      <c r="A149" s="11" t="s">
        <v>83</v>
      </c>
      <c r="B149" s="2">
        <v>45394</v>
      </c>
      <c r="C149" s="2">
        <v>45419</v>
      </c>
      <c r="D149" s="11" t="s">
        <v>1413</v>
      </c>
      <c r="E149">
        <v>25</v>
      </c>
      <c r="F149" s="11" t="s">
        <v>1485</v>
      </c>
      <c r="G149" s="11" t="s">
        <v>1490</v>
      </c>
      <c r="H149" s="11" t="s">
        <v>1491</v>
      </c>
      <c r="I149" s="11" t="s">
        <v>643</v>
      </c>
      <c r="J149" s="11" t="s">
        <v>651</v>
      </c>
      <c r="K149" s="11" t="s">
        <v>672</v>
      </c>
      <c r="L149" s="11" t="s">
        <v>747</v>
      </c>
      <c r="M149" s="10">
        <v>14</v>
      </c>
      <c r="N149">
        <v>1376.51</v>
      </c>
      <c r="O149" s="3">
        <v>1455.91</v>
      </c>
      <c r="P149" s="11" t="s">
        <v>1466</v>
      </c>
      <c r="Q149" s="4">
        <v>0.185</v>
      </c>
      <c r="R149" s="3">
        <v>16611.933100000002</v>
      </c>
      <c r="S149" s="3">
        <v>19271.14</v>
      </c>
      <c r="T149" s="4">
        <v>-0.160078112763408</v>
      </c>
      <c r="U149" s="11" t="s">
        <v>661</v>
      </c>
      <c r="V149" s="3">
        <v>-2659.2068999999974</v>
      </c>
      <c r="W149" s="11" t="s">
        <v>1436</v>
      </c>
      <c r="X149" t="str">
        <f>TEXT(Table1_1[[#This Row],[OrderDate]],"mm yyyy")</f>
        <v>04 2024</v>
      </c>
      <c r="Y149" s="13">
        <f>DATE(YEAR(Table1_1[[#This Row],[OrderDate]]),MONTH(B149),1)</f>
        <v>45383</v>
      </c>
      <c r="Z149" s="2">
        <f t="shared" si="2"/>
        <v>44958</v>
      </c>
      <c r="AA149">
        <f>(YEAR(Table1_1[[#This Row],[OrderMonth]])-YEAR(Table1_1[[#This Row],[Firstmonth]]))*12+(MONTH(Table1_1[[#This Row],[OrderMonth]])-MONTH(Table1_1[[#This Row],[Firstmonth]]))</f>
        <v>14</v>
      </c>
    </row>
    <row r="150" spans="1:27" x14ac:dyDescent="0.25">
      <c r="A150" s="11" t="s">
        <v>500</v>
      </c>
      <c r="B150" s="2">
        <v>45403</v>
      </c>
      <c r="C150" s="2">
        <v>45431</v>
      </c>
      <c r="D150" s="11" t="s">
        <v>1413</v>
      </c>
      <c r="E150">
        <v>28</v>
      </c>
      <c r="F150" s="11" t="s">
        <v>1485</v>
      </c>
      <c r="G150" s="11" t="s">
        <v>1450</v>
      </c>
      <c r="H150" s="11" t="s">
        <v>1514</v>
      </c>
      <c r="I150" s="11" t="s">
        <v>642</v>
      </c>
      <c r="J150" s="11" t="s">
        <v>651</v>
      </c>
      <c r="K150" s="11" t="s">
        <v>674</v>
      </c>
      <c r="L150" s="11" t="s">
        <v>1164</v>
      </c>
      <c r="M150" s="10">
        <v>25</v>
      </c>
      <c r="N150">
        <v>187.22</v>
      </c>
      <c r="O150" s="3">
        <v>309.47000000000003</v>
      </c>
      <c r="P150" s="11" t="s">
        <v>1468</v>
      </c>
      <c r="Q150" s="4">
        <v>0</v>
      </c>
      <c r="R150" s="3">
        <v>7736.7500000000009</v>
      </c>
      <c r="S150" s="3">
        <v>4680.5</v>
      </c>
      <c r="T150" s="4">
        <v>0.39503021294471202</v>
      </c>
      <c r="U150" s="11" t="s">
        <v>661</v>
      </c>
      <c r="V150" s="3">
        <v>3056.2500000000009</v>
      </c>
      <c r="W150" s="11" t="s">
        <v>1436</v>
      </c>
      <c r="X150" t="str">
        <f>TEXT(Table1_1[[#This Row],[OrderDate]],"mm yyyy")</f>
        <v>04 2024</v>
      </c>
      <c r="Y150" s="13">
        <f>DATE(YEAR(Table1_1[[#This Row],[OrderDate]]),MONTH(B150),1)</f>
        <v>45383</v>
      </c>
      <c r="Z150" s="2">
        <f t="shared" si="2"/>
        <v>44927</v>
      </c>
      <c r="AA150">
        <f>(YEAR(Table1_1[[#This Row],[OrderMonth]])-YEAR(Table1_1[[#This Row],[Firstmonth]]))*12+(MONTH(Table1_1[[#This Row],[OrderMonth]])-MONTH(Table1_1[[#This Row],[Firstmonth]]))</f>
        <v>15</v>
      </c>
    </row>
    <row r="151" spans="1:27" x14ac:dyDescent="0.25">
      <c r="A151" s="11" t="s">
        <v>368</v>
      </c>
      <c r="B151" s="2">
        <v>45621</v>
      </c>
      <c r="C151" s="2">
        <v>45633</v>
      </c>
      <c r="D151" s="11" t="s">
        <v>1413</v>
      </c>
      <c r="E151">
        <v>12</v>
      </c>
      <c r="F151" s="11" t="s">
        <v>1476</v>
      </c>
      <c r="G151" s="11" t="s">
        <v>1457</v>
      </c>
      <c r="H151" s="11" t="s">
        <v>1511</v>
      </c>
      <c r="I151" s="11" t="s">
        <v>642</v>
      </c>
      <c r="J151" s="11" t="s">
        <v>651</v>
      </c>
      <c r="K151" s="11" t="s">
        <v>674</v>
      </c>
      <c r="L151" s="11" t="s">
        <v>1033</v>
      </c>
      <c r="M151" s="10">
        <v>18</v>
      </c>
      <c r="N151">
        <v>769.9</v>
      </c>
      <c r="O151" s="3">
        <v>814.36</v>
      </c>
      <c r="P151" s="11" t="s">
        <v>1468</v>
      </c>
      <c r="Q151" s="4">
        <v>0</v>
      </c>
      <c r="R151" s="3">
        <v>14658.48</v>
      </c>
      <c r="S151" s="3">
        <v>13858.199999999999</v>
      </c>
      <c r="T151" s="4">
        <v>5.4595019401738797E-2</v>
      </c>
      <c r="U151" s="11" t="s">
        <v>661</v>
      </c>
      <c r="V151" s="3">
        <v>800.28000000000065</v>
      </c>
      <c r="W151" s="11" t="s">
        <v>1440</v>
      </c>
      <c r="X151" t="str">
        <f>TEXT(Table1_1[[#This Row],[OrderDate]],"mm yyyy")</f>
        <v>11 2024</v>
      </c>
      <c r="Y151" s="13">
        <f>DATE(YEAR(Table1_1[[#This Row],[OrderDate]]),MONTH(B151),1)</f>
        <v>45597</v>
      </c>
      <c r="Z151" s="2">
        <f t="shared" si="2"/>
        <v>44927</v>
      </c>
      <c r="AA151">
        <f>(YEAR(Table1_1[[#This Row],[OrderMonth]])-YEAR(Table1_1[[#This Row],[Firstmonth]]))*12+(MONTH(Table1_1[[#This Row],[OrderMonth]])-MONTH(Table1_1[[#This Row],[Firstmonth]]))</f>
        <v>22</v>
      </c>
    </row>
    <row r="152" spans="1:27" x14ac:dyDescent="0.25">
      <c r="A152" s="11" t="s">
        <v>347</v>
      </c>
      <c r="B152" s="2">
        <v>45340</v>
      </c>
      <c r="C152" s="2">
        <v>45354</v>
      </c>
      <c r="D152" s="11" t="s">
        <v>1413</v>
      </c>
      <c r="E152">
        <v>14</v>
      </c>
      <c r="F152" s="11" t="s">
        <v>1473</v>
      </c>
      <c r="G152" s="11" t="s">
        <v>1454</v>
      </c>
      <c r="H152" s="11" t="s">
        <v>1366</v>
      </c>
      <c r="I152" s="11" t="s">
        <v>647</v>
      </c>
      <c r="J152" s="11" t="s">
        <v>651</v>
      </c>
      <c r="K152" s="11" t="s">
        <v>669</v>
      </c>
      <c r="L152" s="11" t="s">
        <v>1012</v>
      </c>
      <c r="M152" s="10">
        <v>16</v>
      </c>
      <c r="N152">
        <v>624.23</v>
      </c>
      <c r="O152" s="3">
        <v>1318.37</v>
      </c>
      <c r="P152" s="11" t="s">
        <v>1466</v>
      </c>
      <c r="Q152" s="4">
        <v>0.21</v>
      </c>
      <c r="R152" s="3">
        <v>16664.196799999998</v>
      </c>
      <c r="S152" s="3">
        <v>9987.68</v>
      </c>
      <c r="T152" s="4">
        <v>0.40065038118128798</v>
      </c>
      <c r="U152" s="11" t="s">
        <v>661</v>
      </c>
      <c r="V152" s="3">
        <v>6676.5167999999976</v>
      </c>
      <c r="W152" s="11" t="s">
        <v>1433</v>
      </c>
      <c r="X152" t="str">
        <f>TEXT(Table1_1[[#This Row],[OrderDate]],"mm yyyy")</f>
        <v>02 2024</v>
      </c>
      <c r="Y152" s="13">
        <f>DATE(YEAR(Table1_1[[#This Row],[OrderDate]]),MONTH(B152),1)</f>
        <v>45323</v>
      </c>
      <c r="Z152" s="2">
        <f t="shared" si="2"/>
        <v>44927</v>
      </c>
      <c r="AA152">
        <f>(YEAR(Table1_1[[#This Row],[OrderMonth]])-YEAR(Table1_1[[#This Row],[Firstmonth]]))*12+(MONTH(Table1_1[[#This Row],[OrderMonth]])-MONTH(Table1_1[[#This Row],[Firstmonth]]))</f>
        <v>13</v>
      </c>
    </row>
    <row r="153" spans="1:27" x14ac:dyDescent="0.25">
      <c r="A153" s="11" t="s">
        <v>497</v>
      </c>
      <c r="B153" s="2">
        <v>45613</v>
      </c>
      <c r="C153" s="2">
        <v>45624</v>
      </c>
      <c r="D153" s="11" t="s">
        <v>1413</v>
      </c>
      <c r="E153">
        <v>11</v>
      </c>
      <c r="F153" s="11" t="s">
        <v>1473</v>
      </c>
      <c r="G153" s="11" t="s">
        <v>1452</v>
      </c>
      <c r="H153" s="11" t="s">
        <v>1366</v>
      </c>
      <c r="I153" s="11" t="s">
        <v>645</v>
      </c>
      <c r="J153" s="11" t="s">
        <v>651</v>
      </c>
      <c r="K153" s="11" t="s">
        <v>669</v>
      </c>
      <c r="L153" s="11" t="s">
        <v>1161</v>
      </c>
      <c r="M153" s="10">
        <v>18</v>
      </c>
      <c r="N153">
        <v>1008.16</v>
      </c>
      <c r="O153" s="3">
        <v>2077.5</v>
      </c>
      <c r="P153" s="11" t="s">
        <v>1471</v>
      </c>
      <c r="Q153" s="4">
        <v>7.3999999999999996E-2</v>
      </c>
      <c r="R153" s="3">
        <v>34627.770000000004</v>
      </c>
      <c r="S153" s="3">
        <v>18146.88</v>
      </c>
      <c r="T153" s="4">
        <v>0.47594430712690999</v>
      </c>
      <c r="U153" s="11" t="s">
        <v>661</v>
      </c>
      <c r="V153" s="3">
        <v>16480.890000000003</v>
      </c>
      <c r="W153" s="11" t="s">
        <v>1440</v>
      </c>
      <c r="X153" t="str">
        <f>TEXT(Table1_1[[#This Row],[OrderDate]],"mm yyyy")</f>
        <v>11 2024</v>
      </c>
      <c r="Y153" s="13">
        <f>DATE(YEAR(Table1_1[[#This Row],[OrderDate]]),MONTH(B153),1)</f>
        <v>45597</v>
      </c>
      <c r="Z153" s="2">
        <f t="shared" si="2"/>
        <v>44927</v>
      </c>
      <c r="AA153">
        <f>(YEAR(Table1_1[[#This Row],[OrderMonth]])-YEAR(Table1_1[[#This Row],[Firstmonth]]))*12+(MONTH(Table1_1[[#This Row],[OrderMonth]])-MONTH(Table1_1[[#This Row],[Firstmonth]]))</f>
        <v>22</v>
      </c>
    </row>
    <row r="154" spans="1:27" x14ac:dyDescent="0.25">
      <c r="A154" s="11" t="s">
        <v>293</v>
      </c>
      <c r="B154" s="2">
        <v>45794</v>
      </c>
      <c r="C154" s="2">
        <v>45805</v>
      </c>
      <c r="D154" s="11" t="s">
        <v>1413</v>
      </c>
      <c r="E154">
        <v>11</v>
      </c>
      <c r="F154" s="11" t="s">
        <v>1476</v>
      </c>
      <c r="G154" s="11" t="s">
        <v>1453</v>
      </c>
      <c r="H154" s="11" t="s">
        <v>1497</v>
      </c>
      <c r="I154" s="11" t="s">
        <v>642</v>
      </c>
      <c r="J154" s="11" t="s">
        <v>651</v>
      </c>
      <c r="K154" s="11" t="s">
        <v>672</v>
      </c>
      <c r="L154" s="11" t="s">
        <v>958</v>
      </c>
      <c r="M154" s="10">
        <v>6</v>
      </c>
      <c r="N154">
        <v>623.4</v>
      </c>
      <c r="O154" s="3">
        <v>1100.0899999999999</v>
      </c>
      <c r="P154" s="11" t="s">
        <v>1466</v>
      </c>
      <c r="Q154" s="4">
        <v>0.114</v>
      </c>
      <c r="R154" s="3">
        <v>5848.0784399999993</v>
      </c>
      <c r="S154" s="3">
        <v>3740.3999999999996</v>
      </c>
      <c r="T154" s="4">
        <v>0.36040529579490399</v>
      </c>
      <c r="U154" s="11" t="s">
        <v>658</v>
      </c>
      <c r="V154" s="3">
        <v>2107.6784399999997</v>
      </c>
      <c r="W154" s="11" t="s">
        <v>1431</v>
      </c>
      <c r="X154" t="str">
        <f>TEXT(Table1_1[[#This Row],[OrderDate]],"mm yyyy")</f>
        <v>05 2025</v>
      </c>
      <c r="Y154" s="13">
        <f>DATE(YEAR(Table1_1[[#This Row],[OrderDate]]),MONTH(B154),1)</f>
        <v>45778</v>
      </c>
      <c r="Z154" s="2">
        <f t="shared" si="2"/>
        <v>44927</v>
      </c>
      <c r="AA154">
        <f>(YEAR(Table1_1[[#This Row],[OrderMonth]])-YEAR(Table1_1[[#This Row],[Firstmonth]]))*12+(MONTH(Table1_1[[#This Row],[OrderMonth]])-MONTH(Table1_1[[#This Row],[Firstmonth]]))</f>
        <v>28</v>
      </c>
    </row>
    <row r="155" spans="1:27" x14ac:dyDescent="0.25">
      <c r="A155" s="11" t="s">
        <v>493</v>
      </c>
      <c r="B155" s="2">
        <v>45775</v>
      </c>
      <c r="C155" s="2">
        <v>45796</v>
      </c>
      <c r="D155" s="11" t="s">
        <v>1413</v>
      </c>
      <c r="E155">
        <v>21</v>
      </c>
      <c r="F155" s="11" t="s">
        <v>1464</v>
      </c>
      <c r="G155" s="11" t="s">
        <v>1455</v>
      </c>
      <c r="H155" s="11" t="s">
        <v>1465</v>
      </c>
      <c r="I155" s="11" t="s">
        <v>642</v>
      </c>
      <c r="J155" s="11" t="s">
        <v>651</v>
      </c>
      <c r="K155" s="11" t="s">
        <v>671</v>
      </c>
      <c r="L155" s="11" t="s">
        <v>1157</v>
      </c>
      <c r="M155" s="10">
        <v>16</v>
      </c>
      <c r="N155">
        <v>350.76</v>
      </c>
      <c r="O155" s="3">
        <v>492.18</v>
      </c>
      <c r="P155" s="11" t="s">
        <v>1468</v>
      </c>
      <c r="Q155" s="4">
        <v>5.2999999999999999E-2</v>
      </c>
      <c r="R155" s="3">
        <v>7457.5113599999995</v>
      </c>
      <c r="S155" s="3">
        <v>5612.16</v>
      </c>
      <c r="T155" s="4">
        <v>0.24744868239798401</v>
      </c>
      <c r="U155" s="11" t="s">
        <v>658</v>
      </c>
      <c r="V155" s="3">
        <v>1845.3513599999997</v>
      </c>
      <c r="W155" s="11" t="s">
        <v>1431</v>
      </c>
      <c r="X155" t="str">
        <f>TEXT(Table1_1[[#This Row],[OrderDate]],"mm yyyy")</f>
        <v>04 2025</v>
      </c>
      <c r="Y155" s="13">
        <f>DATE(YEAR(Table1_1[[#This Row],[OrderDate]]),MONTH(B155),1)</f>
        <v>45748</v>
      </c>
      <c r="Z155" s="2">
        <f t="shared" si="2"/>
        <v>44927</v>
      </c>
      <c r="AA155">
        <f>(YEAR(Table1_1[[#This Row],[OrderMonth]])-YEAR(Table1_1[[#This Row],[Firstmonth]]))*12+(MONTH(Table1_1[[#This Row],[OrderMonth]])-MONTH(Table1_1[[#This Row],[Firstmonth]]))</f>
        <v>27</v>
      </c>
    </row>
    <row r="156" spans="1:27" x14ac:dyDescent="0.25">
      <c r="A156" s="11" t="s">
        <v>367</v>
      </c>
      <c r="B156" s="2">
        <v>45385</v>
      </c>
      <c r="C156" s="2">
        <v>45403</v>
      </c>
      <c r="D156" s="11" t="s">
        <v>1413</v>
      </c>
      <c r="E156">
        <v>18</v>
      </c>
      <c r="F156" s="11" t="s">
        <v>1473</v>
      </c>
      <c r="G156" s="11" t="s">
        <v>1454</v>
      </c>
      <c r="H156" s="11" t="s">
        <v>1478</v>
      </c>
      <c r="I156" s="11" t="s">
        <v>646</v>
      </c>
      <c r="J156" s="11" t="s">
        <v>651</v>
      </c>
      <c r="K156" s="11" t="s">
        <v>670</v>
      </c>
      <c r="L156" s="11" t="s">
        <v>1032</v>
      </c>
      <c r="M156" s="10">
        <v>10</v>
      </c>
      <c r="N156">
        <v>1176.69</v>
      </c>
      <c r="O156" s="3">
        <v>2201.54</v>
      </c>
      <c r="P156" s="11" t="s">
        <v>1471</v>
      </c>
      <c r="Q156" s="4">
        <v>0.17</v>
      </c>
      <c r="R156" s="3">
        <v>18272.781999999999</v>
      </c>
      <c r="S156" s="3">
        <v>11766.900000000001</v>
      </c>
      <c r="T156" s="4">
        <v>0.35604222717701101</v>
      </c>
      <c r="U156" s="11" t="s">
        <v>658</v>
      </c>
      <c r="V156" s="3">
        <v>6505.8819999999978</v>
      </c>
      <c r="W156" s="11" t="s">
        <v>1436</v>
      </c>
      <c r="X156" t="str">
        <f>TEXT(Table1_1[[#This Row],[OrderDate]],"mm yyyy")</f>
        <v>04 2024</v>
      </c>
      <c r="Y156" s="13">
        <f>DATE(YEAR(Table1_1[[#This Row],[OrderDate]]),MONTH(B156),1)</f>
        <v>45383</v>
      </c>
      <c r="Z156" s="2">
        <f t="shared" si="2"/>
        <v>44927</v>
      </c>
      <c r="AA156">
        <f>(YEAR(Table1_1[[#This Row],[OrderMonth]])-YEAR(Table1_1[[#This Row],[Firstmonth]]))*12+(MONTH(Table1_1[[#This Row],[OrderMonth]])-MONTH(Table1_1[[#This Row],[Firstmonth]]))</f>
        <v>15</v>
      </c>
    </row>
    <row r="157" spans="1:27" x14ac:dyDescent="0.25">
      <c r="A157" s="11" t="s">
        <v>123</v>
      </c>
      <c r="B157" s="2">
        <v>45472</v>
      </c>
      <c r="C157" s="2">
        <v>45499</v>
      </c>
      <c r="D157" s="11" t="s">
        <v>1413</v>
      </c>
      <c r="E157">
        <v>27</v>
      </c>
      <c r="F157" s="11" t="s">
        <v>1485</v>
      </c>
      <c r="G157" s="11" t="s">
        <v>1490</v>
      </c>
      <c r="H157" s="11" t="s">
        <v>1515</v>
      </c>
      <c r="I157" s="11" t="s">
        <v>647</v>
      </c>
      <c r="J157" s="11" t="s">
        <v>651</v>
      </c>
      <c r="K157" s="11" t="s">
        <v>670</v>
      </c>
      <c r="L157" s="11" t="s">
        <v>787</v>
      </c>
      <c r="M157" s="10">
        <v>19</v>
      </c>
      <c r="N157">
        <v>5.36</v>
      </c>
      <c r="O157" s="3">
        <v>4.37</v>
      </c>
      <c r="P157" s="11" t="s">
        <v>1468</v>
      </c>
      <c r="Q157" s="4">
        <v>0.11799999999999999</v>
      </c>
      <c r="R157" s="3">
        <v>73.232460000000003</v>
      </c>
      <c r="S157" s="3">
        <v>101.84</v>
      </c>
      <c r="T157" s="4">
        <v>-0.390640161480305</v>
      </c>
      <c r="U157" s="11" t="s">
        <v>658</v>
      </c>
      <c r="V157" s="3">
        <v>-28.60754</v>
      </c>
      <c r="W157" s="11" t="s">
        <v>1436</v>
      </c>
      <c r="X157" t="str">
        <f>TEXT(Table1_1[[#This Row],[OrderDate]],"mm yyyy")</f>
        <v>06 2024</v>
      </c>
      <c r="Y157" s="13">
        <f>DATE(YEAR(Table1_1[[#This Row],[OrderDate]]),MONTH(B157),1)</f>
        <v>45444</v>
      </c>
      <c r="Z157" s="2">
        <f t="shared" si="2"/>
        <v>44958</v>
      </c>
      <c r="AA157">
        <f>(YEAR(Table1_1[[#This Row],[OrderMonth]])-YEAR(Table1_1[[#This Row],[Firstmonth]]))*12+(MONTH(Table1_1[[#This Row],[OrderMonth]])-MONTH(Table1_1[[#This Row],[Firstmonth]]))</f>
        <v>16</v>
      </c>
    </row>
    <row r="158" spans="1:27" x14ac:dyDescent="0.25">
      <c r="A158" s="11" t="s">
        <v>233</v>
      </c>
      <c r="B158" s="2">
        <v>45854</v>
      </c>
      <c r="C158" s="2">
        <v>45855</v>
      </c>
      <c r="D158" s="11" t="s">
        <v>1413</v>
      </c>
      <c r="E158">
        <v>1</v>
      </c>
      <c r="F158" s="11" t="s">
        <v>1485</v>
      </c>
      <c r="G158" s="11" t="s">
        <v>1490</v>
      </c>
      <c r="H158" s="11" t="s">
        <v>1515</v>
      </c>
      <c r="I158" s="11" t="s">
        <v>646</v>
      </c>
      <c r="J158" s="11" t="s">
        <v>651</v>
      </c>
      <c r="K158" s="11" t="s">
        <v>670</v>
      </c>
      <c r="L158" s="11" t="s">
        <v>898</v>
      </c>
      <c r="M158" s="10">
        <v>5</v>
      </c>
      <c r="N158">
        <v>1198.9000000000001</v>
      </c>
      <c r="O158" s="3">
        <v>2941.2</v>
      </c>
      <c r="P158" s="11" t="s">
        <v>1471</v>
      </c>
      <c r="Q158" s="4">
        <v>5.0999999999999997E-2</v>
      </c>
      <c r="R158" s="3">
        <v>13955.993999999999</v>
      </c>
      <c r="S158" s="3">
        <v>5994.5</v>
      </c>
      <c r="T158" s="4">
        <v>0.57047129713583999</v>
      </c>
      <c r="U158" s="11" t="s">
        <v>658</v>
      </c>
      <c r="V158" s="3">
        <v>7961.4939999999988</v>
      </c>
      <c r="W158" s="11" t="s">
        <v>1438</v>
      </c>
      <c r="X158" t="str">
        <f>TEXT(Table1_1[[#This Row],[OrderDate]],"mm yyyy")</f>
        <v>07 2025</v>
      </c>
      <c r="Y158" s="13">
        <f>DATE(YEAR(Table1_1[[#This Row],[OrderDate]]),MONTH(B158),1)</f>
        <v>45839</v>
      </c>
      <c r="Z158" s="2">
        <f t="shared" si="2"/>
        <v>44958</v>
      </c>
      <c r="AA158">
        <f>(YEAR(Table1_1[[#This Row],[OrderMonth]])-YEAR(Table1_1[[#This Row],[Firstmonth]]))*12+(MONTH(Table1_1[[#This Row],[OrderMonth]])-MONTH(Table1_1[[#This Row],[Firstmonth]]))</f>
        <v>29</v>
      </c>
    </row>
    <row r="159" spans="1:27" x14ac:dyDescent="0.25">
      <c r="A159" s="11" t="s">
        <v>618</v>
      </c>
      <c r="B159" s="2">
        <v>45623</v>
      </c>
      <c r="C159" s="2">
        <v>45650</v>
      </c>
      <c r="D159" s="11" t="s">
        <v>1413</v>
      </c>
      <c r="E159">
        <v>27</v>
      </c>
      <c r="F159" s="11" t="s">
        <v>1485</v>
      </c>
      <c r="G159" s="11" t="s">
        <v>1449</v>
      </c>
      <c r="H159" s="11" t="s">
        <v>1503</v>
      </c>
      <c r="I159" s="11" t="s">
        <v>642</v>
      </c>
      <c r="J159" s="11" t="s">
        <v>651</v>
      </c>
      <c r="K159" s="11" t="s">
        <v>669</v>
      </c>
      <c r="L159" s="11" t="s">
        <v>1281</v>
      </c>
      <c r="M159" s="10">
        <v>15</v>
      </c>
      <c r="N159">
        <v>143.33000000000001</v>
      </c>
      <c r="O159" s="3">
        <v>233.51</v>
      </c>
      <c r="P159" s="11" t="s">
        <v>1468</v>
      </c>
      <c r="Q159" s="4">
        <v>0.16300000000000001</v>
      </c>
      <c r="R159" s="3">
        <v>2931.7180499999995</v>
      </c>
      <c r="S159" s="3">
        <v>2149.9500000000003</v>
      </c>
      <c r="T159" s="4">
        <v>0.26665867476580801</v>
      </c>
      <c r="U159" s="11" t="s">
        <v>658</v>
      </c>
      <c r="V159" s="3">
        <v>781.76804999999922</v>
      </c>
      <c r="W159" s="11" t="s">
        <v>1440</v>
      </c>
      <c r="X159" t="str">
        <f>TEXT(Table1_1[[#This Row],[OrderDate]],"mm yyyy")</f>
        <v>11 2024</v>
      </c>
      <c r="Y159" s="13">
        <f>DATE(YEAR(Table1_1[[#This Row],[OrderDate]]),MONTH(B159),1)</f>
        <v>45597</v>
      </c>
      <c r="Z159" s="2">
        <f t="shared" si="2"/>
        <v>44927</v>
      </c>
      <c r="AA159">
        <f>(YEAR(Table1_1[[#This Row],[OrderMonth]])-YEAR(Table1_1[[#This Row],[Firstmonth]]))*12+(MONTH(Table1_1[[#This Row],[OrderMonth]])-MONTH(Table1_1[[#This Row],[Firstmonth]]))</f>
        <v>22</v>
      </c>
    </row>
    <row r="160" spans="1:27" x14ac:dyDescent="0.25">
      <c r="A160" s="11" t="s">
        <v>297</v>
      </c>
      <c r="B160" s="2">
        <v>45542</v>
      </c>
      <c r="C160" s="2">
        <v>45542</v>
      </c>
      <c r="D160" s="11" t="s">
        <v>1413</v>
      </c>
      <c r="E160">
        <v>0</v>
      </c>
      <c r="F160" s="11" t="s">
        <v>1476</v>
      </c>
      <c r="G160" s="11" t="s">
        <v>1453</v>
      </c>
      <c r="H160" s="11" t="s">
        <v>1493</v>
      </c>
      <c r="I160" s="11" t="s">
        <v>643</v>
      </c>
      <c r="J160" s="11" t="s">
        <v>651</v>
      </c>
      <c r="K160" s="11" t="s">
        <v>670</v>
      </c>
      <c r="L160" s="11" t="s">
        <v>962</v>
      </c>
      <c r="M160" s="10">
        <v>6</v>
      </c>
      <c r="N160">
        <v>1066.6500000000001</v>
      </c>
      <c r="O160" s="3">
        <v>2569.77</v>
      </c>
      <c r="P160" s="11" t="s">
        <v>1471</v>
      </c>
      <c r="Q160" s="4">
        <v>0.13400000000000001</v>
      </c>
      <c r="R160" s="3">
        <v>13352.52492</v>
      </c>
      <c r="S160" s="3">
        <v>6399.9000000000005</v>
      </c>
      <c r="T160" s="4">
        <v>0.52069739331368303</v>
      </c>
      <c r="U160" s="11" t="s">
        <v>658</v>
      </c>
      <c r="V160" s="3">
        <v>6952.6249199999993</v>
      </c>
      <c r="W160" s="11" t="s">
        <v>1437</v>
      </c>
      <c r="X160" t="str">
        <f>TEXT(Table1_1[[#This Row],[OrderDate]],"mm yyyy")</f>
        <v>09 2024</v>
      </c>
      <c r="Y160" s="13">
        <f>DATE(YEAR(Table1_1[[#This Row],[OrderDate]]),MONTH(B160),1)</f>
        <v>45536</v>
      </c>
      <c r="Z160" s="2">
        <f t="shared" si="2"/>
        <v>44927</v>
      </c>
      <c r="AA160">
        <f>(YEAR(Table1_1[[#This Row],[OrderMonth]])-YEAR(Table1_1[[#This Row],[Firstmonth]]))*12+(MONTH(Table1_1[[#This Row],[OrderMonth]])-MONTH(Table1_1[[#This Row],[Firstmonth]]))</f>
        <v>20</v>
      </c>
    </row>
    <row r="161" spans="1:27" x14ac:dyDescent="0.25">
      <c r="A161" s="11" t="s">
        <v>67</v>
      </c>
      <c r="B161" s="2">
        <v>45697</v>
      </c>
      <c r="C161" s="2">
        <v>45717</v>
      </c>
      <c r="D161" s="11" t="s">
        <v>1413</v>
      </c>
      <c r="E161">
        <v>20</v>
      </c>
      <c r="F161" s="11" t="s">
        <v>1473</v>
      </c>
      <c r="G161" s="11" t="s">
        <v>1488</v>
      </c>
      <c r="H161" s="11" t="s">
        <v>1489</v>
      </c>
      <c r="I161" s="11" t="s">
        <v>642</v>
      </c>
      <c r="J161" s="11" t="s">
        <v>651</v>
      </c>
      <c r="K161" s="11" t="s">
        <v>672</v>
      </c>
      <c r="L161" s="11" t="s">
        <v>731</v>
      </c>
      <c r="M161" s="10">
        <v>14</v>
      </c>
      <c r="N161">
        <v>1154.6400000000001</v>
      </c>
      <c r="O161" s="3">
        <v>2794.13</v>
      </c>
      <c r="P161" s="11" t="s">
        <v>1471</v>
      </c>
      <c r="Q161" s="4">
        <v>3.5000000000000003E-2</v>
      </c>
      <c r="R161" s="3">
        <v>37748.696299999996</v>
      </c>
      <c r="S161" s="3">
        <v>16164.960000000001</v>
      </c>
      <c r="T161" s="4">
        <v>0.57177435025749501</v>
      </c>
      <c r="U161" s="11" t="s">
        <v>658</v>
      </c>
      <c r="V161" s="3">
        <v>21583.736299999997</v>
      </c>
      <c r="W161" s="11" t="s">
        <v>1434</v>
      </c>
      <c r="X161" t="str">
        <f>TEXT(Table1_1[[#This Row],[OrderDate]],"mm yyyy")</f>
        <v>02 2025</v>
      </c>
      <c r="Y161" s="13">
        <f>DATE(YEAR(Table1_1[[#This Row],[OrderDate]]),MONTH(B161),1)</f>
        <v>45689</v>
      </c>
      <c r="Z161" s="2">
        <f t="shared" si="2"/>
        <v>44958</v>
      </c>
      <c r="AA161">
        <f>(YEAR(Table1_1[[#This Row],[OrderMonth]])-YEAR(Table1_1[[#This Row],[Firstmonth]]))*12+(MONTH(Table1_1[[#This Row],[OrderMonth]])-MONTH(Table1_1[[#This Row],[Firstmonth]]))</f>
        <v>24</v>
      </c>
    </row>
    <row r="162" spans="1:27" x14ac:dyDescent="0.25">
      <c r="A162" s="11" t="s">
        <v>625</v>
      </c>
      <c r="B162" s="2">
        <v>45727</v>
      </c>
      <c r="C162" s="2">
        <v>45743</v>
      </c>
      <c r="D162" s="11" t="s">
        <v>1413</v>
      </c>
      <c r="E162">
        <v>16</v>
      </c>
      <c r="F162" s="11" t="s">
        <v>1476</v>
      </c>
      <c r="G162" s="11" t="s">
        <v>1451</v>
      </c>
      <c r="H162" s="11" t="s">
        <v>1510</v>
      </c>
      <c r="I162" s="11" t="s">
        <v>647</v>
      </c>
      <c r="J162" s="11" t="s">
        <v>651</v>
      </c>
      <c r="K162" s="11" t="s">
        <v>669</v>
      </c>
      <c r="L162" s="11" t="s">
        <v>1288</v>
      </c>
      <c r="M162" s="10">
        <v>50</v>
      </c>
      <c r="N162">
        <v>1317.58</v>
      </c>
      <c r="O162" s="3">
        <v>1897.74</v>
      </c>
      <c r="P162" s="11" t="s">
        <v>1471</v>
      </c>
      <c r="Q162" s="4">
        <v>8.1000000000000003E-2</v>
      </c>
      <c r="R162" s="3">
        <v>87201.153000000006</v>
      </c>
      <c r="S162" s="3">
        <v>65879</v>
      </c>
      <c r="T162" s="4">
        <v>0.244516870092303</v>
      </c>
      <c r="U162" s="11" t="s">
        <v>658</v>
      </c>
      <c r="V162" s="3">
        <v>21322.153000000006</v>
      </c>
      <c r="W162" s="11" t="s">
        <v>1434</v>
      </c>
      <c r="X162" t="str">
        <f>TEXT(Table1_1[[#This Row],[OrderDate]],"mm yyyy")</f>
        <v>03 2025</v>
      </c>
      <c r="Y162" s="13">
        <f>DATE(YEAR(Table1_1[[#This Row],[OrderDate]]),MONTH(B162),1)</f>
        <v>45717</v>
      </c>
      <c r="Z162" s="2">
        <f t="shared" si="2"/>
        <v>44986</v>
      </c>
      <c r="AA162">
        <f>(YEAR(Table1_1[[#This Row],[OrderMonth]])-YEAR(Table1_1[[#This Row],[Firstmonth]]))*12+(MONTH(Table1_1[[#This Row],[OrderMonth]])-MONTH(Table1_1[[#This Row],[Firstmonth]]))</f>
        <v>24</v>
      </c>
    </row>
    <row r="163" spans="1:27" x14ac:dyDescent="0.25">
      <c r="A163" s="11" t="s">
        <v>16</v>
      </c>
      <c r="B163" s="2">
        <v>44928</v>
      </c>
      <c r="C163" s="2">
        <v>44931</v>
      </c>
      <c r="D163" s="11" t="s">
        <v>1413</v>
      </c>
      <c r="E163">
        <v>3</v>
      </c>
      <c r="F163" s="11" t="s">
        <v>1473</v>
      </c>
      <c r="G163" s="11" t="s">
        <v>1452</v>
      </c>
      <c r="H163" s="11" t="s">
        <v>1474</v>
      </c>
      <c r="I163" s="11" t="s">
        <v>642</v>
      </c>
      <c r="J163" s="11" t="s">
        <v>651</v>
      </c>
      <c r="K163" s="11" t="s">
        <v>672</v>
      </c>
      <c r="L163" s="11" t="s">
        <v>680</v>
      </c>
      <c r="M163" s="10">
        <v>5</v>
      </c>
      <c r="N163">
        <v>315.87</v>
      </c>
      <c r="O163" s="3">
        <v>591.67999999999995</v>
      </c>
      <c r="P163" s="11" t="s">
        <v>1468</v>
      </c>
      <c r="Q163" s="4">
        <v>0</v>
      </c>
      <c r="R163" s="3">
        <v>2958.3999999999996</v>
      </c>
      <c r="S163" s="3">
        <v>1579.35</v>
      </c>
      <c r="T163" s="4">
        <v>0.46614724175229799</v>
      </c>
      <c r="U163" s="11" t="s">
        <v>658</v>
      </c>
      <c r="V163" s="3">
        <v>1379.0499999999997</v>
      </c>
      <c r="W163" s="11" t="s">
        <v>1432</v>
      </c>
      <c r="X163" t="str">
        <f>TEXT(Table1_1[[#This Row],[OrderDate]],"mm yyyy")</f>
        <v>01 2023</v>
      </c>
      <c r="Y163" s="13">
        <f>DATE(YEAR(Table1_1[[#This Row],[OrderDate]]),MONTH(B163),1)</f>
        <v>44927</v>
      </c>
      <c r="Z163" s="2">
        <f t="shared" si="2"/>
        <v>44927</v>
      </c>
      <c r="AA163">
        <f>(YEAR(Table1_1[[#This Row],[OrderMonth]])-YEAR(Table1_1[[#This Row],[Firstmonth]]))*12+(MONTH(Table1_1[[#This Row],[OrderMonth]])-MONTH(Table1_1[[#This Row],[Firstmonth]]))</f>
        <v>0</v>
      </c>
    </row>
    <row r="164" spans="1:27" x14ac:dyDescent="0.25">
      <c r="A164" s="11" t="s">
        <v>520</v>
      </c>
      <c r="B164" s="2">
        <v>45056</v>
      </c>
      <c r="C164" s="2">
        <v>45060</v>
      </c>
      <c r="D164" s="11" t="s">
        <v>1413</v>
      </c>
      <c r="E164">
        <v>4</v>
      </c>
      <c r="F164" s="11" t="s">
        <v>1476</v>
      </c>
      <c r="G164" s="11" t="s">
        <v>1453</v>
      </c>
      <c r="H164" s="11" t="s">
        <v>1479</v>
      </c>
      <c r="I164" s="11" t="s">
        <v>644</v>
      </c>
      <c r="J164" s="11" t="s">
        <v>651</v>
      </c>
      <c r="K164" s="11" t="s">
        <v>673</v>
      </c>
      <c r="L164" s="11" t="s">
        <v>1184</v>
      </c>
      <c r="M164" s="10">
        <v>7</v>
      </c>
      <c r="N164">
        <v>622.6</v>
      </c>
      <c r="O164" s="3">
        <v>833.69</v>
      </c>
      <c r="P164" s="11" t="s">
        <v>1466</v>
      </c>
      <c r="Q164" s="4">
        <v>0.20899999999999999</v>
      </c>
      <c r="R164" s="3">
        <v>4616.1415299999999</v>
      </c>
      <c r="S164" s="3">
        <v>4358.2</v>
      </c>
      <c r="T164" s="4">
        <v>5.5878167582959701E-2</v>
      </c>
      <c r="U164" s="11" t="s">
        <v>653</v>
      </c>
      <c r="V164" s="3">
        <v>257.94153000000006</v>
      </c>
      <c r="W164" s="11" t="s">
        <v>1435</v>
      </c>
      <c r="X164" t="str">
        <f>TEXT(Table1_1[[#This Row],[OrderDate]],"mm yyyy")</f>
        <v>05 2023</v>
      </c>
      <c r="Y164" s="13">
        <f>DATE(YEAR(Table1_1[[#This Row],[OrderDate]]),MONTH(B164),1)</f>
        <v>45047</v>
      </c>
      <c r="Z164" s="2">
        <f t="shared" si="2"/>
        <v>44927</v>
      </c>
      <c r="AA164">
        <f>(YEAR(Table1_1[[#This Row],[OrderMonth]])-YEAR(Table1_1[[#This Row],[Firstmonth]]))*12+(MONTH(Table1_1[[#This Row],[OrderMonth]])-MONTH(Table1_1[[#This Row],[Firstmonth]]))</f>
        <v>4</v>
      </c>
    </row>
    <row r="165" spans="1:27" x14ac:dyDescent="0.25">
      <c r="A165" s="11" t="s">
        <v>536</v>
      </c>
      <c r="B165" s="2">
        <v>45695</v>
      </c>
      <c r="C165" s="2">
        <v>45704</v>
      </c>
      <c r="D165" s="11" t="s">
        <v>1413</v>
      </c>
      <c r="E165">
        <v>9</v>
      </c>
      <c r="F165" s="11" t="s">
        <v>1485</v>
      </c>
      <c r="G165" s="11" t="s">
        <v>1450</v>
      </c>
      <c r="H165" s="11" t="s">
        <v>1514</v>
      </c>
      <c r="I165" s="11" t="s">
        <v>646</v>
      </c>
      <c r="J165" s="11" t="s">
        <v>651</v>
      </c>
      <c r="K165" s="11" t="s">
        <v>669</v>
      </c>
      <c r="L165" s="11" t="s">
        <v>1200</v>
      </c>
      <c r="M165" s="10">
        <v>47</v>
      </c>
      <c r="N165">
        <v>90.68</v>
      </c>
      <c r="O165" s="3">
        <v>118.17</v>
      </c>
      <c r="P165" s="11" t="s">
        <v>1468</v>
      </c>
      <c r="Q165" s="4">
        <v>0.13500000000000001</v>
      </c>
      <c r="R165" s="3">
        <v>4804.2013499999994</v>
      </c>
      <c r="S165" s="3">
        <v>4261.96</v>
      </c>
      <c r="T165" s="4">
        <v>0.11286815653552899</v>
      </c>
      <c r="U165" s="11" t="s">
        <v>653</v>
      </c>
      <c r="V165" s="3">
        <v>542.24134999999933</v>
      </c>
      <c r="W165" s="11" t="s">
        <v>1434</v>
      </c>
      <c r="X165" t="str">
        <f>TEXT(Table1_1[[#This Row],[OrderDate]],"mm yyyy")</f>
        <v>02 2025</v>
      </c>
      <c r="Y165" s="13">
        <f>DATE(YEAR(Table1_1[[#This Row],[OrderDate]]),MONTH(B165),1)</f>
        <v>45689</v>
      </c>
      <c r="Z165" s="2">
        <f t="shared" si="2"/>
        <v>44927</v>
      </c>
      <c r="AA165">
        <f>(YEAR(Table1_1[[#This Row],[OrderMonth]])-YEAR(Table1_1[[#This Row],[Firstmonth]]))*12+(MONTH(Table1_1[[#This Row],[OrderMonth]])-MONTH(Table1_1[[#This Row],[Firstmonth]]))</f>
        <v>25</v>
      </c>
    </row>
    <row r="166" spans="1:27" x14ac:dyDescent="0.25">
      <c r="A166" s="11" t="s">
        <v>475</v>
      </c>
      <c r="B166" s="2">
        <v>45618</v>
      </c>
      <c r="C166" s="2">
        <v>45641</v>
      </c>
      <c r="D166" s="11" t="s">
        <v>1413</v>
      </c>
      <c r="E166">
        <v>23</v>
      </c>
      <c r="F166" s="11" t="s">
        <v>1485</v>
      </c>
      <c r="G166" s="11" t="s">
        <v>1449</v>
      </c>
      <c r="H166" s="11" t="s">
        <v>1503</v>
      </c>
      <c r="I166" s="11" t="s">
        <v>644</v>
      </c>
      <c r="J166" s="11" t="s">
        <v>651</v>
      </c>
      <c r="K166" s="11" t="s">
        <v>668</v>
      </c>
      <c r="L166" s="11" t="s">
        <v>1139</v>
      </c>
      <c r="M166" s="10">
        <v>8</v>
      </c>
      <c r="N166">
        <v>1335.76</v>
      </c>
      <c r="O166" s="3">
        <v>2665.91</v>
      </c>
      <c r="P166" s="11" t="s">
        <v>1471</v>
      </c>
      <c r="Q166" s="4">
        <v>0.21099999999999999</v>
      </c>
      <c r="R166" s="3">
        <v>16827.22392</v>
      </c>
      <c r="S166" s="3">
        <v>10686.08</v>
      </c>
      <c r="T166" s="4">
        <v>0.36495288522909197</v>
      </c>
      <c r="U166" s="11" t="s">
        <v>653</v>
      </c>
      <c r="V166" s="3">
        <v>6141.1439200000004</v>
      </c>
      <c r="W166" s="11" t="s">
        <v>1440</v>
      </c>
      <c r="X166" t="str">
        <f>TEXT(Table1_1[[#This Row],[OrderDate]],"mm yyyy")</f>
        <v>11 2024</v>
      </c>
      <c r="Y166" s="13">
        <f>DATE(YEAR(Table1_1[[#This Row],[OrderDate]]),MONTH(B166),1)</f>
        <v>45597</v>
      </c>
      <c r="Z166" s="2">
        <f t="shared" si="2"/>
        <v>44927</v>
      </c>
      <c r="AA166">
        <f>(YEAR(Table1_1[[#This Row],[OrderMonth]])-YEAR(Table1_1[[#This Row],[Firstmonth]]))*12+(MONTH(Table1_1[[#This Row],[OrderMonth]])-MONTH(Table1_1[[#This Row],[Firstmonth]]))</f>
        <v>22</v>
      </c>
    </row>
    <row r="167" spans="1:27" x14ac:dyDescent="0.25">
      <c r="A167" s="11" t="s">
        <v>78</v>
      </c>
      <c r="B167" s="2">
        <v>45434</v>
      </c>
      <c r="C167" s="2">
        <v>45449</v>
      </c>
      <c r="D167" s="11" t="s">
        <v>1413</v>
      </c>
      <c r="E167">
        <v>15</v>
      </c>
      <c r="F167" s="11" t="s">
        <v>1476</v>
      </c>
      <c r="G167" s="11" t="s">
        <v>1451</v>
      </c>
      <c r="H167" s="11" t="s">
        <v>1484</v>
      </c>
      <c r="I167" s="11" t="s">
        <v>642</v>
      </c>
      <c r="J167" s="11" t="s">
        <v>651</v>
      </c>
      <c r="K167" s="11" t="s">
        <v>673</v>
      </c>
      <c r="L167" s="11" t="s">
        <v>742</v>
      </c>
      <c r="M167" s="10">
        <v>44</v>
      </c>
      <c r="N167">
        <v>673.88</v>
      </c>
      <c r="O167" s="3">
        <v>1228.01</v>
      </c>
      <c r="P167" s="11" t="s">
        <v>1466</v>
      </c>
      <c r="Q167" s="4">
        <v>0.105</v>
      </c>
      <c r="R167" s="3">
        <v>48359.033800000005</v>
      </c>
      <c r="S167" s="3">
        <v>29650.720000000001</v>
      </c>
      <c r="T167" s="4">
        <v>0.38686285332690001</v>
      </c>
      <c r="U167" s="11" t="s">
        <v>653</v>
      </c>
      <c r="V167" s="3">
        <v>18708.313800000004</v>
      </c>
      <c r="W167" s="11" t="s">
        <v>1436</v>
      </c>
      <c r="X167" t="str">
        <f>TEXT(Table1_1[[#This Row],[OrderDate]],"mm yyyy")</f>
        <v>05 2024</v>
      </c>
      <c r="Y167" s="13">
        <f>DATE(YEAR(Table1_1[[#This Row],[OrderDate]]),MONTH(B167),1)</f>
        <v>45413</v>
      </c>
      <c r="Z167" s="2">
        <f t="shared" si="2"/>
        <v>44986</v>
      </c>
      <c r="AA167">
        <f>(YEAR(Table1_1[[#This Row],[OrderMonth]])-YEAR(Table1_1[[#This Row],[Firstmonth]]))*12+(MONTH(Table1_1[[#This Row],[OrderMonth]])-MONTH(Table1_1[[#This Row],[Firstmonth]]))</f>
        <v>14</v>
      </c>
    </row>
    <row r="168" spans="1:27" x14ac:dyDescent="0.25">
      <c r="A168" s="11" t="s">
        <v>28</v>
      </c>
      <c r="B168" s="2">
        <v>45908</v>
      </c>
      <c r="C168" s="2">
        <v>45916</v>
      </c>
      <c r="D168" s="11" t="s">
        <v>1413</v>
      </c>
      <c r="E168">
        <v>8</v>
      </c>
      <c r="F168" s="11" t="s">
        <v>1476</v>
      </c>
      <c r="G168" s="11" t="s">
        <v>1451</v>
      </c>
      <c r="H168" s="11" t="s">
        <v>1487</v>
      </c>
      <c r="I168" s="11" t="s">
        <v>642</v>
      </c>
      <c r="J168" s="11" t="s">
        <v>651</v>
      </c>
      <c r="K168" s="11" t="s">
        <v>671</v>
      </c>
      <c r="L168" s="11" t="s">
        <v>692</v>
      </c>
      <c r="M168" s="10">
        <v>46</v>
      </c>
      <c r="N168">
        <v>1225.57</v>
      </c>
      <c r="O168" s="3">
        <v>2705.57</v>
      </c>
      <c r="P168" s="11" t="s">
        <v>1471</v>
      </c>
      <c r="Q168" s="4">
        <v>0.183</v>
      </c>
      <c r="R168" s="3">
        <v>101680.73173999999</v>
      </c>
      <c r="S168" s="3">
        <v>56376.219999999994</v>
      </c>
      <c r="T168" s="4">
        <v>0.44555650775453398</v>
      </c>
      <c r="U168" s="11" t="s">
        <v>653</v>
      </c>
      <c r="V168" s="3">
        <v>45304.511739999994</v>
      </c>
      <c r="W168" s="11" t="s">
        <v>1438</v>
      </c>
      <c r="X168" t="str">
        <f>TEXT(Table1_1[[#This Row],[OrderDate]],"mm yyyy")</f>
        <v>09 2025</v>
      </c>
      <c r="Y168" s="13">
        <f>DATE(YEAR(Table1_1[[#This Row],[OrderDate]]),MONTH(B168),1)</f>
        <v>45901</v>
      </c>
      <c r="Z168" s="2">
        <f t="shared" si="2"/>
        <v>44986</v>
      </c>
      <c r="AA168">
        <f>(YEAR(Table1_1[[#This Row],[OrderMonth]])-YEAR(Table1_1[[#This Row],[Firstmonth]]))*12+(MONTH(Table1_1[[#This Row],[OrderMonth]])-MONTH(Table1_1[[#This Row],[Firstmonth]]))</f>
        <v>30</v>
      </c>
    </row>
    <row r="169" spans="1:27" x14ac:dyDescent="0.25">
      <c r="A169" s="11" t="s">
        <v>496</v>
      </c>
      <c r="B169" s="2">
        <v>45224</v>
      </c>
      <c r="C169" s="2">
        <v>45254</v>
      </c>
      <c r="D169" s="11" t="s">
        <v>1413</v>
      </c>
      <c r="E169">
        <v>30</v>
      </c>
      <c r="F169" s="11" t="s">
        <v>1464</v>
      </c>
      <c r="G169" s="11" t="s">
        <v>1456</v>
      </c>
      <c r="H169" s="11" t="s">
        <v>1504</v>
      </c>
      <c r="I169" s="11" t="s">
        <v>647</v>
      </c>
      <c r="J169" s="11" t="s">
        <v>651</v>
      </c>
      <c r="K169" s="11" t="s">
        <v>671</v>
      </c>
      <c r="L169" s="11" t="s">
        <v>1160</v>
      </c>
      <c r="M169" s="10">
        <v>9</v>
      </c>
      <c r="N169">
        <v>287.85000000000002</v>
      </c>
      <c r="O169" s="3">
        <v>602.91999999999996</v>
      </c>
      <c r="P169" s="11" t="s">
        <v>1468</v>
      </c>
      <c r="Q169" s="4">
        <v>0.222</v>
      </c>
      <c r="R169" s="3">
        <v>4221.6458400000001</v>
      </c>
      <c r="S169" s="3">
        <v>2590.65</v>
      </c>
      <c r="T169" s="4">
        <v>0.38634122847216401</v>
      </c>
      <c r="U169" s="11" t="s">
        <v>653</v>
      </c>
      <c r="V169" s="3">
        <v>1630.99584</v>
      </c>
      <c r="W169" s="11" t="s">
        <v>1439</v>
      </c>
      <c r="X169" t="str">
        <f>TEXT(Table1_1[[#This Row],[OrderDate]],"mm yyyy")</f>
        <v>10 2023</v>
      </c>
      <c r="Y169" s="13">
        <f>DATE(YEAR(Table1_1[[#This Row],[OrderDate]]),MONTH(B169),1)</f>
        <v>45200</v>
      </c>
      <c r="Z169" s="2">
        <f t="shared" si="2"/>
        <v>44958</v>
      </c>
      <c r="AA169">
        <f>(YEAR(Table1_1[[#This Row],[OrderMonth]])-YEAR(Table1_1[[#This Row],[Firstmonth]]))*12+(MONTH(Table1_1[[#This Row],[OrderMonth]])-MONTH(Table1_1[[#This Row],[Firstmonth]]))</f>
        <v>8</v>
      </c>
    </row>
    <row r="170" spans="1:27" x14ac:dyDescent="0.25">
      <c r="A170" s="11" t="s">
        <v>611</v>
      </c>
      <c r="B170" s="2">
        <v>45523</v>
      </c>
      <c r="C170" s="2">
        <v>45537</v>
      </c>
      <c r="D170" s="11" t="s">
        <v>1413</v>
      </c>
      <c r="E170">
        <v>14</v>
      </c>
      <c r="F170" s="11" t="s">
        <v>1473</v>
      </c>
      <c r="G170" s="11" t="s">
        <v>1452</v>
      </c>
      <c r="H170" s="11" t="s">
        <v>1474</v>
      </c>
      <c r="I170" s="11" t="s">
        <v>645</v>
      </c>
      <c r="J170" s="11" t="s">
        <v>651</v>
      </c>
      <c r="K170" s="11" t="s">
        <v>669</v>
      </c>
      <c r="L170" s="11" t="s">
        <v>1274</v>
      </c>
      <c r="M170" s="10">
        <v>6</v>
      </c>
      <c r="N170">
        <v>1337.01</v>
      </c>
      <c r="O170" s="3">
        <v>1269.78</v>
      </c>
      <c r="P170" s="11" t="s">
        <v>1466</v>
      </c>
      <c r="Q170" s="4">
        <v>0.16</v>
      </c>
      <c r="R170" s="3">
        <v>6399.6912000000002</v>
      </c>
      <c r="S170" s="3">
        <v>8022.0599999999995</v>
      </c>
      <c r="T170" s="4">
        <v>-0.253507356729962</v>
      </c>
      <c r="U170" s="11" t="s">
        <v>653</v>
      </c>
      <c r="V170" s="3">
        <v>-1622.3687999999993</v>
      </c>
      <c r="W170" s="11" t="s">
        <v>1437</v>
      </c>
      <c r="X170" t="str">
        <f>TEXT(Table1_1[[#This Row],[OrderDate]],"mm yyyy")</f>
        <v>08 2024</v>
      </c>
      <c r="Y170" s="13">
        <f>DATE(YEAR(Table1_1[[#This Row],[OrderDate]]),MONTH(B170),1)</f>
        <v>45505</v>
      </c>
      <c r="Z170" s="2">
        <f t="shared" si="2"/>
        <v>44958</v>
      </c>
      <c r="AA170">
        <f>(YEAR(Table1_1[[#This Row],[OrderMonth]])-YEAR(Table1_1[[#This Row],[Firstmonth]]))*12+(MONTH(Table1_1[[#This Row],[OrderMonth]])-MONTH(Table1_1[[#This Row],[Firstmonth]]))</f>
        <v>18</v>
      </c>
    </row>
    <row r="171" spans="1:27" x14ac:dyDescent="0.25">
      <c r="A171" s="11" t="s">
        <v>365</v>
      </c>
      <c r="B171" s="2">
        <v>45292</v>
      </c>
      <c r="C171" s="2">
        <v>45318</v>
      </c>
      <c r="D171" s="11" t="s">
        <v>1413</v>
      </c>
      <c r="E171">
        <v>26</v>
      </c>
      <c r="F171" s="11" t="s">
        <v>1464</v>
      </c>
      <c r="G171" s="11" t="s">
        <v>1469</v>
      </c>
      <c r="H171" s="11" t="s">
        <v>1482</v>
      </c>
      <c r="I171" s="11" t="s">
        <v>643</v>
      </c>
      <c r="J171" s="11" t="s">
        <v>651</v>
      </c>
      <c r="K171" s="11" t="s">
        <v>674</v>
      </c>
      <c r="L171" s="11" t="s">
        <v>1030</v>
      </c>
      <c r="M171" s="10">
        <v>5</v>
      </c>
      <c r="N171">
        <v>657.45</v>
      </c>
      <c r="O171" s="3">
        <v>1325.96</v>
      </c>
      <c r="P171" s="11" t="s">
        <v>1466</v>
      </c>
      <c r="Q171" s="4">
        <v>0.16700000000000001</v>
      </c>
      <c r="R171" s="3">
        <v>5522.6233999999995</v>
      </c>
      <c r="S171" s="3">
        <v>3287.25</v>
      </c>
      <c r="T171" s="4">
        <v>0.40476658249048802</v>
      </c>
      <c r="U171" s="11" t="s">
        <v>667</v>
      </c>
      <c r="V171" s="3">
        <v>2235.3733999999995</v>
      </c>
      <c r="W171" s="11" t="s">
        <v>1433</v>
      </c>
      <c r="X171" t="str">
        <f>TEXT(Table1_1[[#This Row],[OrderDate]],"mm yyyy")</f>
        <v>01 2024</v>
      </c>
      <c r="Y171" s="13">
        <f>DATE(YEAR(Table1_1[[#This Row],[OrderDate]]),MONTH(B171),1)</f>
        <v>45292</v>
      </c>
      <c r="Z171" s="2">
        <f t="shared" si="2"/>
        <v>44927</v>
      </c>
      <c r="AA171">
        <f>(YEAR(Table1_1[[#This Row],[OrderMonth]])-YEAR(Table1_1[[#This Row],[Firstmonth]]))*12+(MONTH(Table1_1[[#This Row],[OrderMonth]])-MONTH(Table1_1[[#This Row],[Firstmonth]]))</f>
        <v>12</v>
      </c>
    </row>
    <row r="172" spans="1:27" x14ac:dyDescent="0.25">
      <c r="A172" s="11" t="s">
        <v>477</v>
      </c>
      <c r="B172" s="2">
        <v>45278</v>
      </c>
      <c r="C172" s="2">
        <v>45305</v>
      </c>
      <c r="D172" s="11" t="s">
        <v>1413</v>
      </c>
      <c r="E172">
        <v>27</v>
      </c>
      <c r="F172" s="11" t="s">
        <v>1476</v>
      </c>
      <c r="G172" s="11" t="s">
        <v>1453</v>
      </c>
      <c r="H172" s="11" t="s">
        <v>1493</v>
      </c>
      <c r="I172" s="11" t="s">
        <v>645</v>
      </c>
      <c r="J172" s="11" t="s">
        <v>651</v>
      </c>
      <c r="K172" s="11" t="s">
        <v>670</v>
      </c>
      <c r="L172" s="11" t="s">
        <v>1141</v>
      </c>
      <c r="M172" s="10">
        <v>16</v>
      </c>
      <c r="N172">
        <v>1408.3</v>
      </c>
      <c r="O172" s="3">
        <v>2193.13</v>
      </c>
      <c r="P172" s="11" t="s">
        <v>1471</v>
      </c>
      <c r="Q172" s="4">
        <v>7.0999999999999994E-2</v>
      </c>
      <c r="R172" s="3">
        <v>32598.684320000004</v>
      </c>
      <c r="S172" s="3">
        <v>22532.799999999999</v>
      </c>
      <c r="T172" s="4">
        <v>0.30878191957656298</v>
      </c>
      <c r="U172" s="11" t="s">
        <v>667</v>
      </c>
      <c r="V172" s="3">
        <v>10065.884320000005</v>
      </c>
      <c r="W172" s="11" t="s">
        <v>1439</v>
      </c>
      <c r="X172" t="str">
        <f>TEXT(Table1_1[[#This Row],[OrderDate]],"mm yyyy")</f>
        <v>12 2023</v>
      </c>
      <c r="Y172" s="13">
        <f>DATE(YEAR(Table1_1[[#This Row],[OrderDate]]),MONTH(B172),1)</f>
        <v>45261</v>
      </c>
      <c r="Z172" s="2">
        <f t="shared" si="2"/>
        <v>44927</v>
      </c>
      <c r="AA172">
        <f>(YEAR(Table1_1[[#This Row],[OrderMonth]])-YEAR(Table1_1[[#This Row],[Firstmonth]]))*12+(MONTH(Table1_1[[#This Row],[OrderMonth]])-MONTH(Table1_1[[#This Row],[Firstmonth]]))</f>
        <v>11</v>
      </c>
    </row>
    <row r="173" spans="1:27" x14ac:dyDescent="0.25">
      <c r="A173" s="11" t="s">
        <v>538</v>
      </c>
      <c r="B173" s="2">
        <v>45448</v>
      </c>
      <c r="C173" s="2">
        <v>45466</v>
      </c>
      <c r="D173" s="11" t="s">
        <v>1413</v>
      </c>
      <c r="E173">
        <v>18</v>
      </c>
      <c r="F173" s="11" t="s">
        <v>1485</v>
      </c>
      <c r="G173" s="11" t="s">
        <v>1449</v>
      </c>
      <c r="H173" s="11" t="s">
        <v>1486</v>
      </c>
      <c r="I173" s="11" t="s">
        <v>645</v>
      </c>
      <c r="J173" s="11" t="s">
        <v>651</v>
      </c>
      <c r="K173" s="11" t="s">
        <v>672</v>
      </c>
      <c r="L173" s="11" t="s">
        <v>1202</v>
      </c>
      <c r="M173" s="10">
        <v>5</v>
      </c>
      <c r="N173">
        <v>1208.74</v>
      </c>
      <c r="O173" s="3">
        <v>1594.78</v>
      </c>
      <c r="P173" s="11" t="s">
        <v>1466</v>
      </c>
      <c r="Q173" s="4">
        <v>5.8999999999999997E-2</v>
      </c>
      <c r="R173" s="3">
        <v>7503.4399000000003</v>
      </c>
      <c r="S173" s="3">
        <v>6043.7</v>
      </c>
      <c r="T173" s="4">
        <v>0.194542758981784</v>
      </c>
      <c r="U173" s="11" t="s">
        <v>667</v>
      </c>
      <c r="V173" s="3">
        <v>1459.7399000000005</v>
      </c>
      <c r="W173" s="11" t="s">
        <v>1436</v>
      </c>
      <c r="X173" t="str">
        <f>TEXT(Table1_1[[#This Row],[OrderDate]],"mm yyyy")</f>
        <v>06 2024</v>
      </c>
      <c r="Y173" s="13">
        <f>DATE(YEAR(Table1_1[[#This Row],[OrderDate]]),MONTH(B173),1)</f>
        <v>45444</v>
      </c>
      <c r="Z173" s="2">
        <f t="shared" si="2"/>
        <v>44927</v>
      </c>
      <c r="AA173">
        <f>(YEAR(Table1_1[[#This Row],[OrderMonth]])-YEAR(Table1_1[[#This Row],[Firstmonth]]))*12+(MONTH(Table1_1[[#This Row],[OrderMonth]])-MONTH(Table1_1[[#This Row],[Firstmonth]]))</f>
        <v>17</v>
      </c>
    </row>
    <row r="174" spans="1:27" x14ac:dyDescent="0.25">
      <c r="A174" s="11" t="s">
        <v>243</v>
      </c>
      <c r="B174" s="2">
        <v>45540</v>
      </c>
      <c r="C174" s="2">
        <v>45560</v>
      </c>
      <c r="D174" s="11" t="s">
        <v>1413</v>
      </c>
      <c r="E174">
        <v>20</v>
      </c>
      <c r="F174" s="11" t="s">
        <v>1476</v>
      </c>
      <c r="G174" s="11" t="s">
        <v>1451</v>
      </c>
      <c r="H174" s="11" t="s">
        <v>1487</v>
      </c>
      <c r="I174" s="11" t="s">
        <v>647</v>
      </c>
      <c r="J174" s="11" t="s">
        <v>651</v>
      </c>
      <c r="K174" s="11" t="s">
        <v>673</v>
      </c>
      <c r="L174" s="11" t="s">
        <v>908</v>
      </c>
      <c r="M174" s="10">
        <v>10</v>
      </c>
      <c r="N174">
        <v>195.54</v>
      </c>
      <c r="O174" s="3">
        <v>405.97</v>
      </c>
      <c r="P174" s="11" t="s">
        <v>1468</v>
      </c>
      <c r="Q174" s="4">
        <v>0.187</v>
      </c>
      <c r="R174" s="3">
        <v>3300.5360999999998</v>
      </c>
      <c r="S174" s="3">
        <v>1955.3999999999999</v>
      </c>
      <c r="T174" s="4">
        <v>0.40755079152141399</v>
      </c>
      <c r="U174" s="11" t="s">
        <v>667</v>
      </c>
      <c r="V174" s="3">
        <v>1345.1360999999999</v>
      </c>
      <c r="W174" s="11" t="s">
        <v>1437</v>
      </c>
      <c r="X174" t="str">
        <f>TEXT(Table1_1[[#This Row],[OrderDate]],"mm yyyy")</f>
        <v>09 2024</v>
      </c>
      <c r="Y174" s="13">
        <f>DATE(YEAR(Table1_1[[#This Row],[OrderDate]]),MONTH(B174),1)</f>
        <v>45536</v>
      </c>
      <c r="Z174" s="2">
        <f t="shared" si="2"/>
        <v>44986</v>
      </c>
      <c r="AA174">
        <f>(YEAR(Table1_1[[#This Row],[OrderMonth]])-YEAR(Table1_1[[#This Row],[Firstmonth]]))*12+(MONTH(Table1_1[[#This Row],[OrderMonth]])-MONTH(Table1_1[[#This Row],[Firstmonth]]))</f>
        <v>18</v>
      </c>
    </row>
    <row r="175" spans="1:27" x14ac:dyDescent="0.25">
      <c r="A175" s="11" t="s">
        <v>61</v>
      </c>
      <c r="B175" s="2">
        <v>45602</v>
      </c>
      <c r="C175" s="2">
        <v>45618</v>
      </c>
      <c r="D175" s="11" t="s">
        <v>1413</v>
      </c>
      <c r="E175">
        <v>16</v>
      </c>
      <c r="F175" s="11" t="s">
        <v>1473</v>
      </c>
      <c r="G175" s="11" t="s">
        <v>1452</v>
      </c>
      <c r="H175" s="11" t="s">
        <v>1474</v>
      </c>
      <c r="I175" s="11" t="s">
        <v>644</v>
      </c>
      <c r="J175" s="11" t="s">
        <v>651</v>
      </c>
      <c r="K175" s="11" t="s">
        <v>674</v>
      </c>
      <c r="L175" s="11" t="s">
        <v>725</v>
      </c>
      <c r="M175" s="10">
        <v>15</v>
      </c>
      <c r="N175">
        <v>1454.11</v>
      </c>
      <c r="O175" s="3">
        <v>2629.75</v>
      </c>
      <c r="P175" s="11" t="s">
        <v>1471</v>
      </c>
      <c r="Q175" s="4">
        <v>0.29199999999999998</v>
      </c>
      <c r="R175" s="3">
        <v>27927.945</v>
      </c>
      <c r="S175" s="3">
        <v>21811.649999999998</v>
      </c>
      <c r="T175" s="4">
        <v>0.219002687093519</v>
      </c>
      <c r="U175" s="11" t="s">
        <v>667</v>
      </c>
      <c r="V175" s="3">
        <v>6116.2950000000019</v>
      </c>
      <c r="W175" s="11" t="s">
        <v>1440</v>
      </c>
      <c r="X175" t="str">
        <f>TEXT(Table1_1[[#This Row],[OrderDate]],"mm yyyy")</f>
        <v>11 2024</v>
      </c>
      <c r="Y175" s="13">
        <f>DATE(YEAR(Table1_1[[#This Row],[OrderDate]]),MONTH(B175),1)</f>
        <v>45597</v>
      </c>
      <c r="Z175" s="2">
        <f t="shared" si="2"/>
        <v>44958</v>
      </c>
      <c r="AA175">
        <f>(YEAR(Table1_1[[#This Row],[OrderMonth]])-YEAR(Table1_1[[#This Row],[Firstmonth]]))*12+(MONTH(Table1_1[[#This Row],[OrderMonth]])-MONTH(Table1_1[[#This Row],[Firstmonth]]))</f>
        <v>21</v>
      </c>
    </row>
    <row r="176" spans="1:27" x14ac:dyDescent="0.25">
      <c r="A176" s="11" t="s">
        <v>428</v>
      </c>
      <c r="B176" s="2">
        <v>45730</v>
      </c>
      <c r="C176" s="2">
        <v>45755</v>
      </c>
      <c r="D176" s="11" t="s">
        <v>1413</v>
      </c>
      <c r="E176">
        <v>25</v>
      </c>
      <c r="F176" s="11" t="s">
        <v>1476</v>
      </c>
      <c r="G176" s="11" t="s">
        <v>1457</v>
      </c>
      <c r="H176" s="11" t="s">
        <v>1366</v>
      </c>
      <c r="I176" s="11" t="s">
        <v>642</v>
      </c>
      <c r="J176" s="11" t="s">
        <v>651</v>
      </c>
      <c r="K176" s="11" t="s">
        <v>669</v>
      </c>
      <c r="L176" s="11" t="s">
        <v>1092</v>
      </c>
      <c r="M176" s="10">
        <v>8</v>
      </c>
      <c r="N176">
        <v>80.59</v>
      </c>
      <c r="O176" s="3">
        <v>157.82</v>
      </c>
      <c r="P176" s="11" t="s">
        <v>1468</v>
      </c>
      <c r="Q176" s="4">
        <v>0.217</v>
      </c>
      <c r="R176" s="3">
        <v>988.58447999999999</v>
      </c>
      <c r="S176" s="3">
        <v>644.72</v>
      </c>
      <c r="T176" s="4">
        <v>0.34783519967863502</v>
      </c>
      <c r="U176" s="11" t="s">
        <v>667</v>
      </c>
      <c r="V176" s="3">
        <v>343.86447999999996</v>
      </c>
      <c r="W176" s="11" t="s">
        <v>1434</v>
      </c>
      <c r="X176" t="str">
        <f>TEXT(Table1_1[[#This Row],[OrderDate]],"mm yyyy")</f>
        <v>03 2025</v>
      </c>
      <c r="Y176" s="13">
        <f>DATE(YEAR(Table1_1[[#This Row],[OrderDate]]),MONTH(B176),1)</f>
        <v>45717</v>
      </c>
      <c r="Z176" s="2">
        <f t="shared" si="2"/>
        <v>44927</v>
      </c>
      <c r="AA176">
        <f>(YEAR(Table1_1[[#This Row],[OrderMonth]])-YEAR(Table1_1[[#This Row],[Firstmonth]]))*12+(MONTH(Table1_1[[#This Row],[OrderMonth]])-MONTH(Table1_1[[#This Row],[Firstmonth]]))</f>
        <v>26</v>
      </c>
    </row>
    <row r="177" spans="1:27" x14ac:dyDescent="0.25">
      <c r="A177" s="11" t="s">
        <v>639</v>
      </c>
      <c r="B177" s="2">
        <v>45267</v>
      </c>
      <c r="C177" s="2">
        <v>45293</v>
      </c>
      <c r="D177" s="11" t="s">
        <v>1413</v>
      </c>
      <c r="E177">
        <v>26</v>
      </c>
      <c r="F177" s="11" t="s">
        <v>1464</v>
      </c>
      <c r="G177" s="11" t="s">
        <v>1455</v>
      </c>
      <c r="H177" s="11" t="s">
        <v>1467</v>
      </c>
      <c r="I177" s="11" t="s">
        <v>647</v>
      </c>
      <c r="J177" s="11" t="s">
        <v>651</v>
      </c>
      <c r="K177" s="11" t="s">
        <v>668</v>
      </c>
      <c r="L177" s="11" t="s">
        <v>1302</v>
      </c>
      <c r="M177" s="10">
        <v>38</v>
      </c>
      <c r="N177">
        <v>1071.99</v>
      </c>
      <c r="O177" s="3">
        <v>2397.3000000000002</v>
      </c>
      <c r="P177" s="11" t="s">
        <v>1471</v>
      </c>
      <c r="Q177" s="4">
        <v>6.2E-2</v>
      </c>
      <c r="R177" s="3">
        <v>85449.361199999999</v>
      </c>
      <c r="S177" s="3">
        <v>40735.620000000003</v>
      </c>
      <c r="T177" s="4">
        <v>0.52327765324476205</v>
      </c>
      <c r="U177" s="11" t="s">
        <v>659</v>
      </c>
      <c r="V177" s="3">
        <v>44713.741199999997</v>
      </c>
      <c r="W177" s="11" t="s">
        <v>1439</v>
      </c>
      <c r="X177" t="str">
        <f>TEXT(Table1_1[[#This Row],[OrderDate]],"mm yyyy")</f>
        <v>12 2023</v>
      </c>
      <c r="Y177" s="13">
        <f>DATE(YEAR(Table1_1[[#This Row],[OrderDate]]),MONTH(B177),1)</f>
        <v>45261</v>
      </c>
      <c r="Z177" s="2">
        <f t="shared" si="2"/>
        <v>44927</v>
      </c>
      <c r="AA177">
        <f>(YEAR(Table1_1[[#This Row],[OrderMonth]])-YEAR(Table1_1[[#This Row],[Firstmonth]]))*12+(MONTH(Table1_1[[#This Row],[OrderMonth]])-MONTH(Table1_1[[#This Row],[Firstmonth]]))</f>
        <v>11</v>
      </c>
    </row>
    <row r="178" spans="1:27" x14ac:dyDescent="0.25">
      <c r="A178" s="11" t="s">
        <v>429</v>
      </c>
      <c r="B178" s="2">
        <v>45307</v>
      </c>
      <c r="C178" s="2">
        <v>45333</v>
      </c>
      <c r="D178" s="11" t="s">
        <v>1413</v>
      </c>
      <c r="E178">
        <v>26</v>
      </c>
      <c r="F178" s="11" t="s">
        <v>1464</v>
      </c>
      <c r="G178" s="11" t="s">
        <v>1455</v>
      </c>
      <c r="H178" s="11" t="s">
        <v>1467</v>
      </c>
      <c r="I178" s="11" t="s">
        <v>644</v>
      </c>
      <c r="J178" s="11" t="s">
        <v>651</v>
      </c>
      <c r="K178" s="11" t="s">
        <v>673</v>
      </c>
      <c r="L178" s="11" t="s">
        <v>1093</v>
      </c>
      <c r="M178" s="10">
        <v>9</v>
      </c>
      <c r="N178">
        <v>504.93</v>
      </c>
      <c r="O178" s="3">
        <v>819.06</v>
      </c>
      <c r="P178" s="11" t="s">
        <v>1466</v>
      </c>
      <c r="Q178" s="4">
        <v>0.22600000000000001</v>
      </c>
      <c r="R178" s="3">
        <v>5705.5719599999993</v>
      </c>
      <c r="S178" s="3">
        <v>4544.37</v>
      </c>
      <c r="T178" s="4">
        <v>0.203520693129598</v>
      </c>
      <c r="U178" s="11" t="s">
        <v>659</v>
      </c>
      <c r="V178" s="3">
        <v>1161.2019599999994</v>
      </c>
      <c r="W178" s="11" t="s">
        <v>1433</v>
      </c>
      <c r="X178" t="str">
        <f>TEXT(Table1_1[[#This Row],[OrderDate]],"mm yyyy")</f>
        <v>01 2024</v>
      </c>
      <c r="Y178" s="13">
        <f>DATE(YEAR(Table1_1[[#This Row],[OrderDate]]),MONTH(B178),1)</f>
        <v>45292</v>
      </c>
      <c r="Z178" s="2">
        <f t="shared" si="2"/>
        <v>44927</v>
      </c>
      <c r="AA178">
        <f>(YEAR(Table1_1[[#This Row],[OrderMonth]])-YEAR(Table1_1[[#This Row],[Firstmonth]]))*12+(MONTH(Table1_1[[#This Row],[OrderMonth]])-MONTH(Table1_1[[#This Row],[Firstmonth]]))</f>
        <v>12</v>
      </c>
    </row>
    <row r="179" spans="1:27" x14ac:dyDescent="0.25">
      <c r="A179" s="11" t="s">
        <v>438</v>
      </c>
      <c r="B179" s="2">
        <v>45347</v>
      </c>
      <c r="C179" s="2">
        <v>45360</v>
      </c>
      <c r="D179" s="11" t="s">
        <v>1413</v>
      </c>
      <c r="E179">
        <v>13</v>
      </c>
      <c r="F179" s="11" t="s">
        <v>1464</v>
      </c>
      <c r="G179" s="11" t="s">
        <v>1456</v>
      </c>
      <c r="H179" s="11" t="s">
        <v>1472</v>
      </c>
      <c r="I179" s="11" t="s">
        <v>646</v>
      </c>
      <c r="J179" s="11" t="s">
        <v>651</v>
      </c>
      <c r="K179" s="11" t="s">
        <v>673</v>
      </c>
      <c r="L179" s="11" t="s">
        <v>1102</v>
      </c>
      <c r="M179" s="10">
        <v>13</v>
      </c>
      <c r="N179">
        <v>322.44</v>
      </c>
      <c r="O179" s="3">
        <v>395.61</v>
      </c>
      <c r="P179" s="11" t="s">
        <v>1468</v>
      </c>
      <c r="Q179" s="4">
        <v>0</v>
      </c>
      <c r="R179" s="3">
        <v>5142.93</v>
      </c>
      <c r="S179" s="3">
        <v>4191.72</v>
      </c>
      <c r="T179" s="4">
        <v>0.184954879805869</v>
      </c>
      <c r="U179" s="11" t="s">
        <v>659</v>
      </c>
      <c r="V179" s="3">
        <v>951.21</v>
      </c>
      <c r="W179" s="11" t="s">
        <v>1433</v>
      </c>
      <c r="X179" t="str">
        <f>TEXT(Table1_1[[#This Row],[OrderDate]],"mm yyyy")</f>
        <v>02 2024</v>
      </c>
      <c r="Y179" s="13">
        <f>DATE(YEAR(Table1_1[[#This Row],[OrderDate]]),MONTH(B179),1)</f>
        <v>45323</v>
      </c>
      <c r="Z179" s="2">
        <f t="shared" si="2"/>
        <v>44958</v>
      </c>
      <c r="AA179">
        <f>(YEAR(Table1_1[[#This Row],[OrderMonth]])-YEAR(Table1_1[[#This Row],[Firstmonth]]))*12+(MONTH(Table1_1[[#This Row],[OrderMonth]])-MONTH(Table1_1[[#This Row],[Firstmonth]]))</f>
        <v>12</v>
      </c>
    </row>
    <row r="180" spans="1:27" x14ac:dyDescent="0.25">
      <c r="A180" s="11" t="s">
        <v>573</v>
      </c>
      <c r="B180" s="2">
        <v>45029</v>
      </c>
      <c r="C180" s="2">
        <v>45048</v>
      </c>
      <c r="D180" s="11" t="s">
        <v>1413</v>
      </c>
      <c r="E180">
        <v>19</v>
      </c>
      <c r="F180" s="11" t="s">
        <v>1473</v>
      </c>
      <c r="G180" s="11" t="s">
        <v>1452</v>
      </c>
      <c r="H180" s="11" t="s">
        <v>1492</v>
      </c>
      <c r="I180" s="11" t="s">
        <v>645</v>
      </c>
      <c r="J180" s="11" t="s">
        <v>651</v>
      </c>
      <c r="K180" s="11" t="s">
        <v>673</v>
      </c>
      <c r="L180" s="11" t="s">
        <v>1236</v>
      </c>
      <c r="M180" s="10">
        <v>15</v>
      </c>
      <c r="N180">
        <v>671.05</v>
      </c>
      <c r="O180" s="3">
        <v>1645.48</v>
      </c>
      <c r="P180" s="11" t="s">
        <v>1471</v>
      </c>
      <c r="Q180" s="4">
        <v>0.13700000000000001</v>
      </c>
      <c r="R180" s="3">
        <v>21300.738600000001</v>
      </c>
      <c r="S180" s="3">
        <v>10065.75</v>
      </c>
      <c r="T180" s="4">
        <v>0.52744596377517206</v>
      </c>
      <c r="U180" s="11" t="s">
        <v>659</v>
      </c>
      <c r="V180" s="3">
        <v>11234.988600000001</v>
      </c>
      <c r="W180" s="11" t="s">
        <v>1435</v>
      </c>
      <c r="X180" t="str">
        <f>TEXT(Table1_1[[#This Row],[OrderDate]],"mm yyyy")</f>
        <v>04 2023</v>
      </c>
      <c r="Y180" s="13">
        <f>DATE(YEAR(Table1_1[[#This Row],[OrderDate]]),MONTH(B180),1)</f>
        <v>45017</v>
      </c>
      <c r="Z180" s="2">
        <f t="shared" si="2"/>
        <v>44958</v>
      </c>
      <c r="AA180">
        <f>(YEAR(Table1_1[[#This Row],[OrderMonth]])-YEAR(Table1_1[[#This Row],[Firstmonth]]))*12+(MONTH(Table1_1[[#This Row],[OrderMonth]])-MONTH(Table1_1[[#This Row],[Firstmonth]]))</f>
        <v>2</v>
      </c>
    </row>
    <row r="181" spans="1:27" x14ac:dyDescent="0.25">
      <c r="A181" s="11" t="s">
        <v>305</v>
      </c>
      <c r="B181" s="2">
        <v>45809</v>
      </c>
      <c r="C181" s="2">
        <v>45835</v>
      </c>
      <c r="D181" s="11" t="s">
        <v>1413</v>
      </c>
      <c r="E181">
        <v>26</v>
      </c>
      <c r="F181" s="11" t="s">
        <v>1464</v>
      </c>
      <c r="G181" s="11" t="s">
        <v>1455</v>
      </c>
      <c r="H181" s="11" t="s">
        <v>1483</v>
      </c>
      <c r="I181" s="11" t="s">
        <v>645</v>
      </c>
      <c r="J181" s="11" t="s">
        <v>651</v>
      </c>
      <c r="K181" s="11" t="s">
        <v>672</v>
      </c>
      <c r="L181" s="11" t="s">
        <v>970</v>
      </c>
      <c r="M181" s="10">
        <v>13</v>
      </c>
      <c r="N181">
        <v>1362.31</v>
      </c>
      <c r="O181" s="3">
        <v>3294.57</v>
      </c>
      <c r="P181" s="11" t="s">
        <v>1471</v>
      </c>
      <c r="Q181" s="4">
        <v>0.113</v>
      </c>
      <c r="R181" s="3">
        <v>37989.686670000003</v>
      </c>
      <c r="S181" s="3">
        <v>17710.03</v>
      </c>
      <c r="T181" s="4">
        <v>0.53382005611577199</v>
      </c>
      <c r="U181" s="11" t="s">
        <v>659</v>
      </c>
      <c r="V181" s="3">
        <v>20279.656670000004</v>
      </c>
      <c r="W181" s="11" t="s">
        <v>1431</v>
      </c>
      <c r="X181" t="str">
        <f>TEXT(Table1_1[[#This Row],[OrderDate]],"mm yyyy")</f>
        <v>06 2025</v>
      </c>
      <c r="Y181" s="13">
        <f>DATE(YEAR(Table1_1[[#This Row],[OrderDate]]),MONTH(B181),1)</f>
        <v>45809</v>
      </c>
      <c r="Z181" s="2">
        <f t="shared" si="2"/>
        <v>44927</v>
      </c>
      <c r="AA181">
        <f>(YEAR(Table1_1[[#This Row],[OrderMonth]])-YEAR(Table1_1[[#This Row],[Firstmonth]]))*12+(MONTH(Table1_1[[#This Row],[OrderMonth]])-MONTH(Table1_1[[#This Row],[Firstmonth]]))</f>
        <v>29</v>
      </c>
    </row>
    <row r="182" spans="1:27" x14ac:dyDescent="0.25">
      <c r="A182" s="11" t="s">
        <v>270</v>
      </c>
      <c r="B182" s="2">
        <v>45066</v>
      </c>
      <c r="C182" s="2">
        <v>45084</v>
      </c>
      <c r="D182" s="11" t="s">
        <v>1413</v>
      </c>
      <c r="E182">
        <v>18</v>
      </c>
      <c r="F182" s="11" t="s">
        <v>1485</v>
      </c>
      <c r="G182" s="11" t="s">
        <v>1495</v>
      </c>
      <c r="H182" s="11" t="s">
        <v>1496</v>
      </c>
      <c r="I182" s="11" t="s">
        <v>647</v>
      </c>
      <c r="J182" s="11" t="s">
        <v>651</v>
      </c>
      <c r="K182" s="11" t="s">
        <v>668</v>
      </c>
      <c r="L182" s="11" t="s">
        <v>935</v>
      </c>
      <c r="M182" s="10">
        <v>4</v>
      </c>
      <c r="N182">
        <v>1120.06</v>
      </c>
      <c r="O182" s="3">
        <v>2068.21</v>
      </c>
      <c r="P182" s="11" t="s">
        <v>1471</v>
      </c>
      <c r="Q182" s="4">
        <v>7.8E-2</v>
      </c>
      <c r="R182" s="3">
        <v>7627.5584800000006</v>
      </c>
      <c r="S182" s="3">
        <v>4480.24</v>
      </c>
      <c r="T182" s="4">
        <v>0.41262462795303301</v>
      </c>
      <c r="U182" s="11" t="s">
        <v>659</v>
      </c>
      <c r="V182" s="3">
        <v>3147.3184800000008</v>
      </c>
      <c r="W182" s="11" t="s">
        <v>1435</v>
      </c>
      <c r="X182" t="str">
        <f>TEXT(Table1_1[[#This Row],[OrderDate]],"mm yyyy")</f>
        <v>05 2023</v>
      </c>
      <c r="Y182" s="13">
        <f>DATE(YEAR(Table1_1[[#This Row],[OrderDate]]),MONTH(B182),1)</f>
        <v>45047</v>
      </c>
      <c r="Z182" s="2">
        <f t="shared" si="2"/>
        <v>45047</v>
      </c>
      <c r="AA182">
        <f>(YEAR(Table1_1[[#This Row],[OrderMonth]])-YEAR(Table1_1[[#This Row],[Firstmonth]]))*12+(MONTH(Table1_1[[#This Row],[OrderMonth]])-MONTH(Table1_1[[#This Row],[Firstmonth]]))</f>
        <v>0</v>
      </c>
    </row>
    <row r="183" spans="1:27" x14ac:dyDescent="0.25">
      <c r="A183" s="11" t="s">
        <v>240</v>
      </c>
      <c r="B183" s="2">
        <v>45069</v>
      </c>
      <c r="C183" s="2">
        <v>45087</v>
      </c>
      <c r="D183" s="11" t="s">
        <v>1413</v>
      </c>
      <c r="E183">
        <v>18</v>
      </c>
      <c r="F183" s="11" t="s">
        <v>1476</v>
      </c>
      <c r="G183" s="11" t="s">
        <v>1457</v>
      </c>
      <c r="H183" s="11" t="s">
        <v>1511</v>
      </c>
      <c r="I183" s="11" t="s">
        <v>642</v>
      </c>
      <c r="J183" s="11" t="s">
        <v>651</v>
      </c>
      <c r="K183" s="11" t="s">
        <v>668</v>
      </c>
      <c r="L183" s="11" t="s">
        <v>905</v>
      </c>
      <c r="M183" s="10">
        <v>20</v>
      </c>
      <c r="N183">
        <v>54.62</v>
      </c>
      <c r="O183" s="3">
        <v>48.94</v>
      </c>
      <c r="P183" s="11" t="s">
        <v>1468</v>
      </c>
      <c r="Q183" s="4">
        <v>0.14799999999999999</v>
      </c>
      <c r="R183" s="3">
        <v>833.93759999999997</v>
      </c>
      <c r="S183" s="3">
        <v>1092.3999999999999</v>
      </c>
      <c r="T183" s="4">
        <v>-0.30993014345437803</v>
      </c>
      <c r="U183" s="11" t="s">
        <v>659</v>
      </c>
      <c r="V183" s="3">
        <v>-258.46239999999989</v>
      </c>
      <c r="W183" s="11" t="s">
        <v>1435</v>
      </c>
      <c r="X183" t="str">
        <f>TEXT(Table1_1[[#This Row],[OrderDate]],"mm yyyy")</f>
        <v>05 2023</v>
      </c>
      <c r="Y183" s="13">
        <f>DATE(YEAR(Table1_1[[#This Row],[OrderDate]]),MONTH(B183),1)</f>
        <v>45047</v>
      </c>
      <c r="Z183" s="2">
        <f t="shared" si="2"/>
        <v>44927</v>
      </c>
      <c r="AA183">
        <f>(YEAR(Table1_1[[#This Row],[OrderMonth]])-YEAR(Table1_1[[#This Row],[Firstmonth]]))*12+(MONTH(Table1_1[[#This Row],[OrderMonth]])-MONTH(Table1_1[[#This Row],[Firstmonth]]))</f>
        <v>4</v>
      </c>
    </row>
    <row r="184" spans="1:27" x14ac:dyDescent="0.25">
      <c r="A184" s="11" t="s">
        <v>375</v>
      </c>
      <c r="B184" s="2">
        <v>45737</v>
      </c>
      <c r="C184" s="2">
        <v>45756</v>
      </c>
      <c r="D184" s="11" t="s">
        <v>1413</v>
      </c>
      <c r="E184">
        <v>19</v>
      </c>
      <c r="F184" s="11" t="s">
        <v>1476</v>
      </c>
      <c r="G184" s="11" t="s">
        <v>1451</v>
      </c>
      <c r="H184" s="11" t="s">
        <v>1510</v>
      </c>
      <c r="I184" s="11" t="s">
        <v>646</v>
      </c>
      <c r="J184" s="11" t="s">
        <v>651</v>
      </c>
      <c r="K184" s="11" t="s">
        <v>668</v>
      </c>
      <c r="L184" s="11" t="s">
        <v>1040</v>
      </c>
      <c r="M184" s="10">
        <v>5</v>
      </c>
      <c r="N184">
        <v>1055.45</v>
      </c>
      <c r="O184" s="3">
        <v>1210.04</v>
      </c>
      <c r="P184" s="11" t="s">
        <v>1466</v>
      </c>
      <c r="Q184" s="4">
        <v>8.9999999999999993E-3</v>
      </c>
      <c r="R184" s="3">
        <v>5995.7482</v>
      </c>
      <c r="S184" s="3">
        <v>5277.25</v>
      </c>
      <c r="T184" s="4">
        <v>0.11983461880537299</v>
      </c>
      <c r="U184" s="11" t="s">
        <v>659</v>
      </c>
      <c r="V184" s="3">
        <v>718.4982</v>
      </c>
      <c r="W184" s="11" t="s">
        <v>1434</v>
      </c>
      <c r="X184" t="str">
        <f>TEXT(Table1_1[[#This Row],[OrderDate]],"mm yyyy")</f>
        <v>03 2025</v>
      </c>
      <c r="Y184" s="13">
        <f>DATE(YEAR(Table1_1[[#This Row],[OrderDate]]),MONTH(B184),1)</f>
        <v>45717</v>
      </c>
      <c r="Z184" s="2">
        <f t="shared" si="2"/>
        <v>44986</v>
      </c>
      <c r="AA184">
        <f>(YEAR(Table1_1[[#This Row],[OrderMonth]])-YEAR(Table1_1[[#This Row],[Firstmonth]]))*12+(MONTH(Table1_1[[#This Row],[OrderMonth]])-MONTH(Table1_1[[#This Row],[Firstmonth]]))</f>
        <v>24</v>
      </c>
    </row>
    <row r="185" spans="1:27" x14ac:dyDescent="0.25">
      <c r="A185" s="11" t="s">
        <v>104</v>
      </c>
      <c r="B185" s="2">
        <v>45569</v>
      </c>
      <c r="C185" s="2">
        <v>45598</v>
      </c>
      <c r="D185" s="11" t="s">
        <v>1413</v>
      </c>
      <c r="E185">
        <v>29</v>
      </c>
      <c r="F185" s="11" t="s">
        <v>1485</v>
      </c>
      <c r="G185" s="11" t="s">
        <v>1450</v>
      </c>
      <c r="H185" s="11" t="s">
        <v>1508</v>
      </c>
      <c r="I185" s="11" t="s">
        <v>642</v>
      </c>
      <c r="J185" s="11" t="s">
        <v>651</v>
      </c>
      <c r="K185" s="11" t="s">
        <v>674</v>
      </c>
      <c r="L185" s="11" t="s">
        <v>768</v>
      </c>
      <c r="M185" s="10">
        <v>7</v>
      </c>
      <c r="N185">
        <v>412.09</v>
      </c>
      <c r="O185" s="3">
        <v>968.94</v>
      </c>
      <c r="P185" s="11" t="s">
        <v>1466</v>
      </c>
      <c r="Q185" s="4">
        <v>9.9000000000000005E-2</v>
      </c>
      <c r="R185" s="3">
        <v>6111.1045800000002</v>
      </c>
      <c r="S185" s="3">
        <v>2884.6299999999997</v>
      </c>
      <c r="T185" s="4">
        <v>0.52796913189137396</v>
      </c>
      <c r="U185" s="11" t="s">
        <v>662</v>
      </c>
      <c r="V185" s="3">
        <v>3226.4745800000005</v>
      </c>
      <c r="W185" s="11" t="s">
        <v>1440</v>
      </c>
      <c r="X185" t="str">
        <f>TEXT(Table1_1[[#This Row],[OrderDate]],"mm yyyy")</f>
        <v>10 2024</v>
      </c>
      <c r="Y185" s="13">
        <f>DATE(YEAR(Table1_1[[#This Row],[OrderDate]]),MONTH(B185),1)</f>
        <v>45566</v>
      </c>
      <c r="Z185" s="2">
        <f t="shared" si="2"/>
        <v>44927</v>
      </c>
      <c r="AA185">
        <f>(YEAR(Table1_1[[#This Row],[OrderMonth]])-YEAR(Table1_1[[#This Row],[Firstmonth]]))*12+(MONTH(Table1_1[[#This Row],[OrderMonth]])-MONTH(Table1_1[[#This Row],[Firstmonth]]))</f>
        <v>21</v>
      </c>
    </row>
    <row r="186" spans="1:27" x14ac:dyDescent="0.25">
      <c r="A186" s="11" t="s">
        <v>162</v>
      </c>
      <c r="B186" s="2">
        <v>45110</v>
      </c>
      <c r="C186" s="2">
        <v>45130</v>
      </c>
      <c r="D186" s="11" t="s">
        <v>1413</v>
      </c>
      <c r="E186">
        <v>20</v>
      </c>
      <c r="F186" s="11" t="s">
        <v>1485</v>
      </c>
      <c r="G186" s="11" t="s">
        <v>1490</v>
      </c>
      <c r="H186" s="11" t="s">
        <v>1491</v>
      </c>
      <c r="I186" s="11" t="s">
        <v>646</v>
      </c>
      <c r="J186" s="11" t="s">
        <v>651</v>
      </c>
      <c r="K186" s="11" t="s">
        <v>672</v>
      </c>
      <c r="L186" s="11" t="s">
        <v>826</v>
      </c>
      <c r="M186" s="10">
        <v>23</v>
      </c>
      <c r="N186">
        <v>1001.96</v>
      </c>
      <c r="O186" s="3">
        <v>1254.95</v>
      </c>
      <c r="P186" s="11" t="s">
        <v>1466</v>
      </c>
      <c r="Q186" s="4">
        <v>4.4999999999999998E-2</v>
      </c>
      <c r="R186" s="3">
        <v>27564.976750000002</v>
      </c>
      <c r="S186" s="3">
        <v>23045.08</v>
      </c>
      <c r="T186" s="4">
        <v>0.16397244920585699</v>
      </c>
      <c r="U186" s="11" t="s">
        <v>662</v>
      </c>
      <c r="V186" s="3">
        <v>4519.8967499999999</v>
      </c>
      <c r="W186" s="11" t="s">
        <v>1430</v>
      </c>
      <c r="X186" t="str">
        <f>TEXT(Table1_1[[#This Row],[OrderDate]],"mm yyyy")</f>
        <v>07 2023</v>
      </c>
      <c r="Y186" s="13">
        <f>DATE(YEAR(Table1_1[[#This Row],[OrderDate]]),MONTH(B186),1)</f>
        <v>45108</v>
      </c>
      <c r="Z186" s="2">
        <f t="shared" si="2"/>
        <v>44958</v>
      </c>
      <c r="AA186">
        <f>(YEAR(Table1_1[[#This Row],[OrderMonth]])-YEAR(Table1_1[[#This Row],[Firstmonth]]))*12+(MONTH(Table1_1[[#This Row],[OrderMonth]])-MONTH(Table1_1[[#This Row],[Firstmonth]]))</f>
        <v>5</v>
      </c>
    </row>
    <row r="187" spans="1:27" x14ac:dyDescent="0.25">
      <c r="A187" s="11" t="s">
        <v>185</v>
      </c>
      <c r="B187" s="2">
        <v>45435</v>
      </c>
      <c r="C187" s="2">
        <v>45446</v>
      </c>
      <c r="D187" s="11" t="s">
        <v>1413</v>
      </c>
      <c r="E187">
        <v>11</v>
      </c>
      <c r="F187" s="11" t="s">
        <v>1485</v>
      </c>
      <c r="G187" s="11" t="s">
        <v>1490</v>
      </c>
      <c r="H187" s="11" t="s">
        <v>1491</v>
      </c>
      <c r="I187" s="11" t="s">
        <v>646</v>
      </c>
      <c r="J187" s="11" t="s">
        <v>651</v>
      </c>
      <c r="K187" s="11" t="s">
        <v>669</v>
      </c>
      <c r="L187" s="11" t="s">
        <v>849</v>
      </c>
      <c r="M187" s="10">
        <v>12</v>
      </c>
      <c r="N187">
        <v>180.89</v>
      </c>
      <c r="O187" s="3">
        <v>249.57</v>
      </c>
      <c r="P187" s="11" t="s">
        <v>1468</v>
      </c>
      <c r="Q187" s="4">
        <v>2.1999999999999999E-2</v>
      </c>
      <c r="R187" s="3">
        <v>2928.95352</v>
      </c>
      <c r="S187" s="3">
        <v>2170.6799999999998</v>
      </c>
      <c r="T187" s="4">
        <v>0.25888888806948401</v>
      </c>
      <c r="U187" s="11" t="s">
        <v>662</v>
      </c>
      <c r="V187" s="3">
        <v>758.27352000000019</v>
      </c>
      <c r="W187" s="11" t="s">
        <v>1436</v>
      </c>
      <c r="X187" t="str">
        <f>TEXT(Table1_1[[#This Row],[OrderDate]],"mm yyyy")</f>
        <v>05 2024</v>
      </c>
      <c r="Y187" s="13">
        <f>DATE(YEAR(Table1_1[[#This Row],[OrderDate]]),MONTH(B187),1)</f>
        <v>45413</v>
      </c>
      <c r="Z187" s="2">
        <f t="shared" si="2"/>
        <v>44958</v>
      </c>
      <c r="AA187">
        <f>(YEAR(Table1_1[[#This Row],[OrderMonth]])-YEAR(Table1_1[[#This Row],[Firstmonth]]))*12+(MONTH(Table1_1[[#This Row],[OrderMonth]])-MONTH(Table1_1[[#This Row],[Firstmonth]]))</f>
        <v>15</v>
      </c>
    </row>
    <row r="188" spans="1:27" x14ac:dyDescent="0.25">
      <c r="A188" s="11" t="s">
        <v>527</v>
      </c>
      <c r="B188" s="2">
        <v>45794</v>
      </c>
      <c r="C188" s="2">
        <v>45807</v>
      </c>
      <c r="D188" s="11" t="s">
        <v>1413</v>
      </c>
      <c r="E188">
        <v>13</v>
      </c>
      <c r="F188" s="11" t="s">
        <v>1485</v>
      </c>
      <c r="G188" s="11" t="s">
        <v>1450</v>
      </c>
      <c r="H188" s="11" t="s">
        <v>1514</v>
      </c>
      <c r="I188" s="11" t="s">
        <v>645</v>
      </c>
      <c r="J188" s="11" t="s">
        <v>651</v>
      </c>
      <c r="K188" s="11" t="s">
        <v>674</v>
      </c>
      <c r="L188" s="11" t="s">
        <v>1191</v>
      </c>
      <c r="M188" s="10">
        <v>6</v>
      </c>
      <c r="N188">
        <v>66.400000000000006</v>
      </c>
      <c r="O188" s="3">
        <v>141.43</v>
      </c>
      <c r="P188" s="11" t="s">
        <v>1468</v>
      </c>
      <c r="Q188" s="4">
        <v>0.107</v>
      </c>
      <c r="R188" s="3">
        <v>757.78194000000008</v>
      </c>
      <c r="S188" s="3">
        <v>398.40000000000003</v>
      </c>
      <c r="T188" s="4">
        <v>0.47425508715607601</v>
      </c>
      <c r="U188" s="11" t="s">
        <v>662</v>
      </c>
      <c r="V188" s="3">
        <v>359.38194000000004</v>
      </c>
      <c r="W188" s="11" t="s">
        <v>1431</v>
      </c>
      <c r="X188" t="str">
        <f>TEXT(Table1_1[[#This Row],[OrderDate]],"mm yyyy")</f>
        <v>05 2025</v>
      </c>
      <c r="Y188" s="13">
        <f>DATE(YEAR(Table1_1[[#This Row],[OrderDate]]),MONTH(B188),1)</f>
        <v>45778</v>
      </c>
      <c r="Z188" s="2">
        <f t="shared" si="2"/>
        <v>44927</v>
      </c>
      <c r="AA188">
        <f>(YEAR(Table1_1[[#This Row],[OrderMonth]])-YEAR(Table1_1[[#This Row],[Firstmonth]]))*12+(MONTH(Table1_1[[#This Row],[OrderMonth]])-MONTH(Table1_1[[#This Row],[Firstmonth]]))</f>
        <v>28</v>
      </c>
    </row>
    <row r="189" spans="1:27" x14ac:dyDescent="0.25">
      <c r="A189" s="11" t="s">
        <v>480</v>
      </c>
      <c r="B189" s="2">
        <v>45060</v>
      </c>
      <c r="C189" s="2">
        <v>45068</v>
      </c>
      <c r="D189" s="11" t="s">
        <v>1413</v>
      </c>
      <c r="E189">
        <v>8</v>
      </c>
      <c r="F189" s="11" t="s">
        <v>1485</v>
      </c>
      <c r="G189" s="11" t="s">
        <v>1449</v>
      </c>
      <c r="H189" s="11" t="s">
        <v>1503</v>
      </c>
      <c r="I189" s="11" t="s">
        <v>646</v>
      </c>
      <c r="J189" s="11" t="s">
        <v>651</v>
      </c>
      <c r="K189" s="11" t="s">
        <v>669</v>
      </c>
      <c r="L189" s="11" t="s">
        <v>1144</v>
      </c>
      <c r="M189" s="10">
        <v>25</v>
      </c>
      <c r="N189">
        <v>432.01</v>
      </c>
      <c r="O189" s="3">
        <v>913.78</v>
      </c>
      <c r="P189" s="11" t="s">
        <v>1466</v>
      </c>
      <c r="Q189" s="4">
        <v>4.9000000000000002E-2</v>
      </c>
      <c r="R189" s="3">
        <v>21725.119500000001</v>
      </c>
      <c r="S189" s="3">
        <v>10800.25</v>
      </c>
      <c r="T189" s="4">
        <v>0.50286809699711899</v>
      </c>
      <c r="U189" s="11" t="s">
        <v>662</v>
      </c>
      <c r="V189" s="3">
        <v>10924.869500000001</v>
      </c>
      <c r="W189" s="11" t="s">
        <v>1435</v>
      </c>
      <c r="X189" t="str">
        <f>TEXT(Table1_1[[#This Row],[OrderDate]],"mm yyyy")</f>
        <v>05 2023</v>
      </c>
      <c r="Y189" s="13">
        <f>DATE(YEAR(Table1_1[[#This Row],[OrderDate]]),MONTH(B189),1)</f>
        <v>45047</v>
      </c>
      <c r="Z189" s="2">
        <f t="shared" si="2"/>
        <v>44927</v>
      </c>
      <c r="AA189">
        <f>(YEAR(Table1_1[[#This Row],[OrderMonth]])-YEAR(Table1_1[[#This Row],[Firstmonth]]))*12+(MONTH(Table1_1[[#This Row],[OrderMonth]])-MONTH(Table1_1[[#This Row],[Firstmonth]]))</f>
        <v>4</v>
      </c>
    </row>
    <row r="190" spans="1:27" x14ac:dyDescent="0.25">
      <c r="A190" s="11" t="s">
        <v>135</v>
      </c>
      <c r="B190" s="2">
        <v>45159</v>
      </c>
      <c r="C190" s="2">
        <v>45173</v>
      </c>
      <c r="D190" s="11" t="s">
        <v>1413</v>
      </c>
      <c r="E190">
        <v>14</v>
      </c>
      <c r="F190" s="11" t="s">
        <v>1473</v>
      </c>
      <c r="G190" s="11" t="s">
        <v>1452</v>
      </c>
      <c r="H190" s="11" t="s">
        <v>1492</v>
      </c>
      <c r="I190" s="11" t="s">
        <v>643</v>
      </c>
      <c r="J190" s="11" t="s">
        <v>651</v>
      </c>
      <c r="K190" s="11" t="s">
        <v>668</v>
      </c>
      <c r="L190" s="11" t="s">
        <v>799</v>
      </c>
      <c r="M190" s="10">
        <v>14</v>
      </c>
      <c r="N190">
        <v>178.19</v>
      </c>
      <c r="O190" s="3">
        <v>284.43</v>
      </c>
      <c r="P190" s="11" t="s">
        <v>1468</v>
      </c>
      <c r="Q190" s="4">
        <v>8.8999999999999996E-2</v>
      </c>
      <c r="R190" s="3">
        <v>3627.6202200000002</v>
      </c>
      <c r="S190" s="3">
        <v>2494.66</v>
      </c>
      <c r="T190" s="4">
        <v>0.31231500302972698</v>
      </c>
      <c r="U190" s="11" t="s">
        <v>662</v>
      </c>
      <c r="V190" s="3">
        <v>1132.9602200000004</v>
      </c>
      <c r="W190" s="11" t="s">
        <v>1430</v>
      </c>
      <c r="X190" t="str">
        <f>TEXT(Table1_1[[#This Row],[OrderDate]],"mm yyyy")</f>
        <v>08 2023</v>
      </c>
      <c r="Y190" s="13">
        <f>DATE(YEAR(Table1_1[[#This Row],[OrderDate]]),MONTH(B190),1)</f>
        <v>45139</v>
      </c>
      <c r="Z190" s="2">
        <f t="shared" si="2"/>
        <v>44958</v>
      </c>
      <c r="AA190">
        <f>(YEAR(Table1_1[[#This Row],[OrderMonth]])-YEAR(Table1_1[[#This Row],[Firstmonth]]))*12+(MONTH(Table1_1[[#This Row],[OrderMonth]])-MONTH(Table1_1[[#This Row],[Firstmonth]]))</f>
        <v>6</v>
      </c>
    </row>
    <row r="191" spans="1:27" x14ac:dyDescent="0.25">
      <c r="A191" s="11" t="s">
        <v>22</v>
      </c>
      <c r="B191" s="2">
        <v>45660</v>
      </c>
      <c r="C191" s="2">
        <v>45680</v>
      </c>
      <c r="D191" s="11" t="s">
        <v>1413</v>
      </c>
      <c r="E191">
        <v>20</v>
      </c>
      <c r="F191" s="11" t="s">
        <v>1476</v>
      </c>
      <c r="G191" s="11" t="s">
        <v>1451</v>
      </c>
      <c r="H191" s="11" t="s">
        <v>1487</v>
      </c>
      <c r="I191" s="11" t="s">
        <v>642</v>
      </c>
      <c r="J191" s="11" t="s">
        <v>651</v>
      </c>
      <c r="K191" s="11" t="s">
        <v>671</v>
      </c>
      <c r="L191" s="11" t="s">
        <v>686</v>
      </c>
      <c r="M191" s="10">
        <v>7</v>
      </c>
      <c r="N191">
        <v>908.6</v>
      </c>
      <c r="O191" s="3">
        <v>691.37</v>
      </c>
      <c r="P191" s="11" t="s">
        <v>1468</v>
      </c>
      <c r="Q191" s="4">
        <v>0.25</v>
      </c>
      <c r="R191" s="3">
        <v>3629.6925000000001</v>
      </c>
      <c r="S191" s="3">
        <v>6360.2</v>
      </c>
      <c r="T191" s="4">
        <v>-0.75226964818645103</v>
      </c>
      <c r="U191" s="11" t="s">
        <v>662</v>
      </c>
      <c r="V191" s="3">
        <v>-2730.5074999999997</v>
      </c>
      <c r="W191" s="11" t="s">
        <v>1434</v>
      </c>
      <c r="X191" t="str">
        <f>TEXT(Table1_1[[#This Row],[OrderDate]],"mm yyyy")</f>
        <v>01 2025</v>
      </c>
      <c r="Y191" s="13">
        <f>DATE(YEAR(Table1_1[[#This Row],[OrderDate]]),MONTH(B191),1)</f>
        <v>45658</v>
      </c>
      <c r="Z191" s="2">
        <f t="shared" si="2"/>
        <v>44986</v>
      </c>
      <c r="AA191">
        <f>(YEAR(Table1_1[[#This Row],[OrderMonth]])-YEAR(Table1_1[[#This Row],[Firstmonth]]))*12+(MONTH(Table1_1[[#This Row],[OrderMonth]])-MONTH(Table1_1[[#This Row],[Firstmonth]]))</f>
        <v>22</v>
      </c>
    </row>
    <row r="192" spans="1:27" x14ac:dyDescent="0.25">
      <c r="A192" s="11" t="s">
        <v>629</v>
      </c>
      <c r="B192" s="2">
        <v>45578</v>
      </c>
      <c r="C192" s="2">
        <v>45589</v>
      </c>
      <c r="D192" s="11" t="s">
        <v>1413</v>
      </c>
      <c r="E192">
        <v>11</v>
      </c>
      <c r="F192" s="11" t="s">
        <v>1464</v>
      </c>
      <c r="G192" s="11" t="s">
        <v>1456</v>
      </c>
      <c r="H192" s="11" t="s">
        <v>1504</v>
      </c>
      <c r="I192" s="11" t="s">
        <v>643</v>
      </c>
      <c r="J192" s="11" t="s">
        <v>651</v>
      </c>
      <c r="K192" s="11" t="s">
        <v>668</v>
      </c>
      <c r="L192" s="11" t="s">
        <v>1292</v>
      </c>
      <c r="M192" s="10">
        <v>19</v>
      </c>
      <c r="N192">
        <v>816.7</v>
      </c>
      <c r="O192" s="3">
        <v>1010.75</v>
      </c>
      <c r="P192" s="11" t="s">
        <v>1466</v>
      </c>
      <c r="Q192" s="4">
        <v>4.7E-2</v>
      </c>
      <c r="R192" s="3">
        <v>18301.650249999999</v>
      </c>
      <c r="S192" s="3">
        <v>15517.300000000001</v>
      </c>
      <c r="T192" s="4">
        <v>0.152136567575375</v>
      </c>
      <c r="U192" s="11" t="s">
        <v>662</v>
      </c>
      <c r="V192" s="3">
        <v>2784.3502499999977</v>
      </c>
      <c r="W192" s="11" t="s">
        <v>1440</v>
      </c>
      <c r="X192" t="str">
        <f>TEXT(Table1_1[[#This Row],[OrderDate]],"mm yyyy")</f>
        <v>10 2024</v>
      </c>
      <c r="Y192" s="13">
        <f>DATE(YEAR(Table1_1[[#This Row],[OrderDate]]),MONTH(B192),1)</f>
        <v>45566</v>
      </c>
      <c r="Z192" s="2">
        <f t="shared" si="2"/>
        <v>44958</v>
      </c>
      <c r="AA192">
        <f>(YEAR(Table1_1[[#This Row],[OrderMonth]])-YEAR(Table1_1[[#This Row],[Firstmonth]]))*12+(MONTH(Table1_1[[#This Row],[OrderMonth]])-MONTH(Table1_1[[#This Row],[Firstmonth]]))</f>
        <v>20</v>
      </c>
    </row>
    <row r="193" spans="1:27" x14ac:dyDescent="0.25">
      <c r="A193" s="11" t="s">
        <v>389</v>
      </c>
      <c r="B193" s="2">
        <v>45694</v>
      </c>
      <c r="C193" s="2">
        <v>45703</v>
      </c>
      <c r="D193" s="11" t="s">
        <v>1413</v>
      </c>
      <c r="E193">
        <v>9</v>
      </c>
      <c r="F193" s="11" t="s">
        <v>1473</v>
      </c>
      <c r="G193" s="11" t="s">
        <v>1488</v>
      </c>
      <c r="H193" s="11" t="s">
        <v>1489</v>
      </c>
      <c r="I193" s="11" t="s">
        <v>644</v>
      </c>
      <c r="J193" s="11" t="s">
        <v>651</v>
      </c>
      <c r="K193" s="11" t="s">
        <v>670</v>
      </c>
      <c r="L193" s="11" t="s">
        <v>1054</v>
      </c>
      <c r="M193" s="10">
        <v>10</v>
      </c>
      <c r="N193">
        <v>837.39</v>
      </c>
      <c r="O193" s="3">
        <v>1905.42</v>
      </c>
      <c r="P193" s="11" t="s">
        <v>1471</v>
      </c>
      <c r="Q193" s="4">
        <v>3.2000000000000001E-2</v>
      </c>
      <c r="R193" s="3">
        <v>18444.4656</v>
      </c>
      <c r="S193" s="3">
        <v>8373.9</v>
      </c>
      <c r="T193" s="4">
        <v>0.54599389423350897</v>
      </c>
      <c r="U193" s="11" t="s">
        <v>662</v>
      </c>
      <c r="V193" s="3">
        <v>10070.5656</v>
      </c>
      <c r="W193" s="11" t="s">
        <v>1434</v>
      </c>
      <c r="X193" t="str">
        <f>TEXT(Table1_1[[#This Row],[OrderDate]],"mm yyyy")</f>
        <v>02 2025</v>
      </c>
      <c r="Y193" s="13">
        <f>DATE(YEAR(Table1_1[[#This Row],[OrderDate]]),MONTH(B193),1)</f>
        <v>45689</v>
      </c>
      <c r="Z193" s="2">
        <f t="shared" si="2"/>
        <v>44958</v>
      </c>
      <c r="AA193">
        <f>(YEAR(Table1_1[[#This Row],[OrderMonth]])-YEAR(Table1_1[[#This Row],[Firstmonth]]))*12+(MONTH(Table1_1[[#This Row],[OrderMonth]])-MONTH(Table1_1[[#This Row],[Firstmonth]]))</f>
        <v>24</v>
      </c>
    </row>
    <row r="194" spans="1:27" x14ac:dyDescent="0.25">
      <c r="A194" s="11" t="s">
        <v>598</v>
      </c>
      <c r="B194" s="2">
        <v>45459</v>
      </c>
      <c r="C194" s="2">
        <v>45464</v>
      </c>
      <c r="D194" s="11" t="s">
        <v>1413</v>
      </c>
      <c r="E194">
        <v>5</v>
      </c>
      <c r="F194" s="11" t="s">
        <v>1476</v>
      </c>
      <c r="G194" s="11" t="s">
        <v>1451</v>
      </c>
      <c r="H194" s="11" t="s">
        <v>1510</v>
      </c>
      <c r="I194" s="11" t="s">
        <v>646</v>
      </c>
      <c r="J194" s="11" t="s">
        <v>651</v>
      </c>
      <c r="K194" s="11" t="s">
        <v>671</v>
      </c>
      <c r="L194" s="11" t="s">
        <v>1261</v>
      </c>
      <c r="M194" s="10">
        <v>36</v>
      </c>
      <c r="N194">
        <v>1367.13</v>
      </c>
      <c r="O194" s="3">
        <v>3062.01</v>
      </c>
      <c r="P194" s="11" t="s">
        <v>1471</v>
      </c>
      <c r="Q194" s="4">
        <v>0.10299999999999999</v>
      </c>
      <c r="R194" s="3">
        <v>98878.426920000013</v>
      </c>
      <c r="S194" s="3">
        <v>49216.680000000008</v>
      </c>
      <c r="T194" s="4">
        <v>0.50225057645971705</v>
      </c>
      <c r="U194" s="11" t="s">
        <v>662</v>
      </c>
      <c r="V194" s="3">
        <v>49661.746920000005</v>
      </c>
      <c r="W194" s="11" t="s">
        <v>1436</v>
      </c>
      <c r="X194" t="str">
        <f>TEXT(Table1_1[[#This Row],[OrderDate]],"mm yyyy")</f>
        <v>06 2024</v>
      </c>
      <c r="Y194" s="13">
        <f>DATE(YEAR(Table1_1[[#This Row],[OrderDate]]),MONTH(B194),1)</f>
        <v>45444</v>
      </c>
      <c r="Z194" s="2">
        <f t="shared" ref="Z194:Z257" si="3">_xlfn.MINIFS(Y194:Y825,G194:G825,G194)</f>
        <v>44986</v>
      </c>
      <c r="AA194">
        <f>(YEAR(Table1_1[[#This Row],[OrderMonth]])-YEAR(Table1_1[[#This Row],[Firstmonth]]))*12+(MONTH(Table1_1[[#This Row],[OrderMonth]])-MONTH(Table1_1[[#This Row],[Firstmonth]]))</f>
        <v>15</v>
      </c>
    </row>
    <row r="195" spans="1:27" x14ac:dyDescent="0.25">
      <c r="A195" s="11" t="s">
        <v>385</v>
      </c>
      <c r="B195" s="2">
        <v>45354</v>
      </c>
      <c r="C195" s="2">
        <v>45370</v>
      </c>
      <c r="D195" s="11" t="s">
        <v>1413</v>
      </c>
      <c r="E195">
        <v>16</v>
      </c>
      <c r="F195" s="11" t="s">
        <v>1476</v>
      </c>
      <c r="G195" s="11" t="s">
        <v>1457</v>
      </c>
      <c r="H195" s="11" t="s">
        <v>1477</v>
      </c>
      <c r="I195" s="11" t="s">
        <v>645</v>
      </c>
      <c r="J195" s="11" t="s">
        <v>651</v>
      </c>
      <c r="K195" s="11" t="s">
        <v>671</v>
      </c>
      <c r="L195" s="11" t="s">
        <v>1050</v>
      </c>
      <c r="M195" s="10">
        <v>6</v>
      </c>
      <c r="N195">
        <v>988.83</v>
      </c>
      <c r="O195" s="3">
        <v>1206.04</v>
      </c>
      <c r="P195" s="11" t="s">
        <v>1466</v>
      </c>
      <c r="Q195" s="4">
        <v>6.3E-2</v>
      </c>
      <c r="R195" s="3">
        <v>6780.3568800000003</v>
      </c>
      <c r="S195" s="3">
        <v>5932.9800000000005</v>
      </c>
      <c r="T195" s="4">
        <v>0.124975262364066</v>
      </c>
      <c r="U195" s="11" t="s">
        <v>656</v>
      </c>
      <c r="V195" s="3">
        <v>847.3768799999998</v>
      </c>
      <c r="W195" s="11" t="s">
        <v>1433</v>
      </c>
      <c r="X195" t="str">
        <f>TEXT(Table1_1[[#This Row],[OrderDate]],"mm yyyy")</f>
        <v>03 2024</v>
      </c>
      <c r="Y195" s="13">
        <f>DATE(YEAR(Table1_1[[#This Row],[OrderDate]]),MONTH(B195),1)</f>
        <v>45352</v>
      </c>
      <c r="Z195" s="2">
        <f t="shared" si="3"/>
        <v>44927</v>
      </c>
      <c r="AA195">
        <f>(YEAR(Table1_1[[#This Row],[OrderMonth]])-YEAR(Table1_1[[#This Row],[Firstmonth]]))*12+(MONTH(Table1_1[[#This Row],[OrderMonth]])-MONTH(Table1_1[[#This Row],[Firstmonth]]))</f>
        <v>14</v>
      </c>
    </row>
    <row r="196" spans="1:27" x14ac:dyDescent="0.25">
      <c r="A196" s="11" t="s">
        <v>41</v>
      </c>
      <c r="B196" s="2">
        <v>45653</v>
      </c>
      <c r="C196" s="2">
        <v>45672</v>
      </c>
      <c r="D196" s="11" t="s">
        <v>1413</v>
      </c>
      <c r="E196">
        <v>19</v>
      </c>
      <c r="F196" s="11" t="s">
        <v>1476</v>
      </c>
      <c r="G196" s="11" t="s">
        <v>1453</v>
      </c>
      <c r="H196" s="11" t="s">
        <v>1479</v>
      </c>
      <c r="I196" s="11" t="s">
        <v>644</v>
      </c>
      <c r="J196" s="11" t="s">
        <v>651</v>
      </c>
      <c r="K196" s="11" t="s">
        <v>668</v>
      </c>
      <c r="L196" s="11" t="s">
        <v>705</v>
      </c>
      <c r="M196" s="10">
        <v>12</v>
      </c>
      <c r="N196">
        <v>495.59</v>
      </c>
      <c r="O196" s="3">
        <v>631.78</v>
      </c>
      <c r="P196" s="11" t="s">
        <v>1468</v>
      </c>
      <c r="Q196" s="4">
        <v>8.6999999999999994E-2</v>
      </c>
      <c r="R196" s="3">
        <v>6921.7816800000001</v>
      </c>
      <c r="S196" s="3">
        <v>5947.08</v>
      </c>
      <c r="T196" s="4">
        <v>0.14081658813601899</v>
      </c>
      <c r="U196" s="11" t="s">
        <v>656</v>
      </c>
      <c r="V196" s="3">
        <v>974.70168000000012</v>
      </c>
      <c r="W196" s="11" t="s">
        <v>1440</v>
      </c>
      <c r="X196" t="str">
        <f>TEXT(Table1_1[[#This Row],[OrderDate]],"mm yyyy")</f>
        <v>12 2024</v>
      </c>
      <c r="Y196" s="13">
        <f>DATE(YEAR(Table1_1[[#This Row],[OrderDate]]),MONTH(B196),1)</f>
        <v>45627</v>
      </c>
      <c r="Z196" s="2">
        <f t="shared" si="3"/>
        <v>44927</v>
      </c>
      <c r="AA196">
        <f>(YEAR(Table1_1[[#This Row],[OrderMonth]])-YEAR(Table1_1[[#This Row],[Firstmonth]]))*12+(MONTH(Table1_1[[#This Row],[OrderMonth]])-MONTH(Table1_1[[#This Row],[Firstmonth]]))</f>
        <v>23</v>
      </c>
    </row>
    <row r="197" spans="1:27" x14ac:dyDescent="0.25">
      <c r="A197" s="11" t="s">
        <v>316</v>
      </c>
      <c r="B197" s="2">
        <v>45741</v>
      </c>
      <c r="C197" s="2">
        <v>45742</v>
      </c>
      <c r="D197" s="11" t="s">
        <v>1413</v>
      </c>
      <c r="E197">
        <v>1</v>
      </c>
      <c r="F197" s="11" t="s">
        <v>1485</v>
      </c>
      <c r="G197" s="11" t="s">
        <v>1450</v>
      </c>
      <c r="H197" s="11" t="s">
        <v>1514</v>
      </c>
      <c r="I197" s="11" t="s">
        <v>643</v>
      </c>
      <c r="J197" s="11" t="s">
        <v>651</v>
      </c>
      <c r="K197" s="11" t="s">
        <v>674</v>
      </c>
      <c r="L197" s="11" t="s">
        <v>981</v>
      </c>
      <c r="M197" s="10">
        <v>19</v>
      </c>
      <c r="N197">
        <v>1450.43</v>
      </c>
      <c r="O197" s="3">
        <v>1994.67</v>
      </c>
      <c r="P197" s="11" t="s">
        <v>1471</v>
      </c>
      <c r="Q197" s="4">
        <v>0.1</v>
      </c>
      <c r="R197" s="3">
        <v>34108.857000000004</v>
      </c>
      <c r="S197" s="3">
        <v>27558.170000000002</v>
      </c>
      <c r="T197" s="4">
        <v>0.192052375135291</v>
      </c>
      <c r="U197" s="11" t="s">
        <v>656</v>
      </c>
      <c r="V197" s="3">
        <v>6550.6870000000017</v>
      </c>
      <c r="W197" s="11" t="s">
        <v>1434</v>
      </c>
      <c r="X197" t="str">
        <f>TEXT(Table1_1[[#This Row],[OrderDate]],"mm yyyy")</f>
        <v>03 2025</v>
      </c>
      <c r="Y197" s="13">
        <f>DATE(YEAR(Table1_1[[#This Row],[OrderDate]]),MONTH(B197),1)</f>
        <v>45717</v>
      </c>
      <c r="Z197" s="2">
        <f t="shared" si="3"/>
        <v>44927</v>
      </c>
      <c r="AA197">
        <f>(YEAR(Table1_1[[#This Row],[OrderMonth]])-YEAR(Table1_1[[#This Row],[Firstmonth]]))*12+(MONTH(Table1_1[[#This Row],[OrderMonth]])-MONTH(Table1_1[[#This Row],[Firstmonth]]))</f>
        <v>26</v>
      </c>
    </row>
    <row r="198" spans="1:27" x14ac:dyDescent="0.25">
      <c r="A198" s="11" t="s">
        <v>461</v>
      </c>
      <c r="B198" s="2">
        <v>44945</v>
      </c>
      <c r="C198" s="2">
        <v>44960</v>
      </c>
      <c r="D198" s="11" t="s">
        <v>1413</v>
      </c>
      <c r="E198">
        <v>15</v>
      </c>
      <c r="F198" s="11" t="s">
        <v>1464</v>
      </c>
      <c r="G198" s="11" t="s">
        <v>1469</v>
      </c>
      <c r="H198" s="11" t="s">
        <v>1470</v>
      </c>
      <c r="I198" s="11" t="s">
        <v>647</v>
      </c>
      <c r="J198" s="11" t="s">
        <v>651</v>
      </c>
      <c r="K198" s="11" t="s">
        <v>674</v>
      </c>
      <c r="L198" s="11" t="s">
        <v>1125</v>
      </c>
      <c r="M198" s="10">
        <v>17</v>
      </c>
      <c r="N198">
        <v>873.06</v>
      </c>
      <c r="O198" s="3">
        <v>2101.5500000000002</v>
      </c>
      <c r="P198" s="11" t="s">
        <v>1471</v>
      </c>
      <c r="Q198" s="4">
        <v>6.6000000000000003E-2</v>
      </c>
      <c r="R198" s="3">
        <v>33368.410900000003</v>
      </c>
      <c r="S198" s="3">
        <v>14842.019999999999</v>
      </c>
      <c r="T198" s="4">
        <v>0.55520746719167302</v>
      </c>
      <c r="U198" s="11" t="s">
        <v>656</v>
      </c>
      <c r="V198" s="3">
        <v>18526.390900000006</v>
      </c>
      <c r="W198" s="11" t="s">
        <v>1432</v>
      </c>
      <c r="X198" t="str">
        <f>TEXT(Table1_1[[#This Row],[OrderDate]],"mm yyyy")</f>
        <v>01 2023</v>
      </c>
      <c r="Y198" s="13">
        <f>DATE(YEAR(Table1_1[[#This Row],[OrderDate]]),MONTH(B198),1)</f>
        <v>44927</v>
      </c>
      <c r="Z198" s="2">
        <f t="shared" si="3"/>
        <v>44927</v>
      </c>
      <c r="AA198">
        <f>(YEAR(Table1_1[[#This Row],[OrderMonth]])-YEAR(Table1_1[[#This Row],[Firstmonth]]))*12+(MONTH(Table1_1[[#This Row],[OrderMonth]])-MONTH(Table1_1[[#This Row],[Firstmonth]]))</f>
        <v>0</v>
      </c>
    </row>
    <row r="199" spans="1:27" x14ac:dyDescent="0.25">
      <c r="A199" s="11" t="s">
        <v>325</v>
      </c>
      <c r="B199" s="2">
        <v>45809</v>
      </c>
      <c r="C199" s="2">
        <v>45814</v>
      </c>
      <c r="D199" s="11" t="s">
        <v>1413</v>
      </c>
      <c r="E199">
        <v>5</v>
      </c>
      <c r="F199" s="11" t="s">
        <v>1464</v>
      </c>
      <c r="G199" s="11" t="s">
        <v>1456</v>
      </c>
      <c r="H199" s="11" t="s">
        <v>1504</v>
      </c>
      <c r="I199" s="11" t="s">
        <v>645</v>
      </c>
      <c r="J199" s="11" t="s">
        <v>651</v>
      </c>
      <c r="K199" s="11" t="s">
        <v>668</v>
      </c>
      <c r="L199" s="11" t="s">
        <v>990</v>
      </c>
      <c r="M199" s="10">
        <v>14</v>
      </c>
      <c r="N199">
        <v>379.45</v>
      </c>
      <c r="O199" s="3">
        <v>742.23</v>
      </c>
      <c r="P199" s="11" t="s">
        <v>1468</v>
      </c>
      <c r="Q199" s="4">
        <v>0.09</v>
      </c>
      <c r="R199" s="3">
        <v>9456.0102000000006</v>
      </c>
      <c r="S199" s="3">
        <v>5312.3</v>
      </c>
      <c r="T199" s="4">
        <v>0.43820915083192302</v>
      </c>
      <c r="U199" s="11" t="s">
        <v>656</v>
      </c>
      <c r="V199" s="3">
        <v>4143.7102000000004</v>
      </c>
      <c r="W199" s="11" t="s">
        <v>1431</v>
      </c>
      <c r="X199" t="str">
        <f>TEXT(Table1_1[[#This Row],[OrderDate]],"mm yyyy")</f>
        <v>06 2025</v>
      </c>
      <c r="Y199" s="13">
        <f>DATE(YEAR(Table1_1[[#This Row],[OrderDate]]),MONTH(B199),1)</f>
        <v>45809</v>
      </c>
      <c r="Z199" s="2">
        <f t="shared" si="3"/>
        <v>44958</v>
      </c>
      <c r="AA199">
        <f>(YEAR(Table1_1[[#This Row],[OrderMonth]])-YEAR(Table1_1[[#This Row],[Firstmonth]]))*12+(MONTH(Table1_1[[#This Row],[OrderMonth]])-MONTH(Table1_1[[#This Row],[Firstmonth]]))</f>
        <v>28</v>
      </c>
    </row>
    <row r="200" spans="1:27" x14ac:dyDescent="0.25">
      <c r="A200" s="11" t="s">
        <v>621</v>
      </c>
      <c r="B200" s="2">
        <v>45323</v>
      </c>
      <c r="C200" s="2">
        <v>45323</v>
      </c>
      <c r="D200" s="11" t="s">
        <v>1413</v>
      </c>
      <c r="E200">
        <v>0</v>
      </c>
      <c r="F200" s="11" t="s">
        <v>1473</v>
      </c>
      <c r="G200" s="11" t="s">
        <v>1458</v>
      </c>
      <c r="H200" s="11" t="s">
        <v>1500</v>
      </c>
      <c r="I200" s="11" t="s">
        <v>645</v>
      </c>
      <c r="J200" s="11" t="s">
        <v>651</v>
      </c>
      <c r="K200" s="11" t="s">
        <v>669</v>
      </c>
      <c r="L200" s="11" t="s">
        <v>1284</v>
      </c>
      <c r="M200" s="10">
        <v>7</v>
      </c>
      <c r="N200">
        <v>714.43</v>
      </c>
      <c r="O200" s="3">
        <v>1595.52</v>
      </c>
      <c r="P200" s="11" t="s">
        <v>1466</v>
      </c>
      <c r="Q200" s="4">
        <v>0.19400000000000001</v>
      </c>
      <c r="R200" s="3">
        <v>9001.9238399999995</v>
      </c>
      <c r="S200" s="3">
        <v>5001.0099999999993</v>
      </c>
      <c r="T200" s="4">
        <v>0.44445097638151099</v>
      </c>
      <c r="U200" s="11" t="s">
        <v>663</v>
      </c>
      <c r="V200" s="3">
        <v>4000.9138400000002</v>
      </c>
      <c r="W200" s="11" t="s">
        <v>1433</v>
      </c>
      <c r="X200" t="str">
        <f>TEXT(Table1_1[[#This Row],[OrderDate]],"mm yyyy")</f>
        <v>02 2024</v>
      </c>
      <c r="Y200" s="13">
        <f>DATE(YEAR(Table1_1[[#This Row],[OrderDate]]),MONTH(B200),1)</f>
        <v>45323</v>
      </c>
      <c r="Z200" s="2">
        <f t="shared" si="3"/>
        <v>44958</v>
      </c>
      <c r="AA200">
        <f>(YEAR(Table1_1[[#This Row],[OrderMonth]])-YEAR(Table1_1[[#This Row],[Firstmonth]]))*12+(MONTH(Table1_1[[#This Row],[OrderMonth]])-MONTH(Table1_1[[#This Row],[Firstmonth]]))</f>
        <v>12</v>
      </c>
    </row>
    <row r="201" spans="1:27" x14ac:dyDescent="0.25">
      <c r="A201" s="11" t="s">
        <v>340</v>
      </c>
      <c r="B201" s="2">
        <v>45668</v>
      </c>
      <c r="C201" s="2">
        <v>45680</v>
      </c>
      <c r="D201" s="11" t="s">
        <v>1413</v>
      </c>
      <c r="E201">
        <v>12</v>
      </c>
      <c r="F201" s="11" t="s">
        <v>1473</v>
      </c>
      <c r="G201" s="11" t="s">
        <v>1458</v>
      </c>
      <c r="H201" s="11" t="s">
        <v>1500</v>
      </c>
      <c r="I201" s="11" t="s">
        <v>645</v>
      </c>
      <c r="J201" s="11" t="s">
        <v>651</v>
      </c>
      <c r="K201" s="11" t="s">
        <v>671</v>
      </c>
      <c r="L201" s="11" t="s">
        <v>1005</v>
      </c>
      <c r="M201" s="10">
        <v>25</v>
      </c>
      <c r="N201">
        <v>100.69</v>
      </c>
      <c r="O201" s="3">
        <v>226.14</v>
      </c>
      <c r="P201" s="11" t="s">
        <v>1468</v>
      </c>
      <c r="Q201" s="4">
        <v>6.5000000000000002E-2</v>
      </c>
      <c r="R201" s="3">
        <v>5286.0225</v>
      </c>
      <c r="S201" s="3">
        <v>2517.25</v>
      </c>
      <c r="T201" s="4">
        <v>0.523791281629997</v>
      </c>
      <c r="U201" s="11" t="s">
        <v>663</v>
      </c>
      <c r="V201" s="3">
        <v>2768.7725</v>
      </c>
      <c r="W201" s="11" t="s">
        <v>1434</v>
      </c>
      <c r="X201" t="str">
        <f>TEXT(Table1_1[[#This Row],[OrderDate]],"mm yyyy")</f>
        <v>01 2025</v>
      </c>
      <c r="Y201" s="13">
        <f>DATE(YEAR(Table1_1[[#This Row],[OrderDate]]),MONTH(B201),1)</f>
        <v>45658</v>
      </c>
      <c r="Z201" s="2">
        <f t="shared" si="3"/>
        <v>44958</v>
      </c>
      <c r="AA201">
        <f>(YEAR(Table1_1[[#This Row],[OrderMonth]])-YEAR(Table1_1[[#This Row],[Firstmonth]]))*12+(MONTH(Table1_1[[#This Row],[OrderMonth]])-MONTH(Table1_1[[#This Row],[Firstmonth]]))</f>
        <v>23</v>
      </c>
    </row>
    <row r="202" spans="1:27" x14ac:dyDescent="0.25">
      <c r="A202" s="11" t="s">
        <v>324</v>
      </c>
      <c r="B202" s="2">
        <v>45451</v>
      </c>
      <c r="C202" s="2">
        <v>45467</v>
      </c>
      <c r="D202" s="11" t="s">
        <v>1413</v>
      </c>
      <c r="E202">
        <v>16</v>
      </c>
      <c r="F202" s="11" t="s">
        <v>1485</v>
      </c>
      <c r="G202" s="11" t="s">
        <v>1490</v>
      </c>
      <c r="H202" s="11" t="s">
        <v>1515</v>
      </c>
      <c r="I202" s="11" t="s">
        <v>643</v>
      </c>
      <c r="J202" s="11" t="s">
        <v>651</v>
      </c>
      <c r="K202" s="11" t="s">
        <v>673</v>
      </c>
      <c r="L202" s="11" t="s">
        <v>989</v>
      </c>
      <c r="M202" s="10">
        <v>18</v>
      </c>
      <c r="N202">
        <v>597.85</v>
      </c>
      <c r="O202" s="3">
        <v>741.92</v>
      </c>
      <c r="P202" s="11" t="s">
        <v>1468</v>
      </c>
      <c r="Q202" s="4">
        <v>3.1E-2</v>
      </c>
      <c r="R202" s="3">
        <v>12940.56864</v>
      </c>
      <c r="S202" s="3">
        <v>10761.300000000001</v>
      </c>
      <c r="T202" s="4">
        <v>0.16840594108544499</v>
      </c>
      <c r="U202" s="11" t="s">
        <v>663</v>
      </c>
      <c r="V202" s="3">
        <v>2179.2686399999984</v>
      </c>
      <c r="W202" s="11" t="s">
        <v>1436</v>
      </c>
      <c r="X202" t="str">
        <f>TEXT(Table1_1[[#This Row],[OrderDate]],"mm yyyy")</f>
        <v>06 2024</v>
      </c>
      <c r="Y202" s="13">
        <f>DATE(YEAR(Table1_1[[#This Row],[OrderDate]]),MONTH(B202),1)</f>
        <v>45444</v>
      </c>
      <c r="Z202" s="2">
        <f t="shared" si="3"/>
        <v>44958</v>
      </c>
      <c r="AA202">
        <f>(YEAR(Table1_1[[#This Row],[OrderMonth]])-YEAR(Table1_1[[#This Row],[Firstmonth]]))*12+(MONTH(Table1_1[[#This Row],[OrderMonth]])-MONTH(Table1_1[[#This Row],[Firstmonth]]))</f>
        <v>16</v>
      </c>
    </row>
    <row r="203" spans="1:27" x14ac:dyDescent="0.25">
      <c r="A203" s="11" t="s">
        <v>315</v>
      </c>
      <c r="B203" s="2">
        <v>45756</v>
      </c>
      <c r="C203" s="2">
        <v>45759</v>
      </c>
      <c r="D203" s="11" t="s">
        <v>1413</v>
      </c>
      <c r="E203">
        <v>3</v>
      </c>
      <c r="F203" s="11" t="s">
        <v>1464</v>
      </c>
      <c r="G203" s="11" t="s">
        <v>1456</v>
      </c>
      <c r="H203" s="11" t="s">
        <v>1481</v>
      </c>
      <c r="I203" s="11" t="s">
        <v>646</v>
      </c>
      <c r="J203" s="11" t="s">
        <v>651</v>
      </c>
      <c r="K203" s="11" t="s">
        <v>673</v>
      </c>
      <c r="L203" s="11" t="s">
        <v>980</v>
      </c>
      <c r="M203" s="10">
        <v>10</v>
      </c>
      <c r="N203">
        <v>86.68</v>
      </c>
      <c r="O203" s="3">
        <v>213.32</v>
      </c>
      <c r="P203" s="11" t="s">
        <v>1468</v>
      </c>
      <c r="Q203" s="4">
        <v>3.7999999999999999E-2</v>
      </c>
      <c r="R203" s="3">
        <v>2052.1383999999998</v>
      </c>
      <c r="S203" s="3">
        <v>866.80000000000007</v>
      </c>
      <c r="T203" s="4">
        <v>0.577611334596146</v>
      </c>
      <c r="U203" s="11" t="s">
        <v>663</v>
      </c>
      <c r="V203" s="3">
        <v>1185.3383999999996</v>
      </c>
      <c r="W203" s="11" t="s">
        <v>1431</v>
      </c>
      <c r="X203" t="str">
        <f>TEXT(Table1_1[[#This Row],[OrderDate]],"mm yyyy")</f>
        <v>04 2025</v>
      </c>
      <c r="Y203" s="13">
        <f>DATE(YEAR(Table1_1[[#This Row],[OrderDate]]),MONTH(B203),1)</f>
        <v>45748</v>
      </c>
      <c r="Z203" s="2">
        <f t="shared" si="3"/>
        <v>44958</v>
      </c>
      <c r="AA203">
        <f>(YEAR(Table1_1[[#This Row],[OrderMonth]])-YEAR(Table1_1[[#This Row],[Firstmonth]]))*12+(MONTH(Table1_1[[#This Row],[OrderMonth]])-MONTH(Table1_1[[#This Row],[Firstmonth]]))</f>
        <v>26</v>
      </c>
    </row>
    <row r="204" spans="1:27" x14ac:dyDescent="0.25">
      <c r="A204" s="11" t="s">
        <v>202</v>
      </c>
      <c r="B204" s="2">
        <v>45516</v>
      </c>
      <c r="C204" s="2">
        <v>45538</v>
      </c>
      <c r="D204" s="11" t="s">
        <v>1413</v>
      </c>
      <c r="E204">
        <v>22</v>
      </c>
      <c r="F204" s="11" t="s">
        <v>1473</v>
      </c>
      <c r="G204" s="11" t="s">
        <v>1458</v>
      </c>
      <c r="H204" s="11" t="s">
        <v>1500</v>
      </c>
      <c r="I204" s="11" t="s">
        <v>645</v>
      </c>
      <c r="J204" s="11" t="s">
        <v>651</v>
      </c>
      <c r="K204" s="11" t="s">
        <v>672</v>
      </c>
      <c r="L204" s="11" t="s">
        <v>867</v>
      </c>
      <c r="M204" s="10">
        <v>26</v>
      </c>
      <c r="N204">
        <v>797.8</v>
      </c>
      <c r="O204" s="3">
        <v>886.22</v>
      </c>
      <c r="P204" s="11" t="s">
        <v>1466</v>
      </c>
      <c r="Q204" s="4">
        <v>0.23599999999999999</v>
      </c>
      <c r="R204" s="3">
        <v>17603.874080000001</v>
      </c>
      <c r="S204" s="3">
        <v>20742.8</v>
      </c>
      <c r="T204" s="4">
        <v>-0.17830881462428599</v>
      </c>
      <c r="U204" s="11" t="s">
        <v>655</v>
      </c>
      <c r="V204" s="3">
        <v>-3138.9259199999979</v>
      </c>
      <c r="W204" s="11" t="s">
        <v>1437</v>
      </c>
      <c r="X204" t="str">
        <f>TEXT(Table1_1[[#This Row],[OrderDate]],"mm yyyy")</f>
        <v>08 2024</v>
      </c>
      <c r="Y204" s="13">
        <f>DATE(YEAR(Table1_1[[#This Row],[OrderDate]]),MONTH(B204),1)</f>
        <v>45505</v>
      </c>
      <c r="Z204" s="2">
        <f t="shared" si="3"/>
        <v>44958</v>
      </c>
      <c r="AA204">
        <f>(YEAR(Table1_1[[#This Row],[OrderMonth]])-YEAR(Table1_1[[#This Row],[Firstmonth]]))*12+(MONTH(Table1_1[[#This Row],[OrderMonth]])-MONTH(Table1_1[[#This Row],[Firstmonth]]))</f>
        <v>18</v>
      </c>
    </row>
    <row r="205" spans="1:27" x14ac:dyDescent="0.25">
      <c r="A205" s="11" t="s">
        <v>106</v>
      </c>
      <c r="B205" s="2">
        <v>45022</v>
      </c>
      <c r="C205" s="2">
        <v>45043</v>
      </c>
      <c r="D205" s="11" t="s">
        <v>1413</v>
      </c>
      <c r="E205">
        <v>21</v>
      </c>
      <c r="F205" s="11" t="s">
        <v>1464</v>
      </c>
      <c r="G205" s="11" t="s">
        <v>1469</v>
      </c>
      <c r="H205" s="11" t="s">
        <v>1482</v>
      </c>
      <c r="I205" s="11" t="s">
        <v>647</v>
      </c>
      <c r="J205" s="11" t="s">
        <v>651</v>
      </c>
      <c r="K205" s="11" t="s">
        <v>669</v>
      </c>
      <c r="L205" s="11" t="s">
        <v>770</v>
      </c>
      <c r="M205" s="10">
        <v>41</v>
      </c>
      <c r="N205">
        <v>1084.79</v>
      </c>
      <c r="O205" s="3">
        <v>2484.9899999999998</v>
      </c>
      <c r="P205" s="11" t="s">
        <v>1471</v>
      </c>
      <c r="Q205" s="4">
        <v>3.4000000000000002E-2</v>
      </c>
      <c r="R205" s="3">
        <v>98420.51393999999</v>
      </c>
      <c r="S205" s="3">
        <v>44476.39</v>
      </c>
      <c r="T205" s="4">
        <v>0.54809837685755103</v>
      </c>
      <c r="U205" s="11" t="s">
        <v>655</v>
      </c>
      <c r="V205" s="3">
        <v>53944.12393999999</v>
      </c>
      <c r="W205" s="11" t="s">
        <v>1435</v>
      </c>
      <c r="X205" t="str">
        <f>TEXT(Table1_1[[#This Row],[OrderDate]],"mm yyyy")</f>
        <v>04 2023</v>
      </c>
      <c r="Y205" s="13">
        <f>DATE(YEAR(Table1_1[[#This Row],[OrderDate]]),MONTH(B205),1)</f>
        <v>45017</v>
      </c>
      <c r="Z205" s="2">
        <f t="shared" si="3"/>
        <v>44927</v>
      </c>
      <c r="AA205">
        <f>(YEAR(Table1_1[[#This Row],[OrderMonth]])-YEAR(Table1_1[[#This Row],[Firstmonth]]))*12+(MONTH(Table1_1[[#This Row],[OrderMonth]])-MONTH(Table1_1[[#This Row],[Firstmonth]]))</f>
        <v>3</v>
      </c>
    </row>
    <row r="206" spans="1:27" x14ac:dyDescent="0.25">
      <c r="A206" s="11" t="s">
        <v>261</v>
      </c>
      <c r="B206" s="2">
        <v>44989</v>
      </c>
      <c r="C206" s="2">
        <v>45009</v>
      </c>
      <c r="D206" s="11" t="s">
        <v>1413</v>
      </c>
      <c r="E206">
        <v>20</v>
      </c>
      <c r="F206" s="11" t="s">
        <v>1473</v>
      </c>
      <c r="G206" s="11" t="s">
        <v>1452</v>
      </c>
      <c r="H206" s="11" t="s">
        <v>1492</v>
      </c>
      <c r="I206" s="11" t="s">
        <v>645</v>
      </c>
      <c r="J206" s="11" t="s">
        <v>651</v>
      </c>
      <c r="K206" s="11" t="s">
        <v>672</v>
      </c>
      <c r="L206" s="11" t="s">
        <v>926</v>
      </c>
      <c r="M206" s="10">
        <v>12</v>
      </c>
      <c r="N206">
        <v>481.71</v>
      </c>
      <c r="O206" s="3">
        <v>912.45</v>
      </c>
      <c r="P206" s="11" t="s">
        <v>1466</v>
      </c>
      <c r="Q206" s="4">
        <v>0.20300000000000001</v>
      </c>
      <c r="R206" s="3">
        <v>8726.6718000000001</v>
      </c>
      <c r="S206" s="3">
        <v>5780.5199999999995</v>
      </c>
      <c r="T206" s="4">
        <v>0.337603139836197</v>
      </c>
      <c r="U206" s="11" t="s">
        <v>655</v>
      </c>
      <c r="V206" s="3">
        <v>2946.1518000000005</v>
      </c>
      <c r="W206" s="11" t="s">
        <v>1432</v>
      </c>
      <c r="X206" t="str">
        <f>TEXT(Table1_1[[#This Row],[OrderDate]],"mm yyyy")</f>
        <v>03 2023</v>
      </c>
      <c r="Y206" s="13">
        <f>DATE(YEAR(Table1_1[[#This Row],[OrderDate]]),MONTH(B206),1)</f>
        <v>44986</v>
      </c>
      <c r="Z206" s="2">
        <f t="shared" si="3"/>
        <v>44958</v>
      </c>
      <c r="AA206">
        <f>(YEAR(Table1_1[[#This Row],[OrderMonth]])-YEAR(Table1_1[[#This Row],[Firstmonth]]))*12+(MONTH(Table1_1[[#This Row],[OrderMonth]])-MONTH(Table1_1[[#This Row],[Firstmonth]]))</f>
        <v>1</v>
      </c>
    </row>
    <row r="207" spans="1:27" x14ac:dyDescent="0.25">
      <c r="A207" s="11" t="s">
        <v>174</v>
      </c>
      <c r="B207" s="2">
        <v>45010</v>
      </c>
      <c r="C207" s="2">
        <v>45011</v>
      </c>
      <c r="D207" s="11" t="s">
        <v>1413</v>
      </c>
      <c r="E207">
        <v>1</v>
      </c>
      <c r="F207" s="11" t="s">
        <v>1476</v>
      </c>
      <c r="G207" s="11" t="s">
        <v>1451</v>
      </c>
      <c r="H207" s="11" t="s">
        <v>1487</v>
      </c>
      <c r="I207" s="11" t="s">
        <v>646</v>
      </c>
      <c r="J207" s="11" t="s">
        <v>651</v>
      </c>
      <c r="K207" s="11" t="s">
        <v>673</v>
      </c>
      <c r="L207" s="11" t="s">
        <v>838</v>
      </c>
      <c r="M207" s="10">
        <v>11</v>
      </c>
      <c r="N207">
        <v>135.12</v>
      </c>
      <c r="O207" s="3">
        <v>301.7</v>
      </c>
      <c r="P207" s="11" t="s">
        <v>1468</v>
      </c>
      <c r="Q207" s="4">
        <v>0.14000000000000001</v>
      </c>
      <c r="R207" s="3">
        <v>2854.0819999999999</v>
      </c>
      <c r="S207" s="3">
        <v>1486.3200000000002</v>
      </c>
      <c r="T207" s="4">
        <v>0.47923009920527898</v>
      </c>
      <c r="U207" s="11" t="s">
        <v>655</v>
      </c>
      <c r="V207" s="3">
        <v>1367.7619999999997</v>
      </c>
      <c r="W207" s="11" t="s">
        <v>1432</v>
      </c>
      <c r="X207" t="str">
        <f>TEXT(Table1_1[[#This Row],[OrderDate]],"mm yyyy")</f>
        <v>03 2023</v>
      </c>
      <c r="Y207" s="13">
        <f>DATE(YEAR(Table1_1[[#This Row],[OrderDate]]),MONTH(B207),1)</f>
        <v>44986</v>
      </c>
      <c r="Z207" s="2">
        <f t="shared" si="3"/>
        <v>44986</v>
      </c>
      <c r="AA207">
        <f>(YEAR(Table1_1[[#This Row],[OrderMonth]])-YEAR(Table1_1[[#This Row],[Firstmonth]]))*12+(MONTH(Table1_1[[#This Row],[OrderMonth]])-MONTH(Table1_1[[#This Row],[Firstmonth]]))</f>
        <v>0</v>
      </c>
    </row>
    <row r="208" spans="1:27" x14ac:dyDescent="0.25">
      <c r="A208" s="11" t="s">
        <v>348</v>
      </c>
      <c r="B208" s="2">
        <v>45132</v>
      </c>
      <c r="C208" s="2">
        <v>45148</v>
      </c>
      <c r="D208" s="11" t="s">
        <v>1413</v>
      </c>
      <c r="E208">
        <v>16</v>
      </c>
      <c r="F208" s="11" t="s">
        <v>1485</v>
      </c>
      <c r="G208" s="11" t="s">
        <v>1495</v>
      </c>
      <c r="H208" s="11" t="s">
        <v>1496</v>
      </c>
      <c r="I208" s="11" t="s">
        <v>642</v>
      </c>
      <c r="J208" s="11" t="s">
        <v>651</v>
      </c>
      <c r="K208" s="11" t="s">
        <v>674</v>
      </c>
      <c r="L208" s="11" t="s">
        <v>1013</v>
      </c>
      <c r="M208" s="10">
        <v>37</v>
      </c>
      <c r="N208">
        <v>506.83</v>
      </c>
      <c r="O208" s="3">
        <v>441.74</v>
      </c>
      <c r="P208" s="11" t="s">
        <v>1468</v>
      </c>
      <c r="Q208" s="4">
        <v>0.24</v>
      </c>
      <c r="R208" s="3">
        <v>12421.728800000001</v>
      </c>
      <c r="S208" s="3">
        <v>18752.71</v>
      </c>
      <c r="T208" s="4">
        <v>-0.50966989393618001</v>
      </c>
      <c r="U208" s="11" t="s">
        <v>655</v>
      </c>
      <c r="V208" s="3">
        <v>-6330.9811999999984</v>
      </c>
      <c r="W208" s="11" t="s">
        <v>1430</v>
      </c>
      <c r="X208" t="str">
        <f>TEXT(Table1_1[[#This Row],[OrderDate]],"mm yyyy")</f>
        <v>07 2023</v>
      </c>
      <c r="Y208" s="13">
        <f>DATE(YEAR(Table1_1[[#This Row],[OrderDate]]),MONTH(B208),1)</f>
        <v>45108</v>
      </c>
      <c r="Z208" s="2">
        <f t="shared" si="3"/>
        <v>45047</v>
      </c>
      <c r="AA208">
        <f>(YEAR(Table1_1[[#This Row],[OrderMonth]])-YEAR(Table1_1[[#This Row],[Firstmonth]]))*12+(MONTH(Table1_1[[#This Row],[OrderMonth]])-MONTH(Table1_1[[#This Row],[Firstmonth]]))</f>
        <v>2</v>
      </c>
    </row>
    <row r="209" spans="1:27" x14ac:dyDescent="0.25">
      <c r="A209" s="11" t="s">
        <v>517</v>
      </c>
      <c r="B209" s="2">
        <v>45589</v>
      </c>
      <c r="C209" s="2">
        <v>45593</v>
      </c>
      <c r="D209" s="11" t="s">
        <v>1413</v>
      </c>
      <c r="E209">
        <v>4</v>
      </c>
      <c r="F209" s="11" t="s">
        <v>1476</v>
      </c>
      <c r="G209" s="11" t="s">
        <v>1457</v>
      </c>
      <c r="H209" s="11" t="s">
        <v>1511</v>
      </c>
      <c r="I209" s="11" t="s">
        <v>646</v>
      </c>
      <c r="J209" s="11" t="s">
        <v>651</v>
      </c>
      <c r="K209" s="11" t="s">
        <v>670</v>
      </c>
      <c r="L209" s="11" t="s">
        <v>1181</v>
      </c>
      <c r="M209" s="10">
        <v>13</v>
      </c>
      <c r="N209">
        <v>1331.77</v>
      </c>
      <c r="O209" s="3">
        <v>2606.11</v>
      </c>
      <c r="P209" s="11" t="s">
        <v>1471</v>
      </c>
      <c r="Q209" s="4">
        <v>0.02</v>
      </c>
      <c r="R209" s="3">
        <v>33201.841399999998</v>
      </c>
      <c r="S209" s="3">
        <v>17313.009999999998</v>
      </c>
      <c r="T209" s="4">
        <v>0.47855271665745602</v>
      </c>
      <c r="U209" s="11" t="s">
        <v>655</v>
      </c>
      <c r="V209" s="3">
        <v>15888.831399999999</v>
      </c>
      <c r="W209" s="11" t="s">
        <v>1440</v>
      </c>
      <c r="X209" t="str">
        <f>TEXT(Table1_1[[#This Row],[OrderDate]],"mm yyyy")</f>
        <v>10 2024</v>
      </c>
      <c r="Y209" s="13">
        <f>DATE(YEAR(Table1_1[[#This Row],[OrderDate]]),MONTH(B209),1)</f>
        <v>45566</v>
      </c>
      <c r="Z209" s="2">
        <f t="shared" si="3"/>
        <v>44927</v>
      </c>
      <c r="AA209">
        <f>(YEAR(Table1_1[[#This Row],[OrderMonth]])-YEAR(Table1_1[[#This Row],[Firstmonth]]))*12+(MONTH(Table1_1[[#This Row],[OrderMonth]])-MONTH(Table1_1[[#This Row],[Firstmonth]]))</f>
        <v>21</v>
      </c>
    </row>
    <row r="210" spans="1:27" x14ac:dyDescent="0.25">
      <c r="A210" s="11" t="s">
        <v>130</v>
      </c>
      <c r="B210" s="2">
        <v>45847</v>
      </c>
      <c r="C210" s="2">
        <v>45856</v>
      </c>
      <c r="D210" s="11" t="s">
        <v>1413</v>
      </c>
      <c r="E210">
        <v>9</v>
      </c>
      <c r="F210" s="11" t="s">
        <v>1473</v>
      </c>
      <c r="G210" s="11" t="s">
        <v>1452</v>
      </c>
      <c r="H210" s="11" t="s">
        <v>1475</v>
      </c>
      <c r="I210" s="11" t="s">
        <v>643</v>
      </c>
      <c r="J210" s="11" t="s">
        <v>651</v>
      </c>
      <c r="K210" s="11" t="s">
        <v>672</v>
      </c>
      <c r="L210" s="11" t="s">
        <v>794</v>
      </c>
      <c r="M210" s="10">
        <v>11</v>
      </c>
      <c r="N210">
        <v>57.96</v>
      </c>
      <c r="O210" s="3">
        <v>88.51</v>
      </c>
      <c r="P210" s="11" t="s">
        <v>1468</v>
      </c>
      <c r="Q210" s="4">
        <v>4.2999999999999997E-2</v>
      </c>
      <c r="R210" s="3">
        <v>931.74477000000002</v>
      </c>
      <c r="S210" s="3">
        <v>637.56000000000006</v>
      </c>
      <c r="T210" s="4">
        <v>0.31573535958779803</v>
      </c>
      <c r="U210" s="11" t="s">
        <v>655</v>
      </c>
      <c r="V210" s="3">
        <v>294.18476999999996</v>
      </c>
      <c r="W210" s="11" t="s">
        <v>1438</v>
      </c>
      <c r="X210" t="str">
        <f>TEXT(Table1_1[[#This Row],[OrderDate]],"mm yyyy")</f>
        <v>07 2025</v>
      </c>
      <c r="Y210" s="13">
        <f>DATE(YEAR(Table1_1[[#This Row],[OrderDate]]),MONTH(B210),1)</f>
        <v>45839</v>
      </c>
      <c r="Z210" s="2">
        <f t="shared" si="3"/>
        <v>44958</v>
      </c>
      <c r="AA210">
        <f>(YEAR(Table1_1[[#This Row],[OrderMonth]])-YEAR(Table1_1[[#This Row],[Firstmonth]]))*12+(MONTH(Table1_1[[#This Row],[OrderMonth]])-MONTH(Table1_1[[#This Row],[Firstmonth]]))</f>
        <v>29</v>
      </c>
    </row>
    <row r="211" spans="1:27" x14ac:dyDescent="0.25">
      <c r="A211" s="11" t="s">
        <v>442</v>
      </c>
      <c r="B211" s="2">
        <v>45220</v>
      </c>
      <c r="C211" s="2">
        <v>45220</v>
      </c>
      <c r="D211" s="11" t="s">
        <v>1413</v>
      </c>
      <c r="E211">
        <v>0</v>
      </c>
      <c r="F211" s="11" t="s">
        <v>1464</v>
      </c>
      <c r="G211" s="11" t="s">
        <v>1469</v>
      </c>
      <c r="H211" s="11" t="s">
        <v>1482</v>
      </c>
      <c r="I211" s="11" t="s">
        <v>647</v>
      </c>
      <c r="J211" s="11" t="s">
        <v>651</v>
      </c>
      <c r="K211" s="11" t="s">
        <v>673</v>
      </c>
      <c r="L211" s="11" t="s">
        <v>1106</v>
      </c>
      <c r="M211" s="10">
        <v>10</v>
      </c>
      <c r="N211">
        <v>384.19</v>
      </c>
      <c r="O211" s="3">
        <v>278.35000000000002</v>
      </c>
      <c r="P211" s="11" t="s">
        <v>1468</v>
      </c>
      <c r="Q211" s="4">
        <v>5.6000000000000001E-2</v>
      </c>
      <c r="R211" s="3">
        <v>2627.6239999999998</v>
      </c>
      <c r="S211" s="3">
        <v>3841.9</v>
      </c>
      <c r="T211" s="4">
        <v>-0.46211938998882701</v>
      </c>
      <c r="U211" s="11" t="s">
        <v>654</v>
      </c>
      <c r="V211" s="3">
        <v>-1214.2760000000003</v>
      </c>
      <c r="W211" s="11" t="s">
        <v>1439</v>
      </c>
      <c r="X211" t="str">
        <f>TEXT(Table1_1[[#This Row],[OrderDate]],"mm yyyy")</f>
        <v>10 2023</v>
      </c>
      <c r="Y211" s="13">
        <f>DATE(YEAR(Table1_1[[#This Row],[OrderDate]]),MONTH(B211),1)</f>
        <v>45200</v>
      </c>
      <c r="Z211" s="2">
        <f t="shared" si="3"/>
        <v>44927</v>
      </c>
      <c r="AA211">
        <f>(YEAR(Table1_1[[#This Row],[OrderMonth]])-YEAR(Table1_1[[#This Row],[Firstmonth]]))*12+(MONTH(Table1_1[[#This Row],[OrderMonth]])-MONTH(Table1_1[[#This Row],[Firstmonth]]))</f>
        <v>9</v>
      </c>
    </row>
    <row r="212" spans="1:27" x14ac:dyDescent="0.25">
      <c r="A212" s="11" t="s">
        <v>180</v>
      </c>
      <c r="B212" s="2">
        <v>45574</v>
      </c>
      <c r="C212" s="2">
        <v>45604</v>
      </c>
      <c r="D212" s="11" t="s">
        <v>1413</v>
      </c>
      <c r="E212">
        <v>30</v>
      </c>
      <c r="F212" s="11" t="s">
        <v>1464</v>
      </c>
      <c r="G212" s="11" t="s">
        <v>1469</v>
      </c>
      <c r="H212" s="11" t="s">
        <v>1482</v>
      </c>
      <c r="I212" s="11" t="s">
        <v>646</v>
      </c>
      <c r="J212" s="11" t="s">
        <v>651</v>
      </c>
      <c r="K212" s="11" t="s">
        <v>668</v>
      </c>
      <c r="L212" s="11" t="s">
        <v>844</v>
      </c>
      <c r="M212" s="10">
        <v>9</v>
      </c>
      <c r="N212">
        <v>343.85</v>
      </c>
      <c r="O212" s="3">
        <v>538.04</v>
      </c>
      <c r="P212" s="11" t="s">
        <v>1468</v>
      </c>
      <c r="Q212" s="4">
        <v>0.13900000000000001</v>
      </c>
      <c r="R212" s="3">
        <v>4169.27196</v>
      </c>
      <c r="S212" s="3">
        <v>3094.65</v>
      </c>
      <c r="T212" s="4">
        <v>0.25774810813732602</v>
      </c>
      <c r="U212" s="11" t="s">
        <v>654</v>
      </c>
      <c r="V212" s="3">
        <v>1074.6219599999999</v>
      </c>
      <c r="W212" s="11" t="s">
        <v>1440</v>
      </c>
      <c r="X212" t="str">
        <f>TEXT(Table1_1[[#This Row],[OrderDate]],"mm yyyy")</f>
        <v>10 2024</v>
      </c>
      <c r="Y212" s="13">
        <f>DATE(YEAR(Table1_1[[#This Row],[OrderDate]]),MONTH(B212),1)</f>
        <v>45566</v>
      </c>
      <c r="Z212" s="2">
        <f t="shared" si="3"/>
        <v>44927</v>
      </c>
      <c r="AA212">
        <f>(YEAR(Table1_1[[#This Row],[OrderMonth]])-YEAR(Table1_1[[#This Row],[Firstmonth]]))*12+(MONTH(Table1_1[[#This Row],[OrderMonth]])-MONTH(Table1_1[[#This Row],[Firstmonth]]))</f>
        <v>21</v>
      </c>
    </row>
    <row r="213" spans="1:27" x14ac:dyDescent="0.25">
      <c r="A213" s="11" t="s">
        <v>157</v>
      </c>
      <c r="B213" s="2">
        <v>45911</v>
      </c>
      <c r="C213" s="2">
        <v>45928</v>
      </c>
      <c r="D213" s="11" t="s">
        <v>1413</v>
      </c>
      <c r="E213">
        <v>17</v>
      </c>
      <c r="F213" s="11" t="s">
        <v>1485</v>
      </c>
      <c r="G213" s="11" t="s">
        <v>1449</v>
      </c>
      <c r="H213" s="11" t="s">
        <v>1486</v>
      </c>
      <c r="I213" s="11" t="s">
        <v>644</v>
      </c>
      <c r="J213" s="11" t="s">
        <v>651</v>
      </c>
      <c r="K213" s="11" t="s">
        <v>672</v>
      </c>
      <c r="L213" s="11" t="s">
        <v>821</v>
      </c>
      <c r="M213" s="10">
        <v>15</v>
      </c>
      <c r="N213">
        <v>891.46</v>
      </c>
      <c r="O213" s="3">
        <v>728.61</v>
      </c>
      <c r="P213" s="11" t="s">
        <v>1468</v>
      </c>
      <c r="Q213" s="4">
        <v>0.185</v>
      </c>
      <c r="R213" s="3">
        <v>8907.2572499999987</v>
      </c>
      <c r="S213" s="3">
        <v>13371.900000000001</v>
      </c>
      <c r="T213" s="4">
        <v>-0.501236533838742</v>
      </c>
      <c r="U213" s="11" t="s">
        <v>654</v>
      </c>
      <c r="V213" s="3">
        <v>-4464.6427500000027</v>
      </c>
      <c r="W213" s="11" t="s">
        <v>1438</v>
      </c>
      <c r="X213" t="str">
        <f>TEXT(Table1_1[[#This Row],[OrderDate]],"mm yyyy")</f>
        <v>09 2025</v>
      </c>
      <c r="Y213" s="13">
        <f>DATE(YEAR(Table1_1[[#This Row],[OrderDate]]),MONTH(B213),1)</f>
        <v>45901</v>
      </c>
      <c r="Z213" s="2">
        <f t="shared" si="3"/>
        <v>44927</v>
      </c>
      <c r="AA213">
        <f>(YEAR(Table1_1[[#This Row],[OrderMonth]])-YEAR(Table1_1[[#This Row],[Firstmonth]]))*12+(MONTH(Table1_1[[#This Row],[OrderMonth]])-MONTH(Table1_1[[#This Row],[Firstmonth]]))</f>
        <v>32</v>
      </c>
    </row>
    <row r="214" spans="1:27" x14ac:dyDescent="0.25">
      <c r="A214" s="11" t="s">
        <v>235</v>
      </c>
      <c r="B214" s="2">
        <v>45279</v>
      </c>
      <c r="C214" s="2">
        <v>45280</v>
      </c>
      <c r="D214" s="11" t="s">
        <v>1413</v>
      </c>
      <c r="E214">
        <v>1</v>
      </c>
      <c r="F214" s="11" t="s">
        <v>1473</v>
      </c>
      <c r="G214" s="11" t="s">
        <v>1505</v>
      </c>
      <c r="H214" s="11" t="s">
        <v>1506</v>
      </c>
      <c r="I214" s="11" t="s">
        <v>645</v>
      </c>
      <c r="J214" s="11" t="s">
        <v>651</v>
      </c>
      <c r="K214" s="11" t="s">
        <v>671</v>
      </c>
      <c r="L214" s="11" t="s">
        <v>900</v>
      </c>
      <c r="M214" s="10">
        <v>6</v>
      </c>
      <c r="N214">
        <v>1080.43</v>
      </c>
      <c r="O214" s="3">
        <v>2529.15</v>
      </c>
      <c r="P214" s="11" t="s">
        <v>1471</v>
      </c>
      <c r="Q214" s="4">
        <v>0.14699999999999999</v>
      </c>
      <c r="R214" s="3">
        <v>12944.189700000001</v>
      </c>
      <c r="S214" s="3">
        <v>6482.58</v>
      </c>
      <c r="T214" s="4">
        <v>0.49918997247081398</v>
      </c>
      <c r="U214" s="11" t="s">
        <v>654</v>
      </c>
      <c r="V214" s="3">
        <v>6461.6097000000009</v>
      </c>
      <c r="W214" s="11" t="s">
        <v>1439</v>
      </c>
      <c r="X214" t="str">
        <f>TEXT(Table1_1[[#This Row],[OrderDate]],"mm yyyy")</f>
        <v>12 2023</v>
      </c>
      <c r="Y214" s="13">
        <f>DATE(YEAR(Table1_1[[#This Row],[OrderDate]]),MONTH(B214),1)</f>
        <v>45261</v>
      </c>
      <c r="Z214" s="2">
        <f t="shared" si="3"/>
        <v>45017</v>
      </c>
      <c r="AA214">
        <f>(YEAR(Table1_1[[#This Row],[OrderMonth]])-YEAR(Table1_1[[#This Row],[Firstmonth]]))*12+(MONTH(Table1_1[[#This Row],[OrderMonth]])-MONTH(Table1_1[[#This Row],[Firstmonth]]))</f>
        <v>8</v>
      </c>
    </row>
    <row r="215" spans="1:27" x14ac:dyDescent="0.25">
      <c r="A215" s="11" t="s">
        <v>364</v>
      </c>
      <c r="B215" s="2">
        <v>45603</v>
      </c>
      <c r="C215" s="2">
        <v>45622</v>
      </c>
      <c r="D215" s="11" t="s">
        <v>1413</v>
      </c>
      <c r="E215">
        <v>19</v>
      </c>
      <c r="F215" s="11" t="s">
        <v>1473</v>
      </c>
      <c r="G215" s="11" t="s">
        <v>1505</v>
      </c>
      <c r="H215" s="11" t="s">
        <v>1506</v>
      </c>
      <c r="I215" s="11" t="s">
        <v>644</v>
      </c>
      <c r="J215" s="11" t="s">
        <v>651</v>
      </c>
      <c r="K215" s="11" t="s">
        <v>669</v>
      </c>
      <c r="L215" s="11" t="s">
        <v>1029</v>
      </c>
      <c r="M215" s="10">
        <v>9</v>
      </c>
      <c r="N215">
        <v>55.35</v>
      </c>
      <c r="O215" s="3">
        <v>128.68</v>
      </c>
      <c r="P215" s="11" t="s">
        <v>1468</v>
      </c>
      <c r="Q215" s="4">
        <v>0.128</v>
      </c>
      <c r="R215" s="3">
        <v>1009.8806400000001</v>
      </c>
      <c r="S215" s="3">
        <v>498.15000000000003</v>
      </c>
      <c r="T215" s="4">
        <v>0.50672388372550603</v>
      </c>
      <c r="U215" s="11" t="s">
        <v>654</v>
      </c>
      <c r="V215" s="3">
        <v>511.73064000000005</v>
      </c>
      <c r="W215" s="11" t="s">
        <v>1440</v>
      </c>
      <c r="X215" t="str">
        <f>TEXT(Table1_1[[#This Row],[OrderDate]],"mm yyyy")</f>
        <v>11 2024</v>
      </c>
      <c r="Y215" s="13">
        <f>DATE(YEAR(Table1_1[[#This Row],[OrderDate]]),MONTH(B215),1)</f>
        <v>45597</v>
      </c>
      <c r="Z215" s="2">
        <f t="shared" si="3"/>
        <v>45017</v>
      </c>
      <c r="AA215">
        <f>(YEAR(Table1_1[[#This Row],[OrderMonth]])-YEAR(Table1_1[[#This Row],[Firstmonth]]))*12+(MONTH(Table1_1[[#This Row],[OrderMonth]])-MONTH(Table1_1[[#This Row],[Firstmonth]]))</f>
        <v>19</v>
      </c>
    </row>
    <row r="216" spans="1:27" x14ac:dyDescent="0.25">
      <c r="A216" s="11" t="s">
        <v>203</v>
      </c>
      <c r="B216" s="2">
        <v>45214</v>
      </c>
      <c r="C216" s="2">
        <v>45243</v>
      </c>
      <c r="D216" s="11" t="s">
        <v>1413</v>
      </c>
      <c r="E216">
        <v>29</v>
      </c>
      <c r="F216" s="11" t="s">
        <v>1476</v>
      </c>
      <c r="G216" s="11" t="s">
        <v>1457</v>
      </c>
      <c r="H216" s="11" t="s">
        <v>1513</v>
      </c>
      <c r="I216" s="11" t="s">
        <v>644</v>
      </c>
      <c r="J216" s="11" t="s">
        <v>651</v>
      </c>
      <c r="K216" s="11" t="s">
        <v>669</v>
      </c>
      <c r="L216" s="11" t="s">
        <v>868</v>
      </c>
      <c r="M216" s="10">
        <v>12</v>
      </c>
      <c r="N216">
        <v>986.44</v>
      </c>
      <c r="O216" s="3">
        <v>790.61</v>
      </c>
      <c r="P216" s="11" t="s">
        <v>1468</v>
      </c>
      <c r="Q216" s="4">
        <v>7.1999999999999995E-2</v>
      </c>
      <c r="R216" s="3">
        <v>8804.2329599999994</v>
      </c>
      <c r="S216" s="3">
        <v>11837.28</v>
      </c>
      <c r="T216" s="4">
        <v>-0.34449872621271499</v>
      </c>
      <c r="U216" s="11" t="s">
        <v>654</v>
      </c>
      <c r="V216" s="3">
        <v>-3033.0470400000013</v>
      </c>
      <c r="W216" s="11" t="s">
        <v>1439</v>
      </c>
      <c r="X216" t="str">
        <f>TEXT(Table1_1[[#This Row],[OrderDate]],"mm yyyy")</f>
        <v>10 2023</v>
      </c>
      <c r="Y216" s="13">
        <f>DATE(YEAR(Table1_1[[#This Row],[OrderDate]]),MONTH(B216),1)</f>
        <v>45200</v>
      </c>
      <c r="Z216" s="2">
        <f t="shared" si="3"/>
        <v>44927</v>
      </c>
      <c r="AA216">
        <f>(YEAR(Table1_1[[#This Row],[OrderMonth]])-YEAR(Table1_1[[#This Row],[Firstmonth]]))*12+(MONTH(Table1_1[[#This Row],[OrderMonth]])-MONTH(Table1_1[[#This Row],[Firstmonth]]))</f>
        <v>9</v>
      </c>
    </row>
    <row r="217" spans="1:27" x14ac:dyDescent="0.25">
      <c r="A217" s="11" t="s">
        <v>512</v>
      </c>
      <c r="B217" s="2">
        <v>44980</v>
      </c>
      <c r="C217" s="2">
        <v>45003</v>
      </c>
      <c r="D217" s="11" t="s">
        <v>1413</v>
      </c>
      <c r="E217">
        <v>23</v>
      </c>
      <c r="F217" s="11" t="s">
        <v>1476</v>
      </c>
      <c r="G217" s="11" t="s">
        <v>1457</v>
      </c>
      <c r="H217" s="11" t="s">
        <v>1477</v>
      </c>
      <c r="I217" s="11" t="s">
        <v>643</v>
      </c>
      <c r="J217" s="11" t="s">
        <v>651</v>
      </c>
      <c r="K217" s="11" t="s">
        <v>669</v>
      </c>
      <c r="L217" s="11" t="s">
        <v>1176</v>
      </c>
      <c r="M217" s="10">
        <v>60</v>
      </c>
      <c r="N217">
        <v>770.11</v>
      </c>
      <c r="O217" s="3">
        <v>1667.82</v>
      </c>
      <c r="P217" s="11" t="s">
        <v>1471</v>
      </c>
      <c r="Q217" s="4">
        <v>6.9000000000000006E-2</v>
      </c>
      <c r="R217" s="3">
        <v>93164.425199999998</v>
      </c>
      <c r="S217" s="3">
        <v>46206.6</v>
      </c>
      <c r="T217" s="4">
        <v>0.50403171703355298</v>
      </c>
      <c r="U217" s="11" t="s">
        <v>664</v>
      </c>
      <c r="V217" s="3">
        <v>46957.825199999999</v>
      </c>
      <c r="W217" s="11" t="s">
        <v>1432</v>
      </c>
      <c r="X217" t="str">
        <f>TEXT(Table1_1[[#This Row],[OrderDate]],"mm yyyy")</f>
        <v>02 2023</v>
      </c>
      <c r="Y217" s="13">
        <f>DATE(YEAR(Table1_1[[#This Row],[OrderDate]]),MONTH(B217),1)</f>
        <v>44958</v>
      </c>
      <c r="Z217" s="2">
        <f t="shared" si="3"/>
        <v>44927</v>
      </c>
      <c r="AA217">
        <f>(YEAR(Table1_1[[#This Row],[OrderMonth]])-YEAR(Table1_1[[#This Row],[Firstmonth]]))*12+(MONTH(Table1_1[[#This Row],[OrderMonth]])-MONTH(Table1_1[[#This Row],[Firstmonth]]))</f>
        <v>1</v>
      </c>
    </row>
    <row r="218" spans="1:27" x14ac:dyDescent="0.25">
      <c r="A218" s="11" t="s">
        <v>418</v>
      </c>
      <c r="B218" s="2">
        <v>45724</v>
      </c>
      <c r="C218" s="2">
        <v>45731</v>
      </c>
      <c r="D218" s="11" t="s">
        <v>1413</v>
      </c>
      <c r="E218">
        <v>7</v>
      </c>
      <c r="F218" s="11" t="s">
        <v>1476</v>
      </c>
      <c r="G218" s="11" t="s">
        <v>1453</v>
      </c>
      <c r="H218" s="11" t="s">
        <v>1497</v>
      </c>
      <c r="I218" s="11" t="s">
        <v>642</v>
      </c>
      <c r="J218" s="11" t="s">
        <v>651</v>
      </c>
      <c r="K218" s="11" t="s">
        <v>672</v>
      </c>
      <c r="L218" s="11" t="s">
        <v>1082</v>
      </c>
      <c r="M218" s="10">
        <v>7</v>
      </c>
      <c r="N218">
        <v>475.66</v>
      </c>
      <c r="O218" s="3">
        <v>529.14</v>
      </c>
      <c r="P218" s="11" t="s">
        <v>1468</v>
      </c>
      <c r="Q218" s="4">
        <v>0.19600000000000001</v>
      </c>
      <c r="R218" s="3">
        <v>2977.9999200000002</v>
      </c>
      <c r="S218" s="3">
        <v>3329.6200000000003</v>
      </c>
      <c r="T218" s="4">
        <v>-0.118072561936133</v>
      </c>
      <c r="U218" s="11" t="s">
        <v>664</v>
      </c>
      <c r="V218" s="3">
        <v>-351.62008000000014</v>
      </c>
      <c r="W218" s="11" t="s">
        <v>1434</v>
      </c>
      <c r="X218" t="str">
        <f>TEXT(Table1_1[[#This Row],[OrderDate]],"mm yyyy")</f>
        <v>03 2025</v>
      </c>
      <c r="Y218" s="13">
        <f>DATE(YEAR(Table1_1[[#This Row],[OrderDate]]),MONTH(B218),1)</f>
        <v>45717</v>
      </c>
      <c r="Z218" s="2">
        <f t="shared" si="3"/>
        <v>44927</v>
      </c>
      <c r="AA218">
        <f>(YEAR(Table1_1[[#This Row],[OrderMonth]])-YEAR(Table1_1[[#This Row],[Firstmonth]]))*12+(MONTH(Table1_1[[#This Row],[OrderMonth]])-MONTH(Table1_1[[#This Row],[Firstmonth]]))</f>
        <v>26</v>
      </c>
    </row>
    <row r="219" spans="1:27" x14ac:dyDescent="0.25">
      <c r="A219" s="11" t="s">
        <v>244</v>
      </c>
      <c r="B219" s="2">
        <v>44999</v>
      </c>
      <c r="C219" s="2">
        <v>45015</v>
      </c>
      <c r="D219" s="11" t="s">
        <v>1413</v>
      </c>
      <c r="E219">
        <v>16</v>
      </c>
      <c r="F219" s="11" t="s">
        <v>1485</v>
      </c>
      <c r="G219" s="11" t="s">
        <v>1501</v>
      </c>
      <c r="H219" s="11" t="s">
        <v>1502</v>
      </c>
      <c r="I219" s="11" t="s">
        <v>645</v>
      </c>
      <c r="J219" s="11" t="s">
        <v>651</v>
      </c>
      <c r="K219" s="11" t="s">
        <v>668</v>
      </c>
      <c r="L219" s="11" t="s">
        <v>909</v>
      </c>
      <c r="M219" s="10">
        <v>8</v>
      </c>
      <c r="N219">
        <v>1309.77</v>
      </c>
      <c r="O219" s="3">
        <v>1589.07</v>
      </c>
      <c r="P219" s="11" t="s">
        <v>1466</v>
      </c>
      <c r="Q219" s="4">
        <v>0.10199999999999999</v>
      </c>
      <c r="R219" s="3">
        <v>11415.87888</v>
      </c>
      <c r="S219" s="3">
        <v>10478.16</v>
      </c>
      <c r="T219" s="4">
        <v>8.2141628328137997E-2</v>
      </c>
      <c r="U219" s="11" t="s">
        <v>664</v>
      </c>
      <c r="V219" s="3">
        <v>937.71888000000035</v>
      </c>
      <c r="W219" s="11" t="s">
        <v>1432</v>
      </c>
      <c r="X219" t="str">
        <f>TEXT(Table1_1[[#This Row],[OrderDate]],"mm yyyy")</f>
        <v>03 2023</v>
      </c>
      <c r="Y219" s="13">
        <f>DATE(YEAR(Table1_1[[#This Row],[OrderDate]]),MONTH(B219),1)</f>
        <v>44986</v>
      </c>
      <c r="Z219" s="2">
        <f t="shared" si="3"/>
        <v>44927</v>
      </c>
      <c r="AA219">
        <f>(YEAR(Table1_1[[#This Row],[OrderMonth]])-YEAR(Table1_1[[#This Row],[Firstmonth]]))*12+(MONTH(Table1_1[[#This Row],[OrderMonth]])-MONTH(Table1_1[[#This Row],[Firstmonth]]))</f>
        <v>2</v>
      </c>
    </row>
    <row r="220" spans="1:27" x14ac:dyDescent="0.25">
      <c r="A220" s="11" t="s">
        <v>335</v>
      </c>
      <c r="B220" s="2">
        <v>45053</v>
      </c>
      <c r="C220" s="2">
        <v>45075</v>
      </c>
      <c r="D220" s="11" t="s">
        <v>1413</v>
      </c>
      <c r="E220">
        <v>22</v>
      </c>
      <c r="F220" s="11" t="s">
        <v>1485</v>
      </c>
      <c r="G220" s="11" t="s">
        <v>1490</v>
      </c>
      <c r="H220" s="11" t="s">
        <v>1515</v>
      </c>
      <c r="I220" s="11" t="s">
        <v>643</v>
      </c>
      <c r="J220" s="11" t="s">
        <v>651</v>
      </c>
      <c r="K220" s="11" t="s">
        <v>674</v>
      </c>
      <c r="L220" s="11" t="s">
        <v>1000</v>
      </c>
      <c r="M220" s="10">
        <v>13</v>
      </c>
      <c r="N220">
        <v>653.86</v>
      </c>
      <c r="O220" s="3">
        <v>931.84</v>
      </c>
      <c r="P220" s="11" t="s">
        <v>1466</v>
      </c>
      <c r="Q220" s="4">
        <v>0.121</v>
      </c>
      <c r="R220" s="3">
        <v>10648.135679999999</v>
      </c>
      <c r="S220" s="3">
        <v>8500.18</v>
      </c>
      <c r="T220" s="4">
        <v>0.201721291365063</v>
      </c>
      <c r="U220" s="11" t="s">
        <v>664</v>
      </c>
      <c r="V220" s="3">
        <v>2147.9556799999991</v>
      </c>
      <c r="W220" s="11" t="s">
        <v>1435</v>
      </c>
      <c r="X220" t="str">
        <f>TEXT(Table1_1[[#This Row],[OrderDate]],"mm yyyy")</f>
        <v>05 2023</v>
      </c>
      <c r="Y220" s="13">
        <f>DATE(YEAR(Table1_1[[#This Row],[OrderDate]]),MONTH(B220),1)</f>
        <v>45047</v>
      </c>
      <c r="Z220" s="2">
        <f t="shared" si="3"/>
        <v>44958</v>
      </c>
      <c r="AA220">
        <f>(YEAR(Table1_1[[#This Row],[OrderMonth]])-YEAR(Table1_1[[#This Row],[Firstmonth]]))*12+(MONTH(Table1_1[[#This Row],[OrderMonth]])-MONTH(Table1_1[[#This Row],[Firstmonth]]))</f>
        <v>3</v>
      </c>
    </row>
    <row r="221" spans="1:27" x14ac:dyDescent="0.25">
      <c r="A221" s="11" t="s">
        <v>161</v>
      </c>
      <c r="B221" s="2">
        <v>45763</v>
      </c>
      <c r="C221" s="2">
        <v>45793</v>
      </c>
      <c r="D221" s="11" t="s">
        <v>1413</v>
      </c>
      <c r="E221">
        <v>30</v>
      </c>
      <c r="F221" s="11" t="s">
        <v>1473</v>
      </c>
      <c r="G221" s="11" t="s">
        <v>1452</v>
      </c>
      <c r="H221" s="11" t="s">
        <v>1492</v>
      </c>
      <c r="I221" s="11" t="s">
        <v>647</v>
      </c>
      <c r="J221" s="11" t="s">
        <v>651</v>
      </c>
      <c r="K221" s="11" t="s">
        <v>669</v>
      </c>
      <c r="L221" s="11" t="s">
        <v>825</v>
      </c>
      <c r="M221" s="10">
        <v>41</v>
      </c>
      <c r="N221">
        <v>763.32</v>
      </c>
      <c r="O221" s="3">
        <v>568.29</v>
      </c>
      <c r="P221" s="11" t="s">
        <v>1468</v>
      </c>
      <c r="Q221" s="4">
        <v>0.13100000000000001</v>
      </c>
      <c r="R221" s="3">
        <v>20247.60441</v>
      </c>
      <c r="S221" s="3">
        <v>31296.120000000003</v>
      </c>
      <c r="T221" s="4">
        <v>-0.54567026134426599</v>
      </c>
      <c r="U221" s="11" t="s">
        <v>664</v>
      </c>
      <c r="V221" s="3">
        <v>-11048.515590000003</v>
      </c>
      <c r="W221" s="11" t="s">
        <v>1431</v>
      </c>
      <c r="X221" t="str">
        <f>TEXT(Table1_1[[#This Row],[OrderDate]],"mm yyyy")</f>
        <v>04 2025</v>
      </c>
      <c r="Y221" s="13">
        <f>DATE(YEAR(Table1_1[[#This Row],[OrderDate]]),MONTH(B221),1)</f>
        <v>45748</v>
      </c>
      <c r="Z221" s="2">
        <f t="shared" si="3"/>
        <v>44958</v>
      </c>
      <c r="AA221">
        <f>(YEAR(Table1_1[[#This Row],[OrderMonth]])-YEAR(Table1_1[[#This Row],[Firstmonth]]))*12+(MONTH(Table1_1[[#This Row],[OrderMonth]])-MONTH(Table1_1[[#This Row],[Firstmonth]]))</f>
        <v>26</v>
      </c>
    </row>
    <row r="222" spans="1:27" x14ac:dyDescent="0.25">
      <c r="A222" s="11" t="s">
        <v>597</v>
      </c>
      <c r="B222" s="2">
        <v>45364</v>
      </c>
      <c r="C222" s="2">
        <v>45388</v>
      </c>
      <c r="D222" s="11" t="s">
        <v>1413</v>
      </c>
      <c r="E222">
        <v>24</v>
      </c>
      <c r="F222" s="11" t="s">
        <v>1485</v>
      </c>
      <c r="G222" s="11" t="s">
        <v>1450</v>
      </c>
      <c r="H222" s="11" t="s">
        <v>1508</v>
      </c>
      <c r="I222" s="11" t="s">
        <v>645</v>
      </c>
      <c r="J222" s="11" t="s">
        <v>651</v>
      </c>
      <c r="K222" s="11" t="s">
        <v>668</v>
      </c>
      <c r="L222" s="11" t="s">
        <v>1260</v>
      </c>
      <c r="M222" s="10">
        <v>11</v>
      </c>
      <c r="N222">
        <v>1232.78</v>
      </c>
      <c r="O222" s="3">
        <v>1731.75</v>
      </c>
      <c r="P222" s="11" t="s">
        <v>1471</v>
      </c>
      <c r="Q222" s="4">
        <v>9.2999999999999999E-2</v>
      </c>
      <c r="R222" s="3">
        <v>17277.669750000001</v>
      </c>
      <c r="S222" s="3">
        <v>13560.58</v>
      </c>
      <c r="T222" s="4">
        <v>0.21513837246483999</v>
      </c>
      <c r="U222" s="11" t="s">
        <v>657</v>
      </c>
      <c r="V222" s="3">
        <v>3717.089750000001</v>
      </c>
      <c r="W222" s="11" t="s">
        <v>1433</v>
      </c>
      <c r="X222" t="str">
        <f>TEXT(Table1_1[[#This Row],[OrderDate]],"mm yyyy")</f>
        <v>03 2024</v>
      </c>
      <c r="Y222" s="13">
        <f>DATE(YEAR(Table1_1[[#This Row],[OrderDate]]),MONTH(B222),1)</f>
        <v>45352</v>
      </c>
      <c r="Z222" s="2">
        <f t="shared" si="3"/>
        <v>44927</v>
      </c>
      <c r="AA222">
        <f>(YEAR(Table1_1[[#This Row],[OrderMonth]])-YEAR(Table1_1[[#This Row],[Firstmonth]]))*12+(MONTH(Table1_1[[#This Row],[OrderMonth]])-MONTH(Table1_1[[#This Row],[Firstmonth]]))</f>
        <v>14</v>
      </c>
    </row>
    <row r="223" spans="1:27" x14ac:dyDescent="0.25">
      <c r="A223" s="11" t="s">
        <v>397</v>
      </c>
      <c r="B223" s="2">
        <v>45419</v>
      </c>
      <c r="C223" s="2">
        <v>45424</v>
      </c>
      <c r="D223" s="11" t="s">
        <v>1413</v>
      </c>
      <c r="E223">
        <v>5</v>
      </c>
      <c r="F223" s="11" t="s">
        <v>1485</v>
      </c>
      <c r="G223" s="11" t="s">
        <v>1450</v>
      </c>
      <c r="H223" s="11" t="s">
        <v>1508</v>
      </c>
      <c r="I223" s="11" t="s">
        <v>644</v>
      </c>
      <c r="J223" s="11" t="s">
        <v>651</v>
      </c>
      <c r="K223" s="11" t="s">
        <v>672</v>
      </c>
      <c r="L223" s="11" t="s">
        <v>1061</v>
      </c>
      <c r="M223" s="10">
        <v>5</v>
      </c>
      <c r="N223">
        <v>1163.99</v>
      </c>
      <c r="O223" s="3">
        <v>1617.85</v>
      </c>
      <c r="P223" s="11" t="s">
        <v>1466</v>
      </c>
      <c r="Q223" s="4">
        <v>0.127</v>
      </c>
      <c r="R223" s="3">
        <v>7061.91525</v>
      </c>
      <c r="S223" s="3">
        <v>5819.95</v>
      </c>
      <c r="T223" s="4">
        <v>0.175868047977495</v>
      </c>
      <c r="U223" s="11" t="s">
        <v>657</v>
      </c>
      <c r="V223" s="3">
        <v>1241.9652500000002</v>
      </c>
      <c r="W223" s="11" t="s">
        <v>1436</v>
      </c>
      <c r="X223" t="str">
        <f>TEXT(Table1_1[[#This Row],[OrderDate]],"mm yyyy")</f>
        <v>05 2024</v>
      </c>
      <c r="Y223" s="13">
        <f>DATE(YEAR(Table1_1[[#This Row],[OrderDate]]),MONTH(B223),1)</f>
        <v>45413</v>
      </c>
      <c r="Z223" s="2">
        <f t="shared" si="3"/>
        <v>44927</v>
      </c>
      <c r="AA223">
        <f>(YEAR(Table1_1[[#This Row],[OrderMonth]])-YEAR(Table1_1[[#This Row],[Firstmonth]]))*12+(MONTH(Table1_1[[#This Row],[OrderMonth]])-MONTH(Table1_1[[#This Row],[Firstmonth]]))</f>
        <v>16</v>
      </c>
    </row>
    <row r="224" spans="1:27" x14ac:dyDescent="0.25">
      <c r="A224" s="11" t="s">
        <v>381</v>
      </c>
      <c r="B224" s="2">
        <v>44962</v>
      </c>
      <c r="C224" s="2">
        <v>44985</v>
      </c>
      <c r="D224" s="11" t="s">
        <v>1413</v>
      </c>
      <c r="E224">
        <v>23</v>
      </c>
      <c r="F224" s="11" t="s">
        <v>1473</v>
      </c>
      <c r="G224" s="11" t="s">
        <v>1458</v>
      </c>
      <c r="H224" s="11" t="s">
        <v>1500</v>
      </c>
      <c r="I224" s="11" t="s">
        <v>644</v>
      </c>
      <c r="J224" s="11" t="s">
        <v>651</v>
      </c>
      <c r="K224" s="11" t="s">
        <v>671</v>
      </c>
      <c r="L224" s="11" t="s">
        <v>1046</v>
      </c>
      <c r="M224" s="10">
        <v>10</v>
      </c>
      <c r="N224">
        <v>1214.49</v>
      </c>
      <c r="O224" s="3">
        <v>1533.95</v>
      </c>
      <c r="P224" s="11" t="s">
        <v>1466</v>
      </c>
      <c r="Q224" s="4">
        <v>0</v>
      </c>
      <c r="R224" s="3">
        <v>15339.5</v>
      </c>
      <c r="S224" s="3">
        <v>12144.9</v>
      </c>
      <c r="T224" s="4">
        <v>0.208259721633691</v>
      </c>
      <c r="U224" s="11" t="s">
        <v>657</v>
      </c>
      <c r="V224" s="3">
        <v>3194.6000000000004</v>
      </c>
      <c r="W224" s="11" t="s">
        <v>1432</v>
      </c>
      <c r="X224" t="str">
        <f>TEXT(Table1_1[[#This Row],[OrderDate]],"mm yyyy")</f>
        <v>02 2023</v>
      </c>
      <c r="Y224" s="13">
        <f>DATE(YEAR(Table1_1[[#This Row],[OrderDate]]),MONTH(B224),1)</f>
        <v>44958</v>
      </c>
      <c r="Z224" s="2">
        <f t="shared" si="3"/>
        <v>44958</v>
      </c>
      <c r="AA224">
        <f>(YEAR(Table1_1[[#This Row],[OrderMonth]])-YEAR(Table1_1[[#This Row],[Firstmonth]]))*12+(MONTH(Table1_1[[#This Row],[OrderMonth]])-MONTH(Table1_1[[#This Row],[Firstmonth]]))</f>
        <v>0</v>
      </c>
    </row>
    <row r="225" spans="1:27" x14ac:dyDescent="0.25">
      <c r="A225" s="11" t="s">
        <v>150</v>
      </c>
      <c r="B225" s="2">
        <v>45336</v>
      </c>
      <c r="C225" s="2">
        <v>45336</v>
      </c>
      <c r="D225" s="11" t="s">
        <v>1413</v>
      </c>
      <c r="E225">
        <v>0</v>
      </c>
      <c r="F225" s="11" t="s">
        <v>1476</v>
      </c>
      <c r="G225" s="11" t="s">
        <v>1457</v>
      </c>
      <c r="H225" s="11" t="s">
        <v>1477</v>
      </c>
      <c r="I225" s="11" t="s">
        <v>642</v>
      </c>
      <c r="J225" s="11" t="s">
        <v>651</v>
      </c>
      <c r="K225" s="11" t="s">
        <v>674</v>
      </c>
      <c r="L225" s="11" t="s">
        <v>814</v>
      </c>
      <c r="M225" s="10">
        <v>24</v>
      </c>
      <c r="N225">
        <v>65.930000000000007</v>
      </c>
      <c r="O225" s="3">
        <v>84.9</v>
      </c>
      <c r="P225" s="11" t="s">
        <v>1468</v>
      </c>
      <c r="Q225" s="4">
        <v>0.25900000000000001</v>
      </c>
      <c r="R225" s="3">
        <v>1509.8616000000002</v>
      </c>
      <c r="S225" s="3">
        <v>1582.3200000000002</v>
      </c>
      <c r="T225" s="4">
        <v>-4.7990093926489702E-2</v>
      </c>
      <c r="U225" s="11" t="s">
        <v>657</v>
      </c>
      <c r="V225" s="3">
        <v>-72.458399999999983</v>
      </c>
      <c r="W225" s="11" t="s">
        <v>1433</v>
      </c>
      <c r="X225" t="str">
        <f>TEXT(Table1_1[[#This Row],[OrderDate]],"mm yyyy")</f>
        <v>02 2024</v>
      </c>
      <c r="Y225" s="13">
        <f>DATE(YEAR(Table1_1[[#This Row],[OrderDate]]),MONTH(B225),1)</f>
        <v>45323</v>
      </c>
      <c r="Z225" s="2">
        <f t="shared" si="3"/>
        <v>44927</v>
      </c>
      <c r="AA225">
        <f>(YEAR(Table1_1[[#This Row],[OrderMonth]])-YEAR(Table1_1[[#This Row],[Firstmonth]]))*12+(MONTH(Table1_1[[#This Row],[OrderMonth]])-MONTH(Table1_1[[#This Row],[Firstmonth]]))</f>
        <v>13</v>
      </c>
    </row>
    <row r="226" spans="1:27" x14ac:dyDescent="0.25">
      <c r="A226" s="11" t="s">
        <v>508</v>
      </c>
      <c r="B226" s="2">
        <v>45224</v>
      </c>
      <c r="C226" s="2">
        <v>45227</v>
      </c>
      <c r="D226" s="11" t="s">
        <v>1413</v>
      </c>
      <c r="E226">
        <v>3</v>
      </c>
      <c r="F226" s="11" t="s">
        <v>1473</v>
      </c>
      <c r="G226" s="11" t="s">
        <v>1454</v>
      </c>
      <c r="H226" s="11" t="s">
        <v>1478</v>
      </c>
      <c r="I226" s="11" t="s">
        <v>642</v>
      </c>
      <c r="J226" s="11" t="s">
        <v>651</v>
      </c>
      <c r="K226" s="11" t="s">
        <v>674</v>
      </c>
      <c r="L226" s="11" t="s">
        <v>1172</v>
      </c>
      <c r="M226" s="10">
        <v>15</v>
      </c>
      <c r="N226">
        <v>509.31</v>
      </c>
      <c r="O226" s="3">
        <v>1145.9000000000001</v>
      </c>
      <c r="P226" s="11" t="s">
        <v>1466</v>
      </c>
      <c r="Q226" s="4">
        <v>5.7000000000000002E-2</v>
      </c>
      <c r="R226" s="3">
        <v>16208.755499999999</v>
      </c>
      <c r="S226" s="3">
        <v>7639.65</v>
      </c>
      <c r="T226" s="4">
        <v>0.52867140231709997</v>
      </c>
      <c r="U226" s="11" t="s">
        <v>657</v>
      </c>
      <c r="V226" s="3">
        <v>8569.1054999999997</v>
      </c>
      <c r="W226" s="11" t="s">
        <v>1439</v>
      </c>
      <c r="X226" t="str">
        <f>TEXT(Table1_1[[#This Row],[OrderDate]],"mm yyyy")</f>
        <v>10 2023</v>
      </c>
      <c r="Y226" s="13">
        <f>DATE(YEAR(Table1_1[[#This Row],[OrderDate]]),MONTH(B226),1)</f>
        <v>45200</v>
      </c>
      <c r="Z226" s="2">
        <f t="shared" si="3"/>
        <v>44927</v>
      </c>
      <c r="AA226">
        <f>(YEAR(Table1_1[[#This Row],[OrderMonth]])-YEAR(Table1_1[[#This Row],[Firstmonth]]))*12+(MONTH(Table1_1[[#This Row],[OrderMonth]])-MONTH(Table1_1[[#This Row],[Firstmonth]]))</f>
        <v>9</v>
      </c>
    </row>
    <row r="227" spans="1:27" x14ac:dyDescent="0.25">
      <c r="A227" s="11" t="s">
        <v>369</v>
      </c>
      <c r="B227" s="2">
        <v>45309</v>
      </c>
      <c r="C227" s="2">
        <v>45325</v>
      </c>
      <c r="D227" s="11" t="s">
        <v>1413</v>
      </c>
      <c r="E227">
        <v>16</v>
      </c>
      <c r="F227" s="11" t="s">
        <v>1485</v>
      </c>
      <c r="G227" s="11" t="s">
        <v>1501</v>
      </c>
      <c r="H227" s="11" t="s">
        <v>1502</v>
      </c>
      <c r="I227" s="11" t="s">
        <v>644</v>
      </c>
      <c r="J227" s="11" t="s">
        <v>651</v>
      </c>
      <c r="K227" s="11" t="s">
        <v>669</v>
      </c>
      <c r="L227" s="11" t="s">
        <v>1034</v>
      </c>
      <c r="M227" s="10">
        <v>10</v>
      </c>
      <c r="N227">
        <v>666.23</v>
      </c>
      <c r="O227" s="3">
        <v>1382.91</v>
      </c>
      <c r="P227" s="11" t="s">
        <v>1466</v>
      </c>
      <c r="Q227" s="4">
        <v>0.17599999999999999</v>
      </c>
      <c r="R227" s="3">
        <v>11395.178400000001</v>
      </c>
      <c r="S227" s="3">
        <v>6662.3</v>
      </c>
      <c r="T227" s="4">
        <v>0.41534043907552998</v>
      </c>
      <c r="U227" s="11" t="s">
        <v>657</v>
      </c>
      <c r="V227" s="3">
        <v>4732.8784000000005</v>
      </c>
      <c r="W227" s="11" t="s">
        <v>1433</v>
      </c>
      <c r="X227" t="str">
        <f>TEXT(Table1_1[[#This Row],[OrderDate]],"mm yyyy")</f>
        <v>01 2024</v>
      </c>
      <c r="Y227" s="13">
        <f>DATE(YEAR(Table1_1[[#This Row],[OrderDate]]),MONTH(B227),1)</f>
        <v>45292</v>
      </c>
      <c r="Z227" s="2">
        <f t="shared" si="3"/>
        <v>44927</v>
      </c>
      <c r="AA227">
        <f>(YEAR(Table1_1[[#This Row],[OrderMonth]])-YEAR(Table1_1[[#This Row],[Firstmonth]]))*12+(MONTH(Table1_1[[#This Row],[OrderMonth]])-MONTH(Table1_1[[#This Row],[Firstmonth]]))</f>
        <v>12</v>
      </c>
    </row>
    <row r="228" spans="1:27" x14ac:dyDescent="0.25">
      <c r="A228" s="11" t="s">
        <v>547</v>
      </c>
      <c r="B228" s="2">
        <v>45520</v>
      </c>
      <c r="C228" s="2">
        <v>45530</v>
      </c>
      <c r="D228" s="11" t="s">
        <v>1413</v>
      </c>
      <c r="E228">
        <v>10</v>
      </c>
      <c r="F228" s="11" t="s">
        <v>1473</v>
      </c>
      <c r="G228" s="11" t="s">
        <v>1458</v>
      </c>
      <c r="H228" s="11" t="s">
        <v>1509</v>
      </c>
      <c r="I228" s="11" t="s">
        <v>642</v>
      </c>
      <c r="J228" s="11" t="s">
        <v>651</v>
      </c>
      <c r="K228" s="11" t="s">
        <v>672</v>
      </c>
      <c r="L228" s="11" t="s">
        <v>1062</v>
      </c>
      <c r="M228" s="10">
        <v>13</v>
      </c>
      <c r="N228">
        <v>1291.7</v>
      </c>
      <c r="O228" s="3">
        <v>2657.84</v>
      </c>
      <c r="P228" s="11" t="s">
        <v>1471</v>
      </c>
      <c r="Q228" s="4">
        <v>8.6999999999999994E-2</v>
      </c>
      <c r="R228" s="3">
        <v>31545.902959999999</v>
      </c>
      <c r="S228" s="3">
        <v>16792.100000000002</v>
      </c>
      <c r="T228" s="4">
        <v>0.46769315745083401</v>
      </c>
      <c r="U228" s="11" t="s">
        <v>657</v>
      </c>
      <c r="V228" s="3">
        <v>14753.802959999997</v>
      </c>
      <c r="W228" s="11" t="s">
        <v>1437</v>
      </c>
      <c r="X228" t="str">
        <f>TEXT(Table1_1[[#This Row],[OrderDate]],"mm yyyy")</f>
        <v>08 2024</v>
      </c>
      <c r="Y228" s="13">
        <f>DATE(YEAR(Table1_1[[#This Row],[OrderDate]]),MONTH(B228),1)</f>
        <v>45505</v>
      </c>
      <c r="Z228" s="2">
        <f t="shared" si="3"/>
        <v>45017</v>
      </c>
      <c r="AA228">
        <f>(YEAR(Table1_1[[#This Row],[OrderMonth]])-YEAR(Table1_1[[#This Row],[Firstmonth]]))*12+(MONTH(Table1_1[[#This Row],[OrderMonth]])-MONTH(Table1_1[[#This Row],[Firstmonth]]))</f>
        <v>16</v>
      </c>
    </row>
    <row r="229" spans="1:27" x14ac:dyDescent="0.25">
      <c r="A229" s="11" t="s">
        <v>522</v>
      </c>
      <c r="B229" s="2">
        <v>45575</v>
      </c>
      <c r="C229" s="2">
        <v>45576</v>
      </c>
      <c r="D229" s="11" t="s">
        <v>1413</v>
      </c>
      <c r="E229">
        <v>1</v>
      </c>
      <c r="F229" s="11" t="s">
        <v>1464</v>
      </c>
      <c r="G229" s="11" t="s">
        <v>1469</v>
      </c>
      <c r="H229" s="11" t="s">
        <v>1482</v>
      </c>
      <c r="I229" s="11" t="s">
        <v>644</v>
      </c>
      <c r="J229" s="11" t="s">
        <v>651</v>
      </c>
      <c r="K229" s="11" t="s">
        <v>668</v>
      </c>
      <c r="L229" s="11" t="s">
        <v>1186</v>
      </c>
      <c r="M229" s="10">
        <v>4</v>
      </c>
      <c r="N229">
        <v>1389.46</v>
      </c>
      <c r="O229" s="3">
        <v>1784.7</v>
      </c>
      <c r="P229" s="11" t="s">
        <v>1471</v>
      </c>
      <c r="Q229" s="4">
        <v>0.14599999999999999</v>
      </c>
      <c r="R229" s="3">
        <v>6096.5352000000003</v>
      </c>
      <c r="S229" s="3">
        <v>5557.84</v>
      </c>
      <c r="T229" s="4">
        <v>8.83608775030119E-2</v>
      </c>
      <c r="U229" s="11" t="s">
        <v>657</v>
      </c>
      <c r="V229" s="3">
        <v>538.69520000000011</v>
      </c>
      <c r="W229" s="11" t="s">
        <v>1440</v>
      </c>
      <c r="X229" t="str">
        <f>TEXT(Table1_1[[#This Row],[OrderDate]],"mm yyyy")</f>
        <v>10 2024</v>
      </c>
      <c r="Y229" s="13">
        <f>DATE(YEAR(Table1_1[[#This Row],[OrderDate]]),MONTH(B229),1)</f>
        <v>45566</v>
      </c>
      <c r="Z229" s="2">
        <f t="shared" si="3"/>
        <v>44927</v>
      </c>
      <c r="AA229">
        <f>(YEAR(Table1_1[[#This Row],[OrderMonth]])-YEAR(Table1_1[[#This Row],[Firstmonth]]))*12+(MONTH(Table1_1[[#This Row],[OrderMonth]])-MONTH(Table1_1[[#This Row],[Firstmonth]]))</f>
        <v>21</v>
      </c>
    </row>
    <row r="230" spans="1:27" x14ac:dyDescent="0.25">
      <c r="A230" s="11" t="s">
        <v>193</v>
      </c>
      <c r="B230" s="2">
        <v>45690</v>
      </c>
      <c r="C230" s="2">
        <v>45720</v>
      </c>
      <c r="D230" s="11" t="s">
        <v>1413</v>
      </c>
      <c r="E230">
        <v>30</v>
      </c>
      <c r="F230" s="11" t="s">
        <v>1476</v>
      </c>
      <c r="G230" s="11" t="s">
        <v>1451</v>
      </c>
      <c r="H230" s="11" t="s">
        <v>1487</v>
      </c>
      <c r="I230" s="11" t="s">
        <v>643</v>
      </c>
      <c r="J230" s="11" t="s">
        <v>651</v>
      </c>
      <c r="K230" s="11" t="s">
        <v>674</v>
      </c>
      <c r="L230" s="11" t="s">
        <v>857</v>
      </c>
      <c r="M230" s="10">
        <v>13</v>
      </c>
      <c r="N230">
        <v>766.59</v>
      </c>
      <c r="O230" s="3">
        <v>1912.8</v>
      </c>
      <c r="P230" s="11" t="s">
        <v>1471</v>
      </c>
      <c r="Q230" s="4">
        <v>0.19600000000000001</v>
      </c>
      <c r="R230" s="3">
        <v>19992.585599999999</v>
      </c>
      <c r="S230" s="3">
        <v>9965.67</v>
      </c>
      <c r="T230" s="4">
        <v>0.501531707834728</v>
      </c>
      <c r="U230" s="11" t="s">
        <v>657</v>
      </c>
      <c r="V230" s="3">
        <v>10026.915599999998</v>
      </c>
      <c r="W230" s="11" t="s">
        <v>1434</v>
      </c>
      <c r="X230" t="str">
        <f>TEXT(Table1_1[[#This Row],[OrderDate]],"mm yyyy")</f>
        <v>02 2025</v>
      </c>
      <c r="Y230" s="13">
        <f>DATE(YEAR(Table1_1[[#This Row],[OrderDate]]),MONTH(B230),1)</f>
        <v>45689</v>
      </c>
      <c r="Z230" s="2">
        <f t="shared" si="3"/>
        <v>44986</v>
      </c>
      <c r="AA230">
        <f>(YEAR(Table1_1[[#This Row],[OrderMonth]])-YEAR(Table1_1[[#This Row],[Firstmonth]]))*12+(MONTH(Table1_1[[#This Row],[OrderMonth]])-MONTH(Table1_1[[#This Row],[Firstmonth]]))</f>
        <v>23</v>
      </c>
    </row>
    <row r="231" spans="1:27" x14ac:dyDescent="0.25">
      <c r="A231" s="11" t="s">
        <v>595</v>
      </c>
      <c r="B231" s="2">
        <v>45764</v>
      </c>
      <c r="C231" s="2">
        <v>45764</v>
      </c>
      <c r="D231" s="11" t="s">
        <v>1413</v>
      </c>
      <c r="E231">
        <v>0</v>
      </c>
      <c r="F231" s="11" t="s">
        <v>1473</v>
      </c>
      <c r="G231" s="11" t="s">
        <v>1488</v>
      </c>
      <c r="H231" s="11" t="s">
        <v>1489</v>
      </c>
      <c r="I231" s="11" t="s">
        <v>642</v>
      </c>
      <c r="J231" s="11" t="s">
        <v>651</v>
      </c>
      <c r="K231" s="11" t="s">
        <v>671</v>
      </c>
      <c r="L231" s="11" t="s">
        <v>1258</v>
      </c>
      <c r="M231" s="10">
        <v>10</v>
      </c>
      <c r="N231">
        <v>719.41</v>
      </c>
      <c r="O231" s="3">
        <v>1125.99</v>
      </c>
      <c r="P231" s="11" t="s">
        <v>1466</v>
      </c>
      <c r="Q231" s="4">
        <v>4.1000000000000002E-2</v>
      </c>
      <c r="R231" s="3">
        <v>10798.2441</v>
      </c>
      <c r="S231" s="3">
        <v>7194.0999999999995</v>
      </c>
      <c r="T231" s="4">
        <v>0.33377131194876403</v>
      </c>
      <c r="U231" s="11" t="s">
        <v>657</v>
      </c>
      <c r="V231" s="3">
        <v>3604.1441000000004</v>
      </c>
      <c r="W231" s="11" t="s">
        <v>1431</v>
      </c>
      <c r="X231" t="str">
        <f>TEXT(Table1_1[[#This Row],[OrderDate]],"mm yyyy")</f>
        <v>04 2025</v>
      </c>
      <c r="Y231" s="13">
        <f>DATE(YEAR(Table1_1[[#This Row],[OrderDate]]),MONTH(B231),1)</f>
        <v>45748</v>
      </c>
      <c r="Z231" s="2">
        <f t="shared" si="3"/>
        <v>44958</v>
      </c>
      <c r="AA231">
        <f>(YEAR(Table1_1[[#This Row],[OrderMonth]])-YEAR(Table1_1[[#This Row],[Firstmonth]]))*12+(MONTH(Table1_1[[#This Row],[OrderMonth]])-MONTH(Table1_1[[#This Row],[Firstmonth]]))</f>
        <v>26</v>
      </c>
    </row>
    <row r="232" spans="1:27" x14ac:dyDescent="0.25">
      <c r="A232" s="11" t="s">
        <v>318</v>
      </c>
      <c r="B232" s="2">
        <v>45679</v>
      </c>
      <c r="C232" s="2">
        <v>45692</v>
      </c>
      <c r="D232" s="11" t="s">
        <v>1413</v>
      </c>
      <c r="E232">
        <v>13</v>
      </c>
      <c r="F232" s="11" t="s">
        <v>1476</v>
      </c>
      <c r="G232" s="11" t="s">
        <v>1451</v>
      </c>
      <c r="H232" s="11" t="s">
        <v>1510</v>
      </c>
      <c r="I232" s="11" t="s">
        <v>646</v>
      </c>
      <c r="J232" s="11" t="s">
        <v>651</v>
      </c>
      <c r="K232" s="11" t="s">
        <v>669</v>
      </c>
      <c r="L232" s="11" t="s">
        <v>983</v>
      </c>
      <c r="M232" s="10">
        <v>16</v>
      </c>
      <c r="N232">
        <v>122.29</v>
      </c>
      <c r="O232" s="3">
        <v>224.95</v>
      </c>
      <c r="P232" s="11" t="s">
        <v>1468</v>
      </c>
      <c r="Q232" s="4">
        <v>0.153</v>
      </c>
      <c r="R232" s="3">
        <v>3048.5223999999998</v>
      </c>
      <c r="S232" s="3">
        <v>1956.64</v>
      </c>
      <c r="T232" s="4">
        <v>0.35816774710266203</v>
      </c>
      <c r="U232" s="11" t="s">
        <v>657</v>
      </c>
      <c r="V232" s="3">
        <v>1091.8823999999997</v>
      </c>
      <c r="W232" s="11" t="s">
        <v>1434</v>
      </c>
      <c r="X232" t="str">
        <f>TEXT(Table1_1[[#This Row],[OrderDate]],"mm yyyy")</f>
        <v>01 2025</v>
      </c>
      <c r="Y232" s="13">
        <f>DATE(YEAR(Table1_1[[#This Row],[OrderDate]]),MONTH(B232),1)</f>
        <v>45658</v>
      </c>
      <c r="Z232" s="2">
        <f t="shared" si="3"/>
        <v>44986</v>
      </c>
      <c r="AA232">
        <f>(YEAR(Table1_1[[#This Row],[OrderMonth]])-YEAR(Table1_1[[#This Row],[Firstmonth]]))*12+(MONTH(Table1_1[[#This Row],[OrderMonth]])-MONTH(Table1_1[[#This Row],[Firstmonth]]))</f>
        <v>22</v>
      </c>
    </row>
    <row r="233" spans="1:27" x14ac:dyDescent="0.25">
      <c r="A233" s="11" t="s">
        <v>154</v>
      </c>
      <c r="B233" s="2">
        <v>45458</v>
      </c>
      <c r="C233" s="2">
        <v>45479</v>
      </c>
      <c r="D233" s="11" t="s">
        <v>1413</v>
      </c>
      <c r="E233">
        <v>21</v>
      </c>
      <c r="F233" s="11" t="s">
        <v>1473</v>
      </c>
      <c r="G233" s="11" t="s">
        <v>1452</v>
      </c>
      <c r="H233" s="11" t="s">
        <v>1474</v>
      </c>
      <c r="I233" s="11" t="s">
        <v>647</v>
      </c>
      <c r="J233" s="11" t="s">
        <v>651</v>
      </c>
      <c r="K233" s="11" t="s">
        <v>669</v>
      </c>
      <c r="L233" s="11" t="s">
        <v>818</v>
      </c>
      <c r="M233" s="10">
        <v>7</v>
      </c>
      <c r="N233">
        <v>817.23</v>
      </c>
      <c r="O233" s="3">
        <v>1467.17</v>
      </c>
      <c r="P233" s="11" t="s">
        <v>1466</v>
      </c>
      <c r="Q233" s="4">
        <v>0.245</v>
      </c>
      <c r="R233" s="3">
        <v>7753.9934500000008</v>
      </c>
      <c r="S233" s="3">
        <v>5720.6100000000006</v>
      </c>
      <c r="T233" s="4">
        <v>0.26223693160328898</v>
      </c>
      <c r="U233" s="11" t="s">
        <v>657</v>
      </c>
      <c r="V233" s="3">
        <v>2033.3834500000003</v>
      </c>
      <c r="W233" s="11" t="s">
        <v>1436</v>
      </c>
      <c r="X233" t="str">
        <f>TEXT(Table1_1[[#This Row],[OrderDate]],"mm yyyy")</f>
        <v>06 2024</v>
      </c>
      <c r="Y233" s="13">
        <f>DATE(YEAR(Table1_1[[#This Row],[OrderDate]]),MONTH(B233),1)</f>
        <v>45444</v>
      </c>
      <c r="Z233" s="2">
        <f t="shared" si="3"/>
        <v>44958</v>
      </c>
      <c r="AA233">
        <f>(YEAR(Table1_1[[#This Row],[OrderMonth]])-YEAR(Table1_1[[#This Row],[Firstmonth]]))*12+(MONTH(Table1_1[[#This Row],[OrderMonth]])-MONTH(Table1_1[[#This Row],[Firstmonth]]))</f>
        <v>16</v>
      </c>
    </row>
    <row r="234" spans="1:27" x14ac:dyDescent="0.25">
      <c r="A234" s="11" t="s">
        <v>450</v>
      </c>
      <c r="B234" s="2">
        <v>45063</v>
      </c>
      <c r="C234" s="2">
        <v>45080</v>
      </c>
      <c r="D234" s="11" t="s">
        <v>1413</v>
      </c>
      <c r="E234">
        <v>17</v>
      </c>
      <c r="F234" s="11" t="s">
        <v>1476</v>
      </c>
      <c r="G234" s="11" t="s">
        <v>1457</v>
      </c>
      <c r="H234" s="11" t="s">
        <v>1477</v>
      </c>
      <c r="I234" s="11" t="s">
        <v>644</v>
      </c>
      <c r="J234" s="11" t="s">
        <v>651</v>
      </c>
      <c r="K234" s="11" t="s">
        <v>669</v>
      </c>
      <c r="L234" s="11" t="s">
        <v>1114</v>
      </c>
      <c r="M234" s="10">
        <v>10</v>
      </c>
      <c r="N234">
        <v>979.59</v>
      </c>
      <c r="O234" s="3">
        <v>2210.94</v>
      </c>
      <c r="P234" s="11" t="s">
        <v>1471</v>
      </c>
      <c r="Q234" s="4">
        <v>0.15</v>
      </c>
      <c r="R234" s="3">
        <v>18792.990000000002</v>
      </c>
      <c r="S234" s="3">
        <v>9795.9</v>
      </c>
      <c r="T234" s="4">
        <v>0.47874712858358398</v>
      </c>
      <c r="U234" s="11" t="s">
        <v>665</v>
      </c>
      <c r="V234" s="3">
        <v>8997.090000000002</v>
      </c>
      <c r="W234" s="11" t="s">
        <v>1435</v>
      </c>
      <c r="X234" t="str">
        <f>TEXT(Table1_1[[#This Row],[OrderDate]],"mm yyyy")</f>
        <v>05 2023</v>
      </c>
      <c r="Y234" s="13">
        <f>DATE(YEAR(Table1_1[[#This Row],[OrderDate]]),MONTH(B234),1)</f>
        <v>45047</v>
      </c>
      <c r="Z234" s="2">
        <f t="shared" si="3"/>
        <v>44927</v>
      </c>
      <c r="AA234">
        <f>(YEAR(Table1_1[[#This Row],[OrderMonth]])-YEAR(Table1_1[[#This Row],[Firstmonth]]))*12+(MONTH(Table1_1[[#This Row],[OrderMonth]])-MONTH(Table1_1[[#This Row],[Firstmonth]]))</f>
        <v>4</v>
      </c>
    </row>
    <row r="235" spans="1:27" x14ac:dyDescent="0.25">
      <c r="A235" s="11" t="s">
        <v>171</v>
      </c>
      <c r="B235" s="2">
        <v>44977</v>
      </c>
      <c r="C235" s="2">
        <v>44989</v>
      </c>
      <c r="D235" s="11" t="s">
        <v>1413</v>
      </c>
      <c r="E235">
        <v>12</v>
      </c>
      <c r="F235" s="11" t="s">
        <v>1476</v>
      </c>
      <c r="G235" s="11" t="s">
        <v>1453</v>
      </c>
      <c r="H235" s="11" t="s">
        <v>1479</v>
      </c>
      <c r="I235" s="11" t="s">
        <v>645</v>
      </c>
      <c r="J235" s="11" t="s">
        <v>651</v>
      </c>
      <c r="K235" s="11" t="s">
        <v>673</v>
      </c>
      <c r="L235" s="11" t="s">
        <v>835</v>
      </c>
      <c r="M235" s="10">
        <v>16</v>
      </c>
      <c r="N235">
        <v>299.75</v>
      </c>
      <c r="O235" s="3">
        <v>523.01</v>
      </c>
      <c r="P235" s="11" t="s">
        <v>1468</v>
      </c>
      <c r="Q235" s="4">
        <v>0.157</v>
      </c>
      <c r="R235" s="3">
        <v>7054.3588799999998</v>
      </c>
      <c r="S235" s="3">
        <v>4796</v>
      </c>
      <c r="T235" s="4">
        <v>0.32013665854210099</v>
      </c>
      <c r="U235" s="11" t="s">
        <v>665</v>
      </c>
      <c r="V235" s="3">
        <v>2258.3588799999998</v>
      </c>
      <c r="W235" s="11" t="s">
        <v>1432</v>
      </c>
      <c r="X235" t="str">
        <f>TEXT(Table1_1[[#This Row],[OrderDate]],"mm yyyy")</f>
        <v>02 2023</v>
      </c>
      <c r="Y235" s="13">
        <f>DATE(YEAR(Table1_1[[#This Row],[OrderDate]]),MONTH(B235),1)</f>
        <v>44958</v>
      </c>
      <c r="Z235" s="2">
        <f t="shared" si="3"/>
        <v>44927</v>
      </c>
      <c r="AA235">
        <f>(YEAR(Table1_1[[#This Row],[OrderMonth]])-YEAR(Table1_1[[#This Row],[Firstmonth]]))*12+(MONTH(Table1_1[[#This Row],[OrderMonth]])-MONTH(Table1_1[[#This Row],[Firstmonth]]))</f>
        <v>1</v>
      </c>
    </row>
    <row r="236" spans="1:27" x14ac:dyDescent="0.25">
      <c r="A236" s="11" t="s">
        <v>102</v>
      </c>
      <c r="B236" s="2">
        <v>45817</v>
      </c>
      <c r="C236" s="2">
        <v>45833</v>
      </c>
      <c r="D236" s="11" t="s">
        <v>1413</v>
      </c>
      <c r="E236">
        <v>16</v>
      </c>
      <c r="F236" s="11" t="s">
        <v>1476</v>
      </c>
      <c r="G236" s="11" t="s">
        <v>1453</v>
      </c>
      <c r="H236" s="11" t="s">
        <v>1480</v>
      </c>
      <c r="I236" s="11" t="s">
        <v>647</v>
      </c>
      <c r="J236" s="11" t="s">
        <v>651</v>
      </c>
      <c r="K236" s="11" t="s">
        <v>671</v>
      </c>
      <c r="L236" s="11" t="s">
        <v>766</v>
      </c>
      <c r="M236" s="10">
        <v>10</v>
      </c>
      <c r="N236">
        <v>527.33000000000004</v>
      </c>
      <c r="O236" s="3">
        <v>911.72</v>
      </c>
      <c r="P236" s="11" t="s">
        <v>1466</v>
      </c>
      <c r="Q236" s="4">
        <v>0.14399999999999999</v>
      </c>
      <c r="R236" s="3">
        <v>7804.3232000000007</v>
      </c>
      <c r="S236" s="3">
        <v>5273.3</v>
      </c>
      <c r="T236" s="4">
        <v>0.32431040272653</v>
      </c>
      <c r="U236" s="11" t="s">
        <v>665</v>
      </c>
      <c r="V236" s="3">
        <v>2531.0232000000005</v>
      </c>
      <c r="W236" s="11" t="s">
        <v>1431</v>
      </c>
      <c r="X236" t="str">
        <f>TEXT(Table1_1[[#This Row],[OrderDate]],"mm yyyy")</f>
        <v>06 2025</v>
      </c>
      <c r="Y236" s="13">
        <f>DATE(YEAR(Table1_1[[#This Row],[OrderDate]]),MONTH(B236),1)</f>
        <v>45809</v>
      </c>
      <c r="Z236" s="2">
        <f t="shared" si="3"/>
        <v>44927</v>
      </c>
      <c r="AA236">
        <f>(YEAR(Table1_1[[#This Row],[OrderMonth]])-YEAR(Table1_1[[#This Row],[Firstmonth]]))*12+(MONTH(Table1_1[[#This Row],[OrderMonth]])-MONTH(Table1_1[[#This Row],[Firstmonth]]))</f>
        <v>29</v>
      </c>
    </row>
    <row r="237" spans="1:27" x14ac:dyDescent="0.25">
      <c r="A237" s="11" t="s">
        <v>556</v>
      </c>
      <c r="B237" s="2">
        <v>45355</v>
      </c>
      <c r="C237" s="2">
        <v>45367</v>
      </c>
      <c r="D237" s="11" t="s">
        <v>1413</v>
      </c>
      <c r="E237">
        <v>12</v>
      </c>
      <c r="F237" s="11" t="s">
        <v>1485</v>
      </c>
      <c r="G237" s="11" t="s">
        <v>1490</v>
      </c>
      <c r="H237" s="11" t="s">
        <v>1491</v>
      </c>
      <c r="I237" s="11" t="s">
        <v>647</v>
      </c>
      <c r="J237" s="11" t="s">
        <v>651</v>
      </c>
      <c r="K237" s="11" t="s">
        <v>673</v>
      </c>
      <c r="L237" s="11" t="s">
        <v>1219</v>
      </c>
      <c r="M237" s="10">
        <v>13</v>
      </c>
      <c r="N237">
        <v>441.08</v>
      </c>
      <c r="O237" s="3">
        <v>1054.29</v>
      </c>
      <c r="P237" s="11" t="s">
        <v>1466</v>
      </c>
      <c r="Q237" s="4">
        <v>0.23699999999999999</v>
      </c>
      <c r="R237" s="3">
        <v>10457.50251</v>
      </c>
      <c r="S237" s="3">
        <v>5734.04</v>
      </c>
      <c r="T237" s="4">
        <v>0.45168169985932899</v>
      </c>
      <c r="U237" s="11" t="s">
        <v>665</v>
      </c>
      <c r="V237" s="3">
        <v>4723.4625100000003</v>
      </c>
      <c r="W237" s="11" t="s">
        <v>1433</v>
      </c>
      <c r="X237" t="str">
        <f>TEXT(Table1_1[[#This Row],[OrderDate]],"mm yyyy")</f>
        <v>03 2024</v>
      </c>
      <c r="Y237" s="13">
        <f>DATE(YEAR(Table1_1[[#This Row],[OrderDate]]),MONTH(B237),1)</f>
        <v>45352</v>
      </c>
      <c r="Z237" s="2">
        <f t="shared" si="3"/>
        <v>44958</v>
      </c>
      <c r="AA237">
        <f>(YEAR(Table1_1[[#This Row],[OrderMonth]])-YEAR(Table1_1[[#This Row],[Firstmonth]]))*12+(MONTH(Table1_1[[#This Row],[OrderMonth]])-MONTH(Table1_1[[#This Row],[Firstmonth]]))</f>
        <v>13</v>
      </c>
    </row>
    <row r="238" spans="1:27" x14ac:dyDescent="0.25">
      <c r="A238" s="11" t="s">
        <v>350</v>
      </c>
      <c r="B238" s="2">
        <v>45131</v>
      </c>
      <c r="C238" s="2">
        <v>45157</v>
      </c>
      <c r="D238" s="11" t="s">
        <v>1413</v>
      </c>
      <c r="E238">
        <v>26</v>
      </c>
      <c r="F238" s="11" t="s">
        <v>1485</v>
      </c>
      <c r="G238" s="11" t="s">
        <v>1449</v>
      </c>
      <c r="H238" s="11" t="s">
        <v>1486</v>
      </c>
      <c r="I238" s="11" t="s">
        <v>647</v>
      </c>
      <c r="J238" s="11" t="s">
        <v>651</v>
      </c>
      <c r="K238" s="11" t="s">
        <v>674</v>
      </c>
      <c r="L238" s="11" t="s">
        <v>1015</v>
      </c>
      <c r="M238" s="10">
        <v>24</v>
      </c>
      <c r="N238">
        <v>661.45</v>
      </c>
      <c r="O238" s="3">
        <v>1634.86</v>
      </c>
      <c r="P238" s="11" t="s">
        <v>1466</v>
      </c>
      <c r="Q238" s="4">
        <v>0.56499999999999995</v>
      </c>
      <c r="R238" s="3">
        <v>17067.938400000003</v>
      </c>
      <c r="S238" s="3">
        <v>15874.800000000001</v>
      </c>
      <c r="T238" s="4">
        <v>6.9905244092045807E-2</v>
      </c>
      <c r="U238" s="11" t="s">
        <v>665</v>
      </c>
      <c r="V238" s="3">
        <v>1193.1384000000016</v>
      </c>
      <c r="W238" s="11" t="s">
        <v>1430</v>
      </c>
      <c r="X238" t="str">
        <f>TEXT(Table1_1[[#This Row],[OrderDate]],"mm yyyy")</f>
        <v>07 2023</v>
      </c>
      <c r="Y238" s="13">
        <f>DATE(YEAR(Table1_1[[#This Row],[OrderDate]]),MONTH(B238),1)</f>
        <v>45108</v>
      </c>
      <c r="Z238" s="2">
        <f t="shared" si="3"/>
        <v>44927</v>
      </c>
      <c r="AA238">
        <f>(YEAR(Table1_1[[#This Row],[OrderMonth]])-YEAR(Table1_1[[#This Row],[Firstmonth]]))*12+(MONTH(Table1_1[[#This Row],[OrderMonth]])-MONTH(Table1_1[[#This Row],[Firstmonth]]))</f>
        <v>6</v>
      </c>
    </row>
    <row r="239" spans="1:27" x14ac:dyDescent="0.25">
      <c r="A239" s="11" t="s">
        <v>352</v>
      </c>
      <c r="B239" s="2">
        <v>45594</v>
      </c>
      <c r="C239" s="2">
        <v>45600</v>
      </c>
      <c r="D239" s="11" t="s">
        <v>1413</v>
      </c>
      <c r="E239">
        <v>6</v>
      </c>
      <c r="F239" s="11" t="s">
        <v>1485</v>
      </c>
      <c r="G239" s="11" t="s">
        <v>1449</v>
      </c>
      <c r="H239" s="11" t="s">
        <v>1486</v>
      </c>
      <c r="I239" s="11" t="s">
        <v>642</v>
      </c>
      <c r="J239" s="11" t="s">
        <v>651</v>
      </c>
      <c r="K239" s="11" t="s">
        <v>669</v>
      </c>
      <c r="L239" s="11" t="s">
        <v>1017</v>
      </c>
      <c r="M239" s="10">
        <v>61</v>
      </c>
      <c r="N239">
        <v>805.81</v>
      </c>
      <c r="O239" s="3">
        <v>1823.04</v>
      </c>
      <c r="P239" s="11" t="s">
        <v>1471</v>
      </c>
      <c r="Q239" s="4">
        <v>0</v>
      </c>
      <c r="R239" s="3">
        <v>111205.44</v>
      </c>
      <c r="S239" s="3">
        <v>49154.409999999996</v>
      </c>
      <c r="T239" s="4">
        <v>0.55798556257679499</v>
      </c>
      <c r="U239" s="11" t="s">
        <v>665</v>
      </c>
      <c r="V239" s="3">
        <v>62051.030000000006</v>
      </c>
      <c r="W239" s="11" t="s">
        <v>1440</v>
      </c>
      <c r="X239" t="str">
        <f>TEXT(Table1_1[[#This Row],[OrderDate]],"mm yyyy")</f>
        <v>10 2024</v>
      </c>
      <c r="Y239" s="13">
        <f>DATE(YEAR(Table1_1[[#This Row],[OrderDate]]),MONTH(B239),1)</f>
        <v>45566</v>
      </c>
      <c r="Z239" s="2">
        <f t="shared" si="3"/>
        <v>44927</v>
      </c>
      <c r="AA239">
        <f>(YEAR(Table1_1[[#This Row],[OrderMonth]])-YEAR(Table1_1[[#This Row],[Firstmonth]]))*12+(MONTH(Table1_1[[#This Row],[OrderMonth]])-MONTH(Table1_1[[#This Row],[Firstmonth]]))</f>
        <v>21</v>
      </c>
    </row>
    <row r="240" spans="1:27" x14ac:dyDescent="0.25">
      <c r="A240" s="11" t="s">
        <v>195</v>
      </c>
      <c r="B240" s="2">
        <v>45587</v>
      </c>
      <c r="C240" s="2">
        <v>45594</v>
      </c>
      <c r="D240" s="11" t="s">
        <v>1413</v>
      </c>
      <c r="E240">
        <v>7</v>
      </c>
      <c r="F240" s="11" t="s">
        <v>1485</v>
      </c>
      <c r="G240" s="11" t="s">
        <v>1495</v>
      </c>
      <c r="H240" s="11" t="s">
        <v>1496</v>
      </c>
      <c r="I240" s="11" t="s">
        <v>647</v>
      </c>
      <c r="J240" s="11" t="s">
        <v>651</v>
      </c>
      <c r="K240" s="11" t="s">
        <v>673</v>
      </c>
      <c r="L240" s="11" t="s">
        <v>859</v>
      </c>
      <c r="M240" s="10">
        <v>10</v>
      </c>
      <c r="N240">
        <v>1023.06</v>
      </c>
      <c r="O240" s="3">
        <v>1355.61</v>
      </c>
      <c r="P240" s="11" t="s">
        <v>1466</v>
      </c>
      <c r="Q240" s="4">
        <v>0.153</v>
      </c>
      <c r="R240" s="3">
        <v>11482.016699999998</v>
      </c>
      <c r="S240" s="3">
        <v>10230.599999999999</v>
      </c>
      <c r="T240" s="4">
        <v>0.10898927711888801</v>
      </c>
      <c r="U240" s="11" t="s">
        <v>665</v>
      </c>
      <c r="V240" s="3">
        <v>1251.4166999999998</v>
      </c>
      <c r="W240" s="11" t="s">
        <v>1440</v>
      </c>
      <c r="X240" t="str">
        <f>TEXT(Table1_1[[#This Row],[OrderDate]],"mm yyyy")</f>
        <v>10 2024</v>
      </c>
      <c r="Y240" s="13">
        <f>DATE(YEAR(Table1_1[[#This Row],[OrderDate]]),MONTH(B240),1)</f>
        <v>45566</v>
      </c>
      <c r="Z240" s="2">
        <f t="shared" si="3"/>
        <v>45047</v>
      </c>
      <c r="AA240">
        <f>(YEAR(Table1_1[[#This Row],[OrderMonth]])-YEAR(Table1_1[[#This Row],[Firstmonth]]))*12+(MONTH(Table1_1[[#This Row],[OrderMonth]])-MONTH(Table1_1[[#This Row],[Firstmonth]]))</f>
        <v>17</v>
      </c>
    </row>
    <row r="241" spans="1:27" x14ac:dyDescent="0.25">
      <c r="A241" s="11" t="s">
        <v>254</v>
      </c>
      <c r="B241" s="2">
        <v>45035</v>
      </c>
      <c r="C241" s="2">
        <v>45044</v>
      </c>
      <c r="D241" s="11" t="s">
        <v>1413</v>
      </c>
      <c r="E241">
        <v>9</v>
      </c>
      <c r="F241" s="11" t="s">
        <v>1473</v>
      </c>
      <c r="G241" s="11" t="s">
        <v>1505</v>
      </c>
      <c r="H241" s="11" t="s">
        <v>1506</v>
      </c>
      <c r="I241" s="11" t="s">
        <v>642</v>
      </c>
      <c r="J241" s="11" t="s">
        <v>651</v>
      </c>
      <c r="K241" s="11" t="s">
        <v>671</v>
      </c>
      <c r="L241" s="11" t="s">
        <v>919</v>
      </c>
      <c r="M241" s="10">
        <v>17</v>
      </c>
      <c r="N241">
        <v>1013.54</v>
      </c>
      <c r="O241" s="3">
        <v>927.93</v>
      </c>
      <c r="P241" s="11" t="s">
        <v>1466</v>
      </c>
      <c r="Q241" s="4">
        <v>0.17499999999999999</v>
      </c>
      <c r="R241" s="3">
        <v>13014.218249999998</v>
      </c>
      <c r="S241" s="3">
        <v>17230.18</v>
      </c>
      <c r="T241" s="4">
        <v>-0.32395044166406201</v>
      </c>
      <c r="U241" s="11" t="s">
        <v>665</v>
      </c>
      <c r="V241" s="3">
        <v>-4215.9617500000022</v>
      </c>
      <c r="W241" s="11" t="s">
        <v>1435</v>
      </c>
      <c r="X241" t="str">
        <f>TEXT(Table1_1[[#This Row],[OrderDate]],"mm yyyy")</f>
        <v>04 2023</v>
      </c>
      <c r="Y241" s="13">
        <f>DATE(YEAR(Table1_1[[#This Row],[OrderDate]]),MONTH(B241),1)</f>
        <v>45017</v>
      </c>
      <c r="Z241" s="2">
        <f t="shared" si="3"/>
        <v>45017</v>
      </c>
      <c r="AA241">
        <f>(YEAR(Table1_1[[#This Row],[OrderMonth]])-YEAR(Table1_1[[#This Row],[Firstmonth]]))*12+(MONTH(Table1_1[[#This Row],[OrderMonth]])-MONTH(Table1_1[[#This Row],[Firstmonth]]))</f>
        <v>0</v>
      </c>
    </row>
    <row r="242" spans="1:27" x14ac:dyDescent="0.25">
      <c r="A242" s="11" t="s">
        <v>275</v>
      </c>
      <c r="B242" s="2">
        <v>45902</v>
      </c>
      <c r="C242" s="2">
        <v>45911</v>
      </c>
      <c r="D242" s="11" t="s">
        <v>1413</v>
      </c>
      <c r="E242">
        <v>9</v>
      </c>
      <c r="F242" s="11" t="s">
        <v>1473</v>
      </c>
      <c r="G242" s="11" t="s">
        <v>1452</v>
      </c>
      <c r="H242" s="11" t="s">
        <v>1474</v>
      </c>
      <c r="I242" s="11" t="s">
        <v>642</v>
      </c>
      <c r="J242" s="11" t="s">
        <v>651</v>
      </c>
      <c r="K242" s="11" t="s">
        <v>669</v>
      </c>
      <c r="L242" s="11" t="s">
        <v>940</v>
      </c>
      <c r="M242" s="10">
        <v>8</v>
      </c>
      <c r="N242">
        <v>1207.6300000000001</v>
      </c>
      <c r="O242" s="3">
        <v>921.68</v>
      </c>
      <c r="P242" s="11" t="s">
        <v>1466</v>
      </c>
      <c r="Q242" s="4">
        <v>0.19600000000000001</v>
      </c>
      <c r="R242" s="3">
        <v>5928.2457599999998</v>
      </c>
      <c r="S242" s="3">
        <v>9661.0400000000009</v>
      </c>
      <c r="T242" s="4">
        <v>-0.62966253274897999</v>
      </c>
      <c r="U242" s="11" t="s">
        <v>665</v>
      </c>
      <c r="V242" s="3">
        <v>-3732.7942400000011</v>
      </c>
      <c r="W242" s="11" t="s">
        <v>1438</v>
      </c>
      <c r="X242" t="str">
        <f>TEXT(Table1_1[[#This Row],[OrderDate]],"mm yyyy")</f>
        <v>09 2025</v>
      </c>
      <c r="Y242" s="13">
        <f>DATE(YEAR(Table1_1[[#This Row],[OrderDate]]),MONTH(B242),1)</f>
        <v>45901</v>
      </c>
      <c r="Z242" s="2">
        <f t="shared" si="3"/>
        <v>44958</v>
      </c>
      <c r="AA242">
        <f>(YEAR(Table1_1[[#This Row],[OrderMonth]])-YEAR(Table1_1[[#This Row],[Firstmonth]]))*12+(MONTH(Table1_1[[#This Row],[OrderMonth]])-MONTH(Table1_1[[#This Row],[Firstmonth]]))</f>
        <v>31</v>
      </c>
    </row>
    <row r="243" spans="1:27" x14ac:dyDescent="0.25">
      <c r="A243" s="11" t="s">
        <v>273</v>
      </c>
      <c r="B243" s="2">
        <v>45829</v>
      </c>
      <c r="C243" s="2">
        <v>45835</v>
      </c>
      <c r="D243" s="11" t="s">
        <v>1413</v>
      </c>
      <c r="E243">
        <v>6</v>
      </c>
      <c r="F243" s="11" t="s">
        <v>1485</v>
      </c>
      <c r="G243" s="11" t="s">
        <v>1490</v>
      </c>
      <c r="H243" s="11" t="s">
        <v>1515</v>
      </c>
      <c r="I243" s="11" t="s">
        <v>647</v>
      </c>
      <c r="J243" s="11" t="s">
        <v>651</v>
      </c>
      <c r="K243" s="11" t="s">
        <v>671</v>
      </c>
      <c r="L243" s="11" t="s">
        <v>938</v>
      </c>
      <c r="M243" s="10">
        <v>8</v>
      </c>
      <c r="N243">
        <v>93.91</v>
      </c>
      <c r="O243" s="3">
        <v>99.04</v>
      </c>
      <c r="P243" s="11" t="s">
        <v>1468</v>
      </c>
      <c r="Q243" s="4">
        <v>5.7000000000000002E-2</v>
      </c>
      <c r="R243" s="3">
        <v>747.15776000000005</v>
      </c>
      <c r="S243" s="3">
        <v>751.28</v>
      </c>
      <c r="T243" s="4">
        <v>-5.5172283829320297E-3</v>
      </c>
      <c r="U243" s="11" t="s">
        <v>666</v>
      </c>
      <c r="V243" s="3">
        <v>-4.1222399999999197</v>
      </c>
      <c r="W243" s="11" t="s">
        <v>1431</v>
      </c>
      <c r="X243" t="str">
        <f>TEXT(Table1_1[[#This Row],[OrderDate]],"mm yyyy")</f>
        <v>06 2025</v>
      </c>
      <c r="Y243" s="13">
        <f>DATE(YEAR(Table1_1[[#This Row],[OrderDate]]),MONTH(B243),1)</f>
        <v>45809</v>
      </c>
      <c r="Z243" s="2">
        <f t="shared" si="3"/>
        <v>44958</v>
      </c>
      <c r="AA243">
        <f>(YEAR(Table1_1[[#This Row],[OrderMonth]])-YEAR(Table1_1[[#This Row],[Firstmonth]]))*12+(MONTH(Table1_1[[#This Row],[OrderMonth]])-MONTH(Table1_1[[#This Row],[Firstmonth]]))</f>
        <v>28</v>
      </c>
    </row>
    <row r="244" spans="1:27" x14ac:dyDescent="0.25">
      <c r="A244" s="11" t="s">
        <v>554</v>
      </c>
      <c r="B244" s="2">
        <v>45108</v>
      </c>
      <c r="C244" s="2">
        <v>45115</v>
      </c>
      <c r="D244" s="11" t="s">
        <v>1413</v>
      </c>
      <c r="E244">
        <v>7</v>
      </c>
      <c r="F244" s="11" t="s">
        <v>1464</v>
      </c>
      <c r="G244" s="11" t="s">
        <v>1455</v>
      </c>
      <c r="H244" s="11" t="s">
        <v>1467</v>
      </c>
      <c r="I244" s="11" t="s">
        <v>646</v>
      </c>
      <c r="J244" s="11" t="s">
        <v>651</v>
      </c>
      <c r="K244" s="11" t="s">
        <v>672</v>
      </c>
      <c r="L244" s="11" t="s">
        <v>1217</v>
      </c>
      <c r="M244" s="10">
        <v>22</v>
      </c>
      <c r="N244">
        <v>460.21</v>
      </c>
      <c r="O244" s="3">
        <v>1139.1500000000001</v>
      </c>
      <c r="P244" s="11" t="s">
        <v>1466</v>
      </c>
      <c r="Q244" s="4">
        <v>0.115</v>
      </c>
      <c r="R244" s="3">
        <v>22179.250500000002</v>
      </c>
      <c r="S244" s="3">
        <v>10124.619999999999</v>
      </c>
      <c r="T244" s="4">
        <v>0.54350937151821299</v>
      </c>
      <c r="U244" s="11" t="s">
        <v>666</v>
      </c>
      <c r="V244" s="3">
        <v>12054.630500000003</v>
      </c>
      <c r="W244" s="11" t="s">
        <v>1430</v>
      </c>
      <c r="X244" t="str">
        <f>TEXT(Table1_1[[#This Row],[OrderDate]],"mm yyyy")</f>
        <v>07 2023</v>
      </c>
      <c r="Y244" s="13">
        <f>DATE(YEAR(Table1_1[[#This Row],[OrderDate]]),MONTH(B244),1)</f>
        <v>45108</v>
      </c>
      <c r="Z244" s="2">
        <f t="shared" si="3"/>
        <v>44927</v>
      </c>
      <c r="AA244">
        <f>(YEAR(Table1_1[[#This Row],[OrderMonth]])-YEAR(Table1_1[[#This Row],[Firstmonth]]))*12+(MONTH(Table1_1[[#This Row],[OrderMonth]])-MONTH(Table1_1[[#This Row],[Firstmonth]]))</f>
        <v>6</v>
      </c>
    </row>
    <row r="245" spans="1:27" x14ac:dyDescent="0.25">
      <c r="A245" s="11" t="s">
        <v>525</v>
      </c>
      <c r="B245" s="2">
        <v>45874</v>
      </c>
      <c r="C245" s="2">
        <v>45897</v>
      </c>
      <c r="D245" s="11" t="s">
        <v>1413</v>
      </c>
      <c r="E245">
        <v>23</v>
      </c>
      <c r="F245" s="11" t="s">
        <v>1476</v>
      </c>
      <c r="G245" s="11" t="s">
        <v>1453</v>
      </c>
      <c r="H245" s="11" t="s">
        <v>1493</v>
      </c>
      <c r="I245" s="11" t="s">
        <v>644</v>
      </c>
      <c r="J245" s="11" t="s">
        <v>651</v>
      </c>
      <c r="K245" s="11" t="s">
        <v>672</v>
      </c>
      <c r="L245" s="11" t="s">
        <v>1189</v>
      </c>
      <c r="M245" s="10">
        <v>8</v>
      </c>
      <c r="N245">
        <v>638.54</v>
      </c>
      <c r="O245" s="3">
        <v>987.24</v>
      </c>
      <c r="P245" s="11" t="s">
        <v>1466</v>
      </c>
      <c r="Q245" s="4">
        <v>0</v>
      </c>
      <c r="R245" s="3">
        <v>7897.92</v>
      </c>
      <c r="S245" s="3">
        <v>5108.32</v>
      </c>
      <c r="T245" s="4">
        <v>0.353206920303067</v>
      </c>
      <c r="U245" s="11" t="s">
        <v>666</v>
      </c>
      <c r="V245" s="3">
        <v>2789.6000000000004</v>
      </c>
      <c r="W245" s="11" t="s">
        <v>1438</v>
      </c>
      <c r="X245" t="str">
        <f>TEXT(Table1_1[[#This Row],[OrderDate]],"mm yyyy")</f>
        <v>08 2025</v>
      </c>
      <c r="Y245" s="13">
        <f>DATE(YEAR(Table1_1[[#This Row],[OrderDate]]),MONTH(B245),1)</f>
        <v>45870</v>
      </c>
      <c r="Z245" s="2">
        <f t="shared" si="3"/>
        <v>44927</v>
      </c>
      <c r="AA245">
        <f>(YEAR(Table1_1[[#This Row],[OrderMonth]])-YEAR(Table1_1[[#This Row],[Firstmonth]]))*12+(MONTH(Table1_1[[#This Row],[OrderMonth]])-MONTH(Table1_1[[#This Row],[Firstmonth]]))</f>
        <v>31</v>
      </c>
    </row>
    <row r="246" spans="1:27" x14ac:dyDescent="0.25">
      <c r="A246" s="11" t="s">
        <v>571</v>
      </c>
      <c r="B246" s="2">
        <v>45590</v>
      </c>
      <c r="C246" s="2">
        <v>45601</v>
      </c>
      <c r="D246" s="11" t="s">
        <v>1413</v>
      </c>
      <c r="E246">
        <v>11</v>
      </c>
      <c r="F246" s="11" t="s">
        <v>1473</v>
      </c>
      <c r="G246" s="11" t="s">
        <v>1516</v>
      </c>
      <c r="H246" s="11" t="s">
        <v>1517</v>
      </c>
      <c r="I246" s="11" t="s">
        <v>642</v>
      </c>
      <c r="J246" s="11" t="s">
        <v>651</v>
      </c>
      <c r="K246" s="11" t="s">
        <v>668</v>
      </c>
      <c r="L246" s="11" t="s">
        <v>1234</v>
      </c>
      <c r="M246" s="10">
        <v>16</v>
      </c>
      <c r="N246">
        <v>446.66</v>
      </c>
      <c r="O246" s="3">
        <v>527.64</v>
      </c>
      <c r="P246" s="11" t="s">
        <v>1468</v>
      </c>
      <c r="Q246" s="4">
        <v>0.14499999999999999</v>
      </c>
      <c r="R246" s="3">
        <v>7218.1151999999993</v>
      </c>
      <c r="S246" s="3">
        <v>7146.56</v>
      </c>
      <c r="T246" s="4">
        <v>9.9132804087137399E-3</v>
      </c>
      <c r="U246" s="11" t="s">
        <v>666</v>
      </c>
      <c r="V246" s="3">
        <v>71.555199999998877</v>
      </c>
      <c r="W246" s="11" t="s">
        <v>1440</v>
      </c>
      <c r="X246" t="str">
        <f>TEXT(Table1_1[[#This Row],[OrderDate]],"mm yyyy")</f>
        <v>10 2024</v>
      </c>
      <c r="Y246" s="13">
        <f>DATE(YEAR(Table1_1[[#This Row],[OrderDate]]),MONTH(B246),1)</f>
        <v>45566</v>
      </c>
      <c r="Z246" s="2">
        <f t="shared" si="3"/>
        <v>44958</v>
      </c>
      <c r="AA246">
        <f>(YEAR(Table1_1[[#This Row],[OrderMonth]])-YEAR(Table1_1[[#This Row],[Firstmonth]]))*12+(MONTH(Table1_1[[#This Row],[OrderMonth]])-MONTH(Table1_1[[#This Row],[Firstmonth]]))</f>
        <v>20</v>
      </c>
    </row>
    <row r="247" spans="1:27" x14ac:dyDescent="0.25">
      <c r="A247" s="11" t="s">
        <v>641</v>
      </c>
      <c r="B247" s="2">
        <v>45716</v>
      </c>
      <c r="C247" s="2">
        <v>45726</v>
      </c>
      <c r="D247" s="11" t="s">
        <v>1413</v>
      </c>
      <c r="E247">
        <v>10</v>
      </c>
      <c r="F247" s="11" t="s">
        <v>1476</v>
      </c>
      <c r="G247" s="11" t="s">
        <v>1451</v>
      </c>
      <c r="H247" s="11" t="s">
        <v>1487</v>
      </c>
      <c r="I247" s="11" t="s">
        <v>643</v>
      </c>
      <c r="J247" s="11" t="s">
        <v>651</v>
      </c>
      <c r="K247" s="11" t="s">
        <v>672</v>
      </c>
      <c r="L247" s="11" t="s">
        <v>1304</v>
      </c>
      <c r="M247" s="10">
        <v>23</v>
      </c>
      <c r="N247">
        <v>51.86</v>
      </c>
      <c r="O247" s="3">
        <v>45.98</v>
      </c>
      <c r="P247" s="11" t="s">
        <v>1468</v>
      </c>
      <c r="Q247" s="4">
        <v>0.17299999999999999</v>
      </c>
      <c r="R247" s="3">
        <v>874.58557999999994</v>
      </c>
      <c r="S247" s="3">
        <v>1192.78</v>
      </c>
      <c r="T247" s="4">
        <v>-0.36382308064123398</v>
      </c>
      <c r="U247" s="11" t="s">
        <v>666</v>
      </c>
      <c r="V247" s="3">
        <v>-318.19442000000004</v>
      </c>
      <c r="W247" s="11" t="s">
        <v>1434</v>
      </c>
      <c r="X247" t="str">
        <f>TEXT(Table1_1[[#This Row],[OrderDate]],"mm yyyy")</f>
        <v>02 2025</v>
      </c>
      <c r="Y247" s="13">
        <f>DATE(YEAR(Table1_1[[#This Row],[OrderDate]]),MONTH(B247),1)</f>
        <v>45689</v>
      </c>
      <c r="Z247" s="2">
        <f t="shared" si="3"/>
        <v>44986</v>
      </c>
      <c r="AA247">
        <f>(YEAR(Table1_1[[#This Row],[OrderMonth]])-YEAR(Table1_1[[#This Row],[Firstmonth]]))*12+(MONTH(Table1_1[[#This Row],[OrderMonth]])-MONTH(Table1_1[[#This Row],[Firstmonth]]))</f>
        <v>23</v>
      </c>
    </row>
    <row r="248" spans="1:27" x14ac:dyDescent="0.25">
      <c r="A248" s="11" t="s">
        <v>637</v>
      </c>
      <c r="B248" s="2">
        <v>45141</v>
      </c>
      <c r="C248" s="2">
        <v>45168</v>
      </c>
      <c r="D248" s="11" t="s">
        <v>1413</v>
      </c>
      <c r="E248">
        <v>27</v>
      </c>
      <c r="F248" s="11" t="s">
        <v>1476</v>
      </c>
      <c r="G248" s="11" t="s">
        <v>1457</v>
      </c>
      <c r="H248" s="11" t="s">
        <v>1511</v>
      </c>
      <c r="I248" s="11" t="s">
        <v>645</v>
      </c>
      <c r="J248" s="11" t="s">
        <v>651</v>
      </c>
      <c r="K248" s="11" t="s">
        <v>673</v>
      </c>
      <c r="L248" s="11" t="s">
        <v>1300</v>
      </c>
      <c r="M248" s="10">
        <v>6</v>
      </c>
      <c r="N248">
        <v>226.04</v>
      </c>
      <c r="O248" s="3">
        <v>545.72</v>
      </c>
      <c r="P248" s="11" t="s">
        <v>1468</v>
      </c>
      <c r="Q248" s="4">
        <v>0.151</v>
      </c>
      <c r="R248" s="3">
        <v>2779.89768</v>
      </c>
      <c r="S248" s="3">
        <v>1356.24</v>
      </c>
      <c r="T248" s="4">
        <v>0.51212592831834003</v>
      </c>
      <c r="U248" s="11" t="s">
        <v>666</v>
      </c>
      <c r="V248" s="3">
        <v>1423.65768</v>
      </c>
      <c r="W248" s="11" t="s">
        <v>1430</v>
      </c>
      <c r="X248" t="str">
        <f>TEXT(Table1_1[[#This Row],[OrderDate]],"mm yyyy")</f>
        <v>08 2023</v>
      </c>
      <c r="Y248" s="13">
        <f>DATE(YEAR(Table1_1[[#This Row],[OrderDate]]),MONTH(B248),1)</f>
        <v>45139</v>
      </c>
      <c r="Z248" s="2">
        <f t="shared" si="3"/>
        <v>44927</v>
      </c>
      <c r="AA248">
        <f>(YEAR(Table1_1[[#This Row],[OrderMonth]])-YEAR(Table1_1[[#This Row],[Firstmonth]]))*12+(MONTH(Table1_1[[#This Row],[OrderMonth]])-MONTH(Table1_1[[#This Row],[Firstmonth]]))</f>
        <v>7</v>
      </c>
    </row>
    <row r="249" spans="1:27" x14ac:dyDescent="0.25">
      <c r="A249" s="11" t="s">
        <v>470</v>
      </c>
      <c r="B249" s="2">
        <v>45116</v>
      </c>
      <c r="C249" s="2">
        <v>45126</v>
      </c>
      <c r="D249" s="11" t="s">
        <v>1413</v>
      </c>
      <c r="E249">
        <v>10</v>
      </c>
      <c r="F249" s="11" t="s">
        <v>1476</v>
      </c>
      <c r="G249" s="11" t="s">
        <v>1451</v>
      </c>
      <c r="H249" s="11" t="s">
        <v>1510</v>
      </c>
      <c r="I249" s="11" t="s">
        <v>647</v>
      </c>
      <c r="J249" s="11" t="s">
        <v>651</v>
      </c>
      <c r="K249" s="11" t="s">
        <v>668</v>
      </c>
      <c r="L249" s="11" t="s">
        <v>1134</v>
      </c>
      <c r="M249" s="10">
        <v>18</v>
      </c>
      <c r="N249">
        <v>141.26</v>
      </c>
      <c r="O249" s="3">
        <v>206.88</v>
      </c>
      <c r="P249" s="11" t="s">
        <v>1468</v>
      </c>
      <c r="Q249" s="4">
        <v>0.107</v>
      </c>
      <c r="R249" s="3">
        <v>3325.3891200000003</v>
      </c>
      <c r="S249" s="3">
        <v>2542.6799999999998</v>
      </c>
      <c r="T249" s="4">
        <v>0.23537369365062499</v>
      </c>
      <c r="U249" s="11" t="s">
        <v>666</v>
      </c>
      <c r="V249" s="3">
        <v>782.70912000000044</v>
      </c>
      <c r="W249" s="11" t="s">
        <v>1430</v>
      </c>
      <c r="X249" t="str">
        <f>TEXT(Table1_1[[#This Row],[OrderDate]],"mm yyyy")</f>
        <v>07 2023</v>
      </c>
      <c r="Y249" s="13">
        <f>DATE(YEAR(Table1_1[[#This Row],[OrderDate]]),MONTH(B249),1)</f>
        <v>45108</v>
      </c>
      <c r="Z249" s="2">
        <f t="shared" si="3"/>
        <v>44986</v>
      </c>
      <c r="AA249">
        <f>(YEAR(Table1_1[[#This Row],[OrderMonth]])-YEAR(Table1_1[[#This Row],[Firstmonth]]))*12+(MONTH(Table1_1[[#This Row],[OrderMonth]])-MONTH(Table1_1[[#This Row],[Firstmonth]]))</f>
        <v>4</v>
      </c>
    </row>
    <row r="250" spans="1:27" x14ac:dyDescent="0.25">
      <c r="A250" s="11" t="s">
        <v>491</v>
      </c>
      <c r="B250" s="2">
        <v>45538</v>
      </c>
      <c r="C250" s="2">
        <v>45542</v>
      </c>
      <c r="D250" s="11" t="s">
        <v>1413</v>
      </c>
      <c r="E250">
        <v>4</v>
      </c>
      <c r="F250" s="11" t="s">
        <v>1476</v>
      </c>
      <c r="G250" s="11" t="s">
        <v>1451</v>
      </c>
      <c r="H250" s="11" t="s">
        <v>1510</v>
      </c>
      <c r="I250" s="11" t="s">
        <v>646</v>
      </c>
      <c r="J250" s="11" t="s">
        <v>651</v>
      </c>
      <c r="K250" s="11" t="s">
        <v>669</v>
      </c>
      <c r="L250" s="11" t="s">
        <v>1155</v>
      </c>
      <c r="M250" s="10">
        <v>4</v>
      </c>
      <c r="N250">
        <v>43.23</v>
      </c>
      <c r="O250" s="3">
        <v>94.78</v>
      </c>
      <c r="P250" s="11" t="s">
        <v>1468</v>
      </c>
      <c r="Q250" s="4">
        <v>9.0999999999999998E-2</v>
      </c>
      <c r="R250" s="3">
        <v>344.62008000000003</v>
      </c>
      <c r="S250" s="3">
        <v>172.92</v>
      </c>
      <c r="T250" s="4">
        <v>0.49823005090127098</v>
      </c>
      <c r="U250" s="11" t="s">
        <v>666</v>
      </c>
      <c r="V250" s="3">
        <v>171.70008000000004</v>
      </c>
      <c r="W250" s="11" t="s">
        <v>1437</v>
      </c>
      <c r="X250" t="str">
        <f>TEXT(Table1_1[[#This Row],[OrderDate]],"mm yyyy")</f>
        <v>09 2024</v>
      </c>
      <c r="Y250" s="13">
        <f>DATE(YEAR(Table1_1[[#This Row],[OrderDate]]),MONTH(B250),1)</f>
        <v>45536</v>
      </c>
      <c r="Z250" s="2">
        <f t="shared" si="3"/>
        <v>44986</v>
      </c>
      <c r="AA250">
        <f>(YEAR(Table1_1[[#This Row],[OrderMonth]])-YEAR(Table1_1[[#This Row],[Firstmonth]]))*12+(MONTH(Table1_1[[#This Row],[OrderMonth]])-MONTH(Table1_1[[#This Row],[Firstmonth]]))</f>
        <v>18</v>
      </c>
    </row>
    <row r="251" spans="1:27" x14ac:dyDescent="0.25">
      <c r="A251" s="11" t="s">
        <v>620</v>
      </c>
      <c r="B251" s="2">
        <v>45032</v>
      </c>
      <c r="C251" s="2">
        <v>45039</v>
      </c>
      <c r="D251" s="11" t="s">
        <v>1413</v>
      </c>
      <c r="E251">
        <v>7</v>
      </c>
      <c r="F251" s="11" t="s">
        <v>1473</v>
      </c>
      <c r="G251" s="11" t="s">
        <v>1458</v>
      </c>
      <c r="H251" s="11" t="s">
        <v>1500</v>
      </c>
      <c r="I251" s="11" t="s">
        <v>642</v>
      </c>
      <c r="J251" s="11" t="s">
        <v>651</v>
      </c>
      <c r="K251" s="11" t="s">
        <v>669</v>
      </c>
      <c r="L251" s="11" t="s">
        <v>1283</v>
      </c>
      <c r="M251" s="10">
        <v>8</v>
      </c>
      <c r="N251">
        <v>1099.1500000000001</v>
      </c>
      <c r="O251" s="3">
        <v>1431.37</v>
      </c>
      <c r="P251" s="11" t="s">
        <v>1466</v>
      </c>
      <c r="Q251" s="4">
        <v>0.104</v>
      </c>
      <c r="R251" s="3">
        <v>10260.060159999999</v>
      </c>
      <c r="S251" s="3">
        <v>8793.2000000000007</v>
      </c>
      <c r="T251" s="4">
        <v>0.14296798821109399</v>
      </c>
      <c r="U251" s="11" t="s">
        <v>660</v>
      </c>
      <c r="V251" s="3">
        <v>1466.8601599999984</v>
      </c>
      <c r="W251" s="11" t="s">
        <v>1435</v>
      </c>
      <c r="X251" t="str">
        <f>TEXT(Table1_1[[#This Row],[OrderDate]],"mm yyyy")</f>
        <v>04 2023</v>
      </c>
      <c r="Y251" s="13">
        <f>DATE(YEAR(Table1_1[[#This Row],[OrderDate]]),MONTH(B251),1)</f>
        <v>45017</v>
      </c>
      <c r="Z251" s="2">
        <f t="shared" si="3"/>
        <v>45017</v>
      </c>
      <c r="AA251">
        <f>(YEAR(Table1_1[[#This Row],[OrderMonth]])-YEAR(Table1_1[[#This Row],[Firstmonth]]))*12+(MONTH(Table1_1[[#This Row],[OrderMonth]])-MONTH(Table1_1[[#This Row],[Firstmonth]]))</f>
        <v>0</v>
      </c>
    </row>
    <row r="252" spans="1:27" x14ac:dyDescent="0.25">
      <c r="A252" s="11" t="s">
        <v>444</v>
      </c>
      <c r="B252" s="2">
        <v>45542</v>
      </c>
      <c r="C252" s="2">
        <v>45553</v>
      </c>
      <c r="D252" s="11" t="s">
        <v>1413</v>
      </c>
      <c r="E252">
        <v>11</v>
      </c>
      <c r="F252" s="11" t="s">
        <v>1476</v>
      </c>
      <c r="G252" s="11" t="s">
        <v>1457</v>
      </c>
      <c r="H252" s="11" t="s">
        <v>1477</v>
      </c>
      <c r="I252" s="11" t="s">
        <v>645</v>
      </c>
      <c r="J252" s="11" t="s">
        <v>651</v>
      </c>
      <c r="K252" s="11" t="s">
        <v>670</v>
      </c>
      <c r="L252" s="11" t="s">
        <v>1108</v>
      </c>
      <c r="M252" s="10">
        <v>14</v>
      </c>
      <c r="N252">
        <v>181.74</v>
      </c>
      <c r="O252" s="3">
        <v>190.84</v>
      </c>
      <c r="P252" s="11" t="s">
        <v>1468</v>
      </c>
      <c r="Q252" s="4">
        <v>0.214</v>
      </c>
      <c r="R252" s="3">
        <v>2100.0033600000002</v>
      </c>
      <c r="S252" s="3">
        <v>2544.36</v>
      </c>
      <c r="T252" s="4">
        <v>-0.211598061443102</v>
      </c>
      <c r="U252" s="11" t="s">
        <v>660</v>
      </c>
      <c r="V252" s="3">
        <v>-444.35663999999997</v>
      </c>
      <c r="W252" s="11" t="s">
        <v>1437</v>
      </c>
      <c r="X252" t="str">
        <f>TEXT(Table1_1[[#This Row],[OrderDate]],"mm yyyy")</f>
        <v>09 2024</v>
      </c>
      <c r="Y252" s="13">
        <f>DATE(YEAR(Table1_1[[#This Row],[OrderDate]]),MONTH(B252),1)</f>
        <v>45536</v>
      </c>
      <c r="Z252" s="2">
        <f t="shared" si="3"/>
        <v>44927</v>
      </c>
      <c r="AA252">
        <f>(YEAR(Table1_1[[#This Row],[OrderMonth]])-YEAR(Table1_1[[#This Row],[Firstmonth]]))*12+(MONTH(Table1_1[[#This Row],[OrderMonth]])-MONTH(Table1_1[[#This Row],[Firstmonth]]))</f>
        <v>20</v>
      </c>
    </row>
    <row r="253" spans="1:27" x14ac:dyDescent="0.25">
      <c r="A253" s="11" t="s">
        <v>62</v>
      </c>
      <c r="B253" s="2">
        <v>45582</v>
      </c>
      <c r="C253" s="2">
        <v>45602</v>
      </c>
      <c r="D253" s="11" t="s">
        <v>1413</v>
      </c>
      <c r="E253">
        <v>20</v>
      </c>
      <c r="F253" s="11" t="s">
        <v>1476</v>
      </c>
      <c r="G253" s="11" t="s">
        <v>1453</v>
      </c>
      <c r="H253" s="11" t="s">
        <v>1497</v>
      </c>
      <c r="I253" s="11" t="s">
        <v>647</v>
      </c>
      <c r="J253" s="11" t="s">
        <v>651</v>
      </c>
      <c r="K253" s="11" t="s">
        <v>673</v>
      </c>
      <c r="L253" s="11" t="s">
        <v>726</v>
      </c>
      <c r="M253" s="10">
        <v>24</v>
      </c>
      <c r="N253">
        <v>72.94</v>
      </c>
      <c r="O253" s="3">
        <v>106.3</v>
      </c>
      <c r="P253" s="11" t="s">
        <v>1468</v>
      </c>
      <c r="Q253" s="4">
        <v>0.29499999999999998</v>
      </c>
      <c r="R253" s="3">
        <v>1798.596</v>
      </c>
      <c r="S253" s="3">
        <v>1750.56</v>
      </c>
      <c r="T253" s="4">
        <v>2.6707498515508798E-2</v>
      </c>
      <c r="U253" s="11" t="s">
        <v>660</v>
      </c>
      <c r="V253" s="3">
        <v>48.036000000000058</v>
      </c>
      <c r="W253" s="11" t="s">
        <v>1440</v>
      </c>
      <c r="X253" t="str">
        <f>TEXT(Table1_1[[#This Row],[OrderDate]],"mm yyyy")</f>
        <v>10 2024</v>
      </c>
      <c r="Y253" s="13">
        <f>DATE(YEAR(Table1_1[[#This Row],[OrderDate]]),MONTH(B253),1)</f>
        <v>45566</v>
      </c>
      <c r="Z253" s="2">
        <f t="shared" si="3"/>
        <v>44927</v>
      </c>
      <c r="AA253">
        <f>(YEAR(Table1_1[[#This Row],[OrderMonth]])-YEAR(Table1_1[[#This Row],[Firstmonth]]))*12+(MONTH(Table1_1[[#This Row],[OrderMonth]])-MONTH(Table1_1[[#This Row],[Firstmonth]]))</f>
        <v>21</v>
      </c>
    </row>
    <row r="254" spans="1:27" x14ac:dyDescent="0.25">
      <c r="A254" s="11" t="s">
        <v>303</v>
      </c>
      <c r="B254" s="2">
        <v>45161</v>
      </c>
      <c r="C254" s="2">
        <v>45191</v>
      </c>
      <c r="D254" s="11" t="s">
        <v>1413</v>
      </c>
      <c r="E254">
        <v>30</v>
      </c>
      <c r="F254" s="11" t="s">
        <v>1464</v>
      </c>
      <c r="G254" s="11" t="s">
        <v>1469</v>
      </c>
      <c r="H254" s="11" t="s">
        <v>1470</v>
      </c>
      <c r="I254" s="11" t="s">
        <v>645</v>
      </c>
      <c r="J254" s="11" t="s">
        <v>651</v>
      </c>
      <c r="K254" s="11" t="s">
        <v>674</v>
      </c>
      <c r="L254" s="11" t="s">
        <v>968</v>
      </c>
      <c r="M254" s="10">
        <v>28</v>
      </c>
      <c r="N254">
        <v>209.81</v>
      </c>
      <c r="O254" s="3">
        <v>523</v>
      </c>
      <c r="P254" s="11" t="s">
        <v>1468</v>
      </c>
      <c r="Q254" s="4">
        <v>5.8999999999999997E-2</v>
      </c>
      <c r="R254" s="3">
        <v>13780.004000000001</v>
      </c>
      <c r="S254" s="3">
        <v>5874.68</v>
      </c>
      <c r="T254" s="4">
        <v>0.57368082041195401</v>
      </c>
      <c r="U254" s="11" t="s">
        <v>660</v>
      </c>
      <c r="V254" s="3">
        <v>7905.3240000000005</v>
      </c>
      <c r="W254" s="11" t="s">
        <v>1430</v>
      </c>
      <c r="X254" t="str">
        <f>TEXT(Table1_1[[#This Row],[OrderDate]],"mm yyyy")</f>
        <v>08 2023</v>
      </c>
      <c r="Y254" s="13">
        <f>DATE(YEAR(Table1_1[[#This Row],[OrderDate]]),MONTH(B254),1)</f>
        <v>45139</v>
      </c>
      <c r="Z254" s="2">
        <f t="shared" si="3"/>
        <v>44927</v>
      </c>
      <c r="AA254">
        <f>(YEAR(Table1_1[[#This Row],[OrderMonth]])-YEAR(Table1_1[[#This Row],[Firstmonth]]))*12+(MONTH(Table1_1[[#This Row],[OrderMonth]])-MONTH(Table1_1[[#This Row],[Firstmonth]]))</f>
        <v>7</v>
      </c>
    </row>
    <row r="255" spans="1:27" x14ac:dyDescent="0.25">
      <c r="A255" s="11" t="s">
        <v>64</v>
      </c>
      <c r="B255" s="2">
        <v>45678</v>
      </c>
      <c r="C255" s="2">
        <v>45704</v>
      </c>
      <c r="D255" s="11" t="s">
        <v>1413</v>
      </c>
      <c r="E255">
        <v>26</v>
      </c>
      <c r="F255" s="11" t="s">
        <v>1464</v>
      </c>
      <c r="G255" s="11" t="s">
        <v>1456</v>
      </c>
      <c r="H255" s="11" t="s">
        <v>1481</v>
      </c>
      <c r="I255" s="11" t="s">
        <v>642</v>
      </c>
      <c r="J255" s="11" t="s">
        <v>651</v>
      </c>
      <c r="K255" s="11" t="s">
        <v>672</v>
      </c>
      <c r="L255" s="11" t="s">
        <v>728</v>
      </c>
      <c r="M255" s="10">
        <v>16</v>
      </c>
      <c r="N255">
        <v>204.11</v>
      </c>
      <c r="O255" s="3">
        <v>236.87</v>
      </c>
      <c r="P255" s="11" t="s">
        <v>1468</v>
      </c>
      <c r="Q255" s="4">
        <v>0.182</v>
      </c>
      <c r="R255" s="3">
        <v>3100.1545600000004</v>
      </c>
      <c r="S255" s="3">
        <v>3265.76</v>
      </c>
      <c r="T255" s="4">
        <v>-5.3418446337075501E-2</v>
      </c>
      <c r="U255" s="11" t="s">
        <v>660</v>
      </c>
      <c r="V255" s="3">
        <v>-165.60543999999982</v>
      </c>
      <c r="W255" s="11" t="s">
        <v>1434</v>
      </c>
      <c r="X255" t="str">
        <f>TEXT(Table1_1[[#This Row],[OrderDate]],"mm yyyy")</f>
        <v>01 2025</v>
      </c>
      <c r="Y255" s="13">
        <f>DATE(YEAR(Table1_1[[#This Row],[OrderDate]]),MONTH(B255),1)</f>
        <v>45658</v>
      </c>
      <c r="Z255" s="2">
        <f t="shared" si="3"/>
        <v>44958</v>
      </c>
      <c r="AA255">
        <f>(YEAR(Table1_1[[#This Row],[OrderMonth]])-YEAR(Table1_1[[#This Row],[Firstmonth]]))*12+(MONTH(Table1_1[[#This Row],[OrderMonth]])-MONTH(Table1_1[[#This Row],[Firstmonth]]))</f>
        <v>23</v>
      </c>
    </row>
    <row r="256" spans="1:27" x14ac:dyDescent="0.25">
      <c r="A256" s="11" t="s">
        <v>586</v>
      </c>
      <c r="B256" s="2">
        <v>45872</v>
      </c>
      <c r="C256" s="2">
        <v>45885</v>
      </c>
      <c r="D256" s="11" t="s">
        <v>1413</v>
      </c>
      <c r="E256">
        <v>13</v>
      </c>
      <c r="F256" s="11" t="s">
        <v>1473</v>
      </c>
      <c r="G256" s="11" t="s">
        <v>1452</v>
      </c>
      <c r="H256" s="11" t="s">
        <v>1492</v>
      </c>
      <c r="I256" s="11" t="s">
        <v>647</v>
      </c>
      <c r="J256" s="11" t="s">
        <v>651</v>
      </c>
      <c r="K256" s="11" t="s">
        <v>670</v>
      </c>
      <c r="L256" s="11" t="s">
        <v>1249</v>
      </c>
      <c r="M256" s="10">
        <v>9</v>
      </c>
      <c r="N256">
        <v>698.66</v>
      </c>
      <c r="O256" s="3">
        <v>868.62</v>
      </c>
      <c r="P256" s="11" t="s">
        <v>1466</v>
      </c>
      <c r="Q256" s="4">
        <v>7.1999999999999995E-2</v>
      </c>
      <c r="R256" s="3">
        <v>7254.7142400000002</v>
      </c>
      <c r="S256" s="3">
        <v>6287.94</v>
      </c>
      <c r="T256" s="4">
        <v>0.13326151906432601</v>
      </c>
      <c r="U256" s="11" t="s">
        <v>660</v>
      </c>
      <c r="V256" s="3">
        <v>966.77424000000065</v>
      </c>
      <c r="W256" s="11" t="s">
        <v>1438</v>
      </c>
      <c r="X256" t="str">
        <f>TEXT(Table1_1[[#This Row],[OrderDate]],"mm yyyy")</f>
        <v>08 2025</v>
      </c>
      <c r="Y256" s="13">
        <f>DATE(YEAR(Table1_1[[#This Row],[OrderDate]]),MONTH(B256),1)</f>
        <v>45870</v>
      </c>
      <c r="Z256" s="2">
        <f t="shared" si="3"/>
        <v>44958</v>
      </c>
      <c r="AA256">
        <f>(YEAR(Table1_1[[#This Row],[OrderMonth]])-YEAR(Table1_1[[#This Row],[Firstmonth]]))*12+(MONTH(Table1_1[[#This Row],[OrderMonth]])-MONTH(Table1_1[[#This Row],[Firstmonth]]))</f>
        <v>30</v>
      </c>
    </row>
    <row r="257" spans="1:27" x14ac:dyDescent="0.25">
      <c r="A257" s="11" t="s">
        <v>74</v>
      </c>
      <c r="B257" s="2">
        <v>45598</v>
      </c>
      <c r="C257" s="2">
        <v>45614</v>
      </c>
      <c r="D257" s="11" t="s">
        <v>1413</v>
      </c>
      <c r="E257">
        <v>16</v>
      </c>
      <c r="F257" s="11" t="s">
        <v>1476</v>
      </c>
      <c r="G257" s="11" t="s">
        <v>1453</v>
      </c>
      <c r="H257" s="11" t="s">
        <v>1493</v>
      </c>
      <c r="I257" s="11" t="s">
        <v>646</v>
      </c>
      <c r="J257" s="11" t="s">
        <v>651</v>
      </c>
      <c r="K257" s="11" t="s">
        <v>673</v>
      </c>
      <c r="L257" s="11" t="s">
        <v>738</v>
      </c>
      <c r="M257" s="10">
        <v>15</v>
      </c>
      <c r="N257">
        <v>1233.58</v>
      </c>
      <c r="O257" s="3">
        <v>1912.51</v>
      </c>
      <c r="P257" s="11" t="s">
        <v>1471</v>
      </c>
      <c r="Q257" s="4">
        <v>0.255</v>
      </c>
      <c r="R257" s="3">
        <v>21372.29925</v>
      </c>
      <c r="S257" s="3">
        <v>18503.699999999997</v>
      </c>
      <c r="T257" s="4">
        <v>0.134220432553601</v>
      </c>
      <c r="U257" s="11" t="s">
        <v>660</v>
      </c>
      <c r="V257" s="3">
        <v>2868.5992500000029</v>
      </c>
      <c r="W257" s="11" t="s">
        <v>1440</v>
      </c>
      <c r="X257" t="str">
        <f>TEXT(Table1_1[[#This Row],[OrderDate]],"mm yyyy")</f>
        <v>11 2024</v>
      </c>
      <c r="Y257" s="13">
        <f>DATE(YEAR(Table1_1[[#This Row],[OrderDate]]),MONTH(B257),1)</f>
        <v>45597</v>
      </c>
      <c r="Z257" s="2">
        <f t="shared" si="3"/>
        <v>44927</v>
      </c>
      <c r="AA257">
        <f>(YEAR(Table1_1[[#This Row],[OrderMonth]])-YEAR(Table1_1[[#This Row],[Firstmonth]]))*12+(MONTH(Table1_1[[#This Row],[OrderMonth]])-MONTH(Table1_1[[#This Row],[Firstmonth]]))</f>
        <v>22</v>
      </c>
    </row>
    <row r="258" spans="1:27" x14ac:dyDescent="0.25">
      <c r="A258" s="11" t="s">
        <v>237</v>
      </c>
      <c r="B258" s="2">
        <v>45203</v>
      </c>
      <c r="C258" s="2">
        <v>45228</v>
      </c>
      <c r="D258" s="11" t="s">
        <v>1413</v>
      </c>
      <c r="E258">
        <v>25</v>
      </c>
      <c r="F258" s="11" t="s">
        <v>1473</v>
      </c>
      <c r="G258" s="11" t="s">
        <v>1498</v>
      </c>
      <c r="H258" s="11" t="s">
        <v>1499</v>
      </c>
      <c r="I258" s="11" t="s">
        <v>646</v>
      </c>
      <c r="J258" s="11" t="s">
        <v>651</v>
      </c>
      <c r="K258" s="11" t="s">
        <v>674</v>
      </c>
      <c r="L258" s="11" t="s">
        <v>902</v>
      </c>
      <c r="M258" s="10">
        <v>9</v>
      </c>
      <c r="N258">
        <v>1239.8399999999999</v>
      </c>
      <c r="O258" s="3">
        <v>1482.75</v>
      </c>
      <c r="P258" s="11" t="s">
        <v>1466</v>
      </c>
      <c r="Q258" s="4">
        <v>6.7000000000000004E-2</v>
      </c>
      <c r="R258" s="3">
        <v>12450.651750000001</v>
      </c>
      <c r="S258" s="3">
        <v>11158.56</v>
      </c>
      <c r="T258" s="4">
        <v>0.103777037214136</v>
      </c>
      <c r="U258" s="11" t="s">
        <v>660</v>
      </c>
      <c r="V258" s="3">
        <v>1292.0917500000014</v>
      </c>
      <c r="W258" s="11" t="s">
        <v>1439</v>
      </c>
      <c r="X258" t="str">
        <f>TEXT(Table1_1[[#This Row],[OrderDate]],"mm yyyy")</f>
        <v>10 2023</v>
      </c>
      <c r="Y258" s="13">
        <f>DATE(YEAR(Table1_1[[#This Row],[OrderDate]]),MONTH(B258),1)</f>
        <v>45200</v>
      </c>
      <c r="Z258" s="2">
        <f t="shared" ref="Z258:Z321" si="4">_xlfn.MINIFS(Y258:Y889,G258:G889,G258)</f>
        <v>44927</v>
      </c>
      <c r="AA258">
        <f>(YEAR(Table1_1[[#This Row],[OrderMonth]])-YEAR(Table1_1[[#This Row],[Firstmonth]]))*12+(MONTH(Table1_1[[#This Row],[OrderMonth]])-MONTH(Table1_1[[#This Row],[Firstmonth]]))</f>
        <v>9</v>
      </c>
    </row>
    <row r="259" spans="1:27" x14ac:dyDescent="0.25">
      <c r="A259" s="11" t="s">
        <v>290</v>
      </c>
      <c r="B259" s="2">
        <v>45092</v>
      </c>
      <c r="C259" s="2">
        <v>45100</v>
      </c>
      <c r="D259" s="11" t="s">
        <v>1413</v>
      </c>
      <c r="E259">
        <v>8</v>
      </c>
      <c r="F259" s="11" t="s">
        <v>1473</v>
      </c>
      <c r="G259" s="11" t="s">
        <v>1498</v>
      </c>
      <c r="H259" s="11" t="s">
        <v>1499</v>
      </c>
      <c r="I259" s="11" t="s">
        <v>645</v>
      </c>
      <c r="J259" s="11" t="s">
        <v>651</v>
      </c>
      <c r="K259" s="11" t="s">
        <v>673</v>
      </c>
      <c r="L259" s="11" t="s">
        <v>955</v>
      </c>
      <c r="M259" s="10">
        <v>4</v>
      </c>
      <c r="N259">
        <v>1097.0899999999999</v>
      </c>
      <c r="O259" s="3">
        <v>2182.31</v>
      </c>
      <c r="P259" s="11" t="s">
        <v>1471</v>
      </c>
      <c r="Q259" s="4">
        <v>0.112</v>
      </c>
      <c r="R259" s="3">
        <v>7751.5651200000002</v>
      </c>
      <c r="S259" s="3">
        <v>4388.3599999999997</v>
      </c>
      <c r="T259" s="4">
        <v>0.43387432962699501</v>
      </c>
      <c r="U259" s="11" t="s">
        <v>660</v>
      </c>
      <c r="V259" s="3">
        <v>3363.2051200000005</v>
      </c>
      <c r="W259" s="11" t="s">
        <v>1435</v>
      </c>
      <c r="X259" t="str">
        <f>TEXT(Table1_1[[#This Row],[OrderDate]],"mm yyyy")</f>
        <v>06 2023</v>
      </c>
      <c r="Y259" s="13">
        <f>DATE(YEAR(Table1_1[[#This Row],[OrderDate]]),MONTH(B259),1)</f>
        <v>45078</v>
      </c>
      <c r="Z259" s="2">
        <f t="shared" si="4"/>
        <v>44927</v>
      </c>
      <c r="AA259">
        <f>(YEAR(Table1_1[[#This Row],[OrderMonth]])-YEAR(Table1_1[[#This Row],[Firstmonth]]))*12+(MONTH(Table1_1[[#This Row],[OrderMonth]])-MONTH(Table1_1[[#This Row],[Firstmonth]]))</f>
        <v>5</v>
      </c>
    </row>
    <row r="260" spans="1:27" x14ac:dyDescent="0.25">
      <c r="A260" s="11" t="s">
        <v>127</v>
      </c>
      <c r="B260" s="2">
        <v>45811</v>
      </c>
      <c r="C260" s="2">
        <v>45818</v>
      </c>
      <c r="D260" s="11" t="s">
        <v>1413</v>
      </c>
      <c r="E260">
        <v>7</v>
      </c>
      <c r="F260" s="11" t="s">
        <v>1473</v>
      </c>
      <c r="G260" s="11" t="s">
        <v>1452</v>
      </c>
      <c r="H260" s="11" t="s">
        <v>1474</v>
      </c>
      <c r="I260" s="11" t="s">
        <v>645</v>
      </c>
      <c r="J260" s="11" t="s">
        <v>651</v>
      </c>
      <c r="K260" s="11" t="s">
        <v>669</v>
      </c>
      <c r="L260" s="11" t="s">
        <v>791</v>
      </c>
      <c r="M260" s="10">
        <v>8</v>
      </c>
      <c r="N260">
        <v>75.180000000000007</v>
      </c>
      <c r="O260" s="3">
        <v>53.45</v>
      </c>
      <c r="P260" s="11" t="s">
        <v>1468</v>
      </c>
      <c r="Q260" s="4">
        <v>0.157</v>
      </c>
      <c r="R260" s="3">
        <v>360.46680000000003</v>
      </c>
      <c r="S260" s="3">
        <v>601.44000000000005</v>
      </c>
      <c r="T260" s="4">
        <v>-0.668503174217431</v>
      </c>
      <c r="U260" s="11" t="s">
        <v>660</v>
      </c>
      <c r="V260" s="3">
        <v>-240.97320000000002</v>
      </c>
      <c r="W260" s="11" t="s">
        <v>1431</v>
      </c>
      <c r="X260" t="str">
        <f>TEXT(Table1_1[[#This Row],[OrderDate]],"mm yyyy")</f>
        <v>06 2025</v>
      </c>
      <c r="Y260" s="13">
        <f>DATE(YEAR(Table1_1[[#This Row],[OrderDate]]),MONTH(B260),1)</f>
        <v>45809</v>
      </c>
      <c r="Z260" s="2">
        <f t="shared" si="4"/>
        <v>44958</v>
      </c>
      <c r="AA260">
        <f>(YEAR(Table1_1[[#This Row],[OrderMonth]])-YEAR(Table1_1[[#This Row],[Firstmonth]]))*12+(MONTH(Table1_1[[#This Row],[OrderMonth]])-MONTH(Table1_1[[#This Row],[Firstmonth]]))</f>
        <v>28</v>
      </c>
    </row>
    <row r="261" spans="1:27" x14ac:dyDescent="0.25">
      <c r="A261" s="11" t="s">
        <v>269</v>
      </c>
      <c r="B261" s="2">
        <v>45210</v>
      </c>
      <c r="C261" s="2">
        <v>45212</v>
      </c>
      <c r="D261" s="11" t="s">
        <v>1413</v>
      </c>
      <c r="E261">
        <v>2</v>
      </c>
      <c r="F261" s="11" t="s">
        <v>1473</v>
      </c>
      <c r="G261" s="11" t="s">
        <v>1454</v>
      </c>
      <c r="H261" s="11" t="s">
        <v>1478</v>
      </c>
      <c r="I261" s="11" t="s">
        <v>645</v>
      </c>
      <c r="J261" s="11" t="s">
        <v>651</v>
      </c>
      <c r="K261" s="11" t="s">
        <v>674</v>
      </c>
      <c r="L261" s="11" t="s">
        <v>934</v>
      </c>
      <c r="M261" s="10">
        <v>16</v>
      </c>
      <c r="N261">
        <v>715.94</v>
      </c>
      <c r="O261" s="3">
        <v>550.07000000000005</v>
      </c>
      <c r="P261" s="11" t="s">
        <v>1468</v>
      </c>
      <c r="Q261" s="4">
        <v>0.14000000000000001</v>
      </c>
      <c r="R261" s="3">
        <v>7568.9632000000001</v>
      </c>
      <c r="S261" s="3">
        <v>11455.04</v>
      </c>
      <c r="T261" s="4">
        <v>-0.51342260456491595</v>
      </c>
      <c r="U261" s="11" t="s">
        <v>1366</v>
      </c>
      <c r="V261" s="3">
        <v>-3886.0768000000007</v>
      </c>
      <c r="W261" s="11" t="s">
        <v>1439</v>
      </c>
      <c r="X261" t="str">
        <f>TEXT(Table1_1[[#This Row],[OrderDate]],"mm yyyy")</f>
        <v>10 2023</v>
      </c>
      <c r="Y261" s="13">
        <f>DATE(YEAR(Table1_1[[#This Row],[OrderDate]]),MONTH(B261),1)</f>
        <v>45200</v>
      </c>
      <c r="Z261" s="2">
        <f t="shared" si="4"/>
        <v>44927</v>
      </c>
      <c r="AA261">
        <f>(YEAR(Table1_1[[#This Row],[OrderMonth]])-YEAR(Table1_1[[#This Row],[Firstmonth]]))*12+(MONTH(Table1_1[[#This Row],[OrderMonth]])-MONTH(Table1_1[[#This Row],[Firstmonth]]))</f>
        <v>9</v>
      </c>
    </row>
    <row r="262" spans="1:27" x14ac:dyDescent="0.25">
      <c r="A262" s="11" t="s">
        <v>591</v>
      </c>
      <c r="B262" s="2">
        <v>45080</v>
      </c>
      <c r="C262" s="2">
        <v>45108</v>
      </c>
      <c r="D262" s="11" t="s">
        <v>1413</v>
      </c>
      <c r="E262">
        <v>28</v>
      </c>
      <c r="F262" s="11" t="s">
        <v>1473</v>
      </c>
      <c r="G262" s="11" t="s">
        <v>1454</v>
      </c>
      <c r="H262" s="11" t="s">
        <v>1478</v>
      </c>
      <c r="I262" s="11" t="s">
        <v>646</v>
      </c>
      <c r="J262" s="11" t="s">
        <v>650</v>
      </c>
      <c r="K262" s="11" t="s">
        <v>668</v>
      </c>
      <c r="L262" s="11" t="s">
        <v>1254</v>
      </c>
      <c r="M262" s="10">
        <v>12</v>
      </c>
      <c r="N262">
        <v>860.4</v>
      </c>
      <c r="O262" s="3">
        <v>2066.6</v>
      </c>
      <c r="P262" s="11" t="s">
        <v>1471</v>
      </c>
      <c r="Q262" s="4">
        <v>0.01</v>
      </c>
      <c r="R262" s="3">
        <v>24551.207999999995</v>
      </c>
      <c r="S262" s="3">
        <v>10324.799999999999</v>
      </c>
      <c r="T262" s="4">
        <v>0.57945857491004105</v>
      </c>
      <c r="U262" s="11" t="s">
        <v>661</v>
      </c>
      <c r="V262" s="3">
        <v>14226.407999999996</v>
      </c>
      <c r="W262" s="11" t="s">
        <v>1435</v>
      </c>
      <c r="X262" t="str">
        <f>TEXT(Table1_1[[#This Row],[OrderDate]],"mm yyyy")</f>
        <v>06 2023</v>
      </c>
      <c r="Y262" s="13">
        <f>DATE(YEAR(Table1_1[[#This Row],[OrderDate]]),MONTH(B262),1)</f>
        <v>45078</v>
      </c>
      <c r="Z262" s="2">
        <f t="shared" si="4"/>
        <v>44927</v>
      </c>
      <c r="AA262">
        <f>(YEAR(Table1_1[[#This Row],[OrderMonth]])-YEAR(Table1_1[[#This Row],[Firstmonth]]))*12+(MONTH(Table1_1[[#This Row],[OrderMonth]])-MONTH(Table1_1[[#This Row],[Firstmonth]]))</f>
        <v>5</v>
      </c>
    </row>
    <row r="263" spans="1:27" x14ac:dyDescent="0.25">
      <c r="A263" s="11" t="s">
        <v>220</v>
      </c>
      <c r="B263" s="2">
        <v>45567</v>
      </c>
      <c r="C263" s="2">
        <v>45588</v>
      </c>
      <c r="D263" s="11" t="s">
        <v>1413</v>
      </c>
      <c r="E263">
        <v>21</v>
      </c>
      <c r="F263" s="11" t="s">
        <v>1485</v>
      </c>
      <c r="G263" s="11" t="s">
        <v>1490</v>
      </c>
      <c r="H263" s="11" t="s">
        <v>1515</v>
      </c>
      <c r="I263" s="11" t="s">
        <v>642</v>
      </c>
      <c r="J263" s="11" t="s">
        <v>650</v>
      </c>
      <c r="K263" s="11" t="s">
        <v>668</v>
      </c>
      <c r="L263" s="11" t="s">
        <v>885</v>
      </c>
      <c r="M263" s="10">
        <v>7</v>
      </c>
      <c r="N263">
        <v>1095.6099999999999</v>
      </c>
      <c r="O263" s="3">
        <v>2366.5100000000002</v>
      </c>
      <c r="P263" s="11" t="s">
        <v>1471</v>
      </c>
      <c r="Q263" s="4">
        <v>0.152</v>
      </c>
      <c r="R263" s="3">
        <v>14047.603359999999</v>
      </c>
      <c r="S263" s="3">
        <v>7669.2699999999995</v>
      </c>
      <c r="T263" s="4">
        <v>0.45405135641585997</v>
      </c>
      <c r="U263" s="11" t="s">
        <v>661</v>
      </c>
      <c r="V263" s="3">
        <v>6378.3333599999996</v>
      </c>
      <c r="W263" s="11" t="s">
        <v>1440</v>
      </c>
      <c r="X263" t="str">
        <f>TEXT(Table1_1[[#This Row],[OrderDate]],"mm yyyy")</f>
        <v>10 2024</v>
      </c>
      <c r="Y263" s="13">
        <f>DATE(YEAR(Table1_1[[#This Row],[OrderDate]]),MONTH(B263),1)</f>
        <v>45566</v>
      </c>
      <c r="Z263" s="2">
        <f t="shared" si="4"/>
        <v>44958</v>
      </c>
      <c r="AA263">
        <f>(YEAR(Table1_1[[#This Row],[OrderMonth]])-YEAR(Table1_1[[#This Row],[Firstmonth]]))*12+(MONTH(Table1_1[[#This Row],[OrderMonth]])-MONTH(Table1_1[[#This Row],[Firstmonth]]))</f>
        <v>20</v>
      </c>
    </row>
    <row r="264" spans="1:27" x14ac:dyDescent="0.25">
      <c r="A264" s="11" t="s">
        <v>120</v>
      </c>
      <c r="B264" s="2">
        <v>45445</v>
      </c>
      <c r="C264" s="2">
        <v>45451</v>
      </c>
      <c r="D264" s="11" t="s">
        <v>1413</v>
      </c>
      <c r="E264">
        <v>6</v>
      </c>
      <c r="F264" s="11" t="s">
        <v>1485</v>
      </c>
      <c r="G264" s="11" t="s">
        <v>1449</v>
      </c>
      <c r="H264" s="11" t="s">
        <v>1512</v>
      </c>
      <c r="I264" s="11" t="s">
        <v>645</v>
      </c>
      <c r="J264" s="11" t="s">
        <v>650</v>
      </c>
      <c r="K264" s="11" t="s">
        <v>674</v>
      </c>
      <c r="L264" s="11" t="s">
        <v>784</v>
      </c>
      <c r="M264" s="10">
        <v>10</v>
      </c>
      <c r="N264">
        <v>292.94</v>
      </c>
      <c r="O264" s="3">
        <v>356.55</v>
      </c>
      <c r="P264" s="11" t="s">
        <v>1468</v>
      </c>
      <c r="Q264" s="4">
        <v>0.22900000000000001</v>
      </c>
      <c r="R264" s="3">
        <v>2749.0005000000001</v>
      </c>
      <c r="S264" s="3">
        <v>2929.4</v>
      </c>
      <c r="T264" s="4">
        <v>-6.5623669402751994E-2</v>
      </c>
      <c r="U264" s="11" t="s">
        <v>661</v>
      </c>
      <c r="V264" s="3">
        <v>-180.39949999999999</v>
      </c>
      <c r="W264" s="11" t="s">
        <v>1436</v>
      </c>
      <c r="X264" t="str">
        <f>TEXT(Table1_1[[#This Row],[OrderDate]],"mm yyyy")</f>
        <v>06 2024</v>
      </c>
      <c r="Y264" s="13">
        <f>DATE(YEAR(Table1_1[[#This Row],[OrderDate]]),MONTH(B264),1)</f>
        <v>45444</v>
      </c>
      <c r="Z264" s="2">
        <f t="shared" si="4"/>
        <v>44927</v>
      </c>
      <c r="AA264">
        <f>(YEAR(Table1_1[[#This Row],[OrderMonth]])-YEAR(Table1_1[[#This Row],[Firstmonth]]))*12+(MONTH(Table1_1[[#This Row],[OrderMonth]])-MONTH(Table1_1[[#This Row],[Firstmonth]]))</f>
        <v>17</v>
      </c>
    </row>
    <row r="265" spans="1:27" x14ac:dyDescent="0.25">
      <c r="A265" s="11" t="s">
        <v>469</v>
      </c>
      <c r="B265" s="2">
        <v>45417</v>
      </c>
      <c r="C265" s="2">
        <v>45430</v>
      </c>
      <c r="D265" s="11" t="s">
        <v>1413</v>
      </c>
      <c r="E265">
        <v>13</v>
      </c>
      <c r="F265" s="11" t="s">
        <v>1464</v>
      </c>
      <c r="G265" s="11" t="s">
        <v>1456</v>
      </c>
      <c r="H265" s="11" t="s">
        <v>1472</v>
      </c>
      <c r="I265" s="11" t="s">
        <v>642</v>
      </c>
      <c r="J265" s="11" t="s">
        <v>650</v>
      </c>
      <c r="K265" s="11" t="s">
        <v>668</v>
      </c>
      <c r="L265" s="11" t="s">
        <v>1133</v>
      </c>
      <c r="M265" s="10">
        <v>6</v>
      </c>
      <c r="N265">
        <v>1264.04</v>
      </c>
      <c r="O265" s="3">
        <v>1870.89</v>
      </c>
      <c r="P265" s="11" t="s">
        <v>1471</v>
      </c>
      <c r="Q265" s="4">
        <v>0</v>
      </c>
      <c r="R265" s="3">
        <v>11225.34</v>
      </c>
      <c r="S265" s="3">
        <v>7584.24</v>
      </c>
      <c r="T265" s="4">
        <v>0.32436433996654002</v>
      </c>
      <c r="U265" s="11" t="s">
        <v>661</v>
      </c>
      <c r="V265" s="3">
        <v>3641.1000000000004</v>
      </c>
      <c r="W265" s="11" t="s">
        <v>1436</v>
      </c>
      <c r="X265" t="str">
        <f>TEXT(Table1_1[[#This Row],[OrderDate]],"mm yyyy")</f>
        <v>05 2024</v>
      </c>
      <c r="Y265" s="13">
        <f>DATE(YEAR(Table1_1[[#This Row],[OrderDate]]),MONTH(B265),1)</f>
        <v>45413</v>
      </c>
      <c r="Z265" s="2">
        <f t="shared" si="4"/>
        <v>44958</v>
      </c>
      <c r="AA265">
        <f>(YEAR(Table1_1[[#This Row],[OrderMonth]])-YEAR(Table1_1[[#This Row],[Firstmonth]]))*12+(MONTH(Table1_1[[#This Row],[OrderMonth]])-MONTH(Table1_1[[#This Row],[Firstmonth]]))</f>
        <v>15</v>
      </c>
    </row>
    <row r="266" spans="1:27" x14ac:dyDescent="0.25">
      <c r="A266" s="11" t="s">
        <v>236</v>
      </c>
      <c r="B266" s="2">
        <v>45137</v>
      </c>
      <c r="C266" s="2">
        <v>45145</v>
      </c>
      <c r="D266" s="11" t="s">
        <v>1413</v>
      </c>
      <c r="E266">
        <v>8</v>
      </c>
      <c r="F266" s="11" t="s">
        <v>1476</v>
      </c>
      <c r="G266" s="11" t="s">
        <v>1451</v>
      </c>
      <c r="H266" s="11" t="s">
        <v>1484</v>
      </c>
      <c r="I266" s="11" t="s">
        <v>643</v>
      </c>
      <c r="J266" s="11" t="s">
        <v>650</v>
      </c>
      <c r="K266" s="11" t="s">
        <v>670</v>
      </c>
      <c r="L266" s="11" t="s">
        <v>901</v>
      </c>
      <c r="M266" s="10">
        <v>23</v>
      </c>
      <c r="N266">
        <v>1352.44</v>
      </c>
      <c r="O266" s="3">
        <v>2698.01</v>
      </c>
      <c r="P266" s="11" t="s">
        <v>1471</v>
      </c>
      <c r="Q266" s="4">
        <v>0.13100000000000001</v>
      </c>
      <c r="R266" s="3">
        <v>53925.125870000003</v>
      </c>
      <c r="S266" s="3">
        <v>31106.120000000003</v>
      </c>
      <c r="T266" s="4">
        <v>0.42316091992090898</v>
      </c>
      <c r="U266" s="11" t="s">
        <v>661</v>
      </c>
      <c r="V266" s="3">
        <v>22819.005870000001</v>
      </c>
      <c r="W266" s="11" t="s">
        <v>1430</v>
      </c>
      <c r="X266" t="str">
        <f>TEXT(Table1_1[[#This Row],[OrderDate]],"mm yyyy")</f>
        <v>07 2023</v>
      </c>
      <c r="Y266" s="13">
        <f>DATE(YEAR(Table1_1[[#This Row],[OrderDate]]),MONTH(B266),1)</f>
        <v>45108</v>
      </c>
      <c r="Z266" s="2">
        <f t="shared" si="4"/>
        <v>44986</v>
      </c>
      <c r="AA266">
        <f>(YEAR(Table1_1[[#This Row],[OrderMonth]])-YEAR(Table1_1[[#This Row],[Firstmonth]]))*12+(MONTH(Table1_1[[#This Row],[OrderMonth]])-MONTH(Table1_1[[#This Row],[Firstmonth]]))</f>
        <v>4</v>
      </c>
    </row>
    <row r="267" spans="1:27" x14ac:dyDescent="0.25">
      <c r="A267" s="11" t="s">
        <v>167</v>
      </c>
      <c r="B267" s="2">
        <v>45323</v>
      </c>
      <c r="C267" s="2">
        <v>45343</v>
      </c>
      <c r="D267" s="11" t="s">
        <v>1413</v>
      </c>
      <c r="E267">
        <v>20</v>
      </c>
      <c r="F267" s="11" t="s">
        <v>1464</v>
      </c>
      <c r="G267" s="11" t="s">
        <v>1456</v>
      </c>
      <c r="H267" s="11" t="s">
        <v>1504</v>
      </c>
      <c r="I267" s="11" t="s">
        <v>646</v>
      </c>
      <c r="J267" s="11" t="s">
        <v>650</v>
      </c>
      <c r="K267" s="11" t="s">
        <v>670</v>
      </c>
      <c r="L267" s="11" t="s">
        <v>831</v>
      </c>
      <c r="M267" s="10">
        <v>17</v>
      </c>
      <c r="N267">
        <v>656.2</v>
      </c>
      <c r="O267" s="3">
        <v>1467.17</v>
      </c>
      <c r="P267" s="11" t="s">
        <v>1466</v>
      </c>
      <c r="Q267" s="4">
        <v>1.7999999999999999E-2</v>
      </c>
      <c r="R267" s="3">
        <v>24492.935979999998</v>
      </c>
      <c r="S267" s="3">
        <v>11155.400000000001</v>
      </c>
      <c r="T267" s="4">
        <v>0.54454623124360901</v>
      </c>
      <c r="U267" s="11" t="s">
        <v>661</v>
      </c>
      <c r="V267" s="3">
        <v>13337.535979999997</v>
      </c>
      <c r="W267" s="11" t="s">
        <v>1433</v>
      </c>
      <c r="X267" t="str">
        <f>TEXT(Table1_1[[#This Row],[OrderDate]],"mm yyyy")</f>
        <v>02 2024</v>
      </c>
      <c r="Y267" s="13">
        <f>DATE(YEAR(Table1_1[[#This Row],[OrderDate]]),MONTH(B267),1)</f>
        <v>45323</v>
      </c>
      <c r="Z267" s="2">
        <f t="shared" si="4"/>
        <v>44958</v>
      </c>
      <c r="AA267">
        <f>(YEAR(Table1_1[[#This Row],[OrderMonth]])-YEAR(Table1_1[[#This Row],[Firstmonth]]))*12+(MONTH(Table1_1[[#This Row],[OrderMonth]])-MONTH(Table1_1[[#This Row],[Firstmonth]]))</f>
        <v>12</v>
      </c>
    </row>
    <row r="268" spans="1:27" x14ac:dyDescent="0.25">
      <c r="A268" s="11" t="s">
        <v>548</v>
      </c>
      <c r="B268" s="2">
        <v>45114</v>
      </c>
      <c r="C268" s="2">
        <v>45120</v>
      </c>
      <c r="D268" s="11" t="s">
        <v>1413</v>
      </c>
      <c r="E268">
        <v>6</v>
      </c>
      <c r="F268" s="11" t="s">
        <v>1485</v>
      </c>
      <c r="G268" s="11" t="s">
        <v>1501</v>
      </c>
      <c r="H268" s="11" t="s">
        <v>1502</v>
      </c>
      <c r="I268" s="11" t="s">
        <v>646</v>
      </c>
      <c r="J268" s="11" t="s">
        <v>650</v>
      </c>
      <c r="K268" s="11" t="s">
        <v>674</v>
      </c>
      <c r="L268" s="11" t="s">
        <v>1211</v>
      </c>
      <c r="M268" s="10">
        <v>19</v>
      </c>
      <c r="N268">
        <v>612.59</v>
      </c>
      <c r="O268" s="3">
        <v>1424.74</v>
      </c>
      <c r="P268" s="11" t="s">
        <v>1466</v>
      </c>
      <c r="Q268" s="4">
        <v>4.3999999999999997E-2</v>
      </c>
      <c r="R268" s="3">
        <v>25878.977360000001</v>
      </c>
      <c r="S268" s="3">
        <v>11639.210000000001</v>
      </c>
      <c r="T268" s="4">
        <v>0.55024459281802196</v>
      </c>
      <c r="U268" s="11" t="s">
        <v>658</v>
      </c>
      <c r="V268" s="3">
        <v>14239.76736</v>
      </c>
      <c r="W268" s="11" t="s">
        <v>1430</v>
      </c>
      <c r="X268" t="str">
        <f>TEXT(Table1_1[[#This Row],[OrderDate]],"mm yyyy")</f>
        <v>07 2023</v>
      </c>
      <c r="Y268" s="13">
        <f>DATE(YEAR(Table1_1[[#This Row],[OrderDate]]),MONTH(B268),1)</f>
        <v>45108</v>
      </c>
      <c r="Z268" s="2">
        <f t="shared" si="4"/>
        <v>44927</v>
      </c>
      <c r="AA268">
        <f>(YEAR(Table1_1[[#This Row],[OrderMonth]])-YEAR(Table1_1[[#This Row],[Firstmonth]]))*12+(MONTH(Table1_1[[#This Row],[OrderMonth]])-MONTH(Table1_1[[#This Row],[Firstmonth]]))</f>
        <v>6</v>
      </c>
    </row>
    <row r="269" spans="1:27" x14ac:dyDescent="0.25">
      <c r="A269" s="11" t="s">
        <v>253</v>
      </c>
      <c r="B269" s="2">
        <v>45630</v>
      </c>
      <c r="C269" s="2">
        <v>45638</v>
      </c>
      <c r="D269" s="11" t="s">
        <v>1413</v>
      </c>
      <c r="E269">
        <v>8</v>
      </c>
      <c r="F269" s="11" t="s">
        <v>1464</v>
      </c>
      <c r="G269" s="11" t="s">
        <v>1455</v>
      </c>
      <c r="H269" s="11" t="s">
        <v>1467</v>
      </c>
      <c r="I269" s="11" t="s">
        <v>647</v>
      </c>
      <c r="J269" s="11" t="s">
        <v>650</v>
      </c>
      <c r="K269" s="11" t="s">
        <v>669</v>
      </c>
      <c r="L269" s="11" t="s">
        <v>918</v>
      </c>
      <c r="M269" s="10">
        <v>8</v>
      </c>
      <c r="N269">
        <v>72.06</v>
      </c>
      <c r="O269" s="3">
        <v>122.74</v>
      </c>
      <c r="P269" s="11" t="s">
        <v>1468</v>
      </c>
      <c r="Q269" s="4">
        <v>0.23799999999999999</v>
      </c>
      <c r="R269" s="3">
        <v>748.22303999999997</v>
      </c>
      <c r="S269" s="3">
        <v>576.48</v>
      </c>
      <c r="T269" s="4">
        <v>0.229534551622468</v>
      </c>
      <c r="U269" s="11" t="s">
        <v>658</v>
      </c>
      <c r="V269" s="3">
        <v>171.74303999999995</v>
      </c>
      <c r="W269" s="11" t="s">
        <v>1440</v>
      </c>
      <c r="X269" t="str">
        <f>TEXT(Table1_1[[#This Row],[OrderDate]],"mm yyyy")</f>
        <v>12 2024</v>
      </c>
      <c r="Y269" s="13">
        <f>DATE(YEAR(Table1_1[[#This Row],[OrderDate]]),MONTH(B269),1)</f>
        <v>45627</v>
      </c>
      <c r="Z269" s="2">
        <f t="shared" si="4"/>
        <v>44927</v>
      </c>
      <c r="AA269">
        <f>(YEAR(Table1_1[[#This Row],[OrderMonth]])-YEAR(Table1_1[[#This Row],[Firstmonth]]))*12+(MONTH(Table1_1[[#This Row],[OrderMonth]])-MONTH(Table1_1[[#This Row],[Firstmonth]]))</f>
        <v>23</v>
      </c>
    </row>
    <row r="270" spans="1:27" x14ac:dyDescent="0.25">
      <c r="A270" s="11" t="s">
        <v>60</v>
      </c>
      <c r="B270" s="2">
        <v>45117</v>
      </c>
      <c r="C270" s="2">
        <v>45139</v>
      </c>
      <c r="D270" s="11" t="s">
        <v>1413</v>
      </c>
      <c r="E270">
        <v>22</v>
      </c>
      <c r="F270" s="11" t="s">
        <v>1464</v>
      </c>
      <c r="G270" s="11" t="s">
        <v>1456</v>
      </c>
      <c r="H270" s="11" t="s">
        <v>1472</v>
      </c>
      <c r="I270" s="11" t="s">
        <v>645</v>
      </c>
      <c r="J270" s="11" t="s">
        <v>650</v>
      </c>
      <c r="K270" s="11" t="s">
        <v>669</v>
      </c>
      <c r="L270" s="11" t="s">
        <v>724</v>
      </c>
      <c r="M270" s="10">
        <v>14</v>
      </c>
      <c r="N270">
        <v>1303.56</v>
      </c>
      <c r="O270" s="3">
        <v>1791.37</v>
      </c>
      <c r="P270" s="11" t="s">
        <v>1471</v>
      </c>
      <c r="Q270" s="4">
        <v>0.126</v>
      </c>
      <c r="R270" s="3">
        <v>21919.203320000001</v>
      </c>
      <c r="S270" s="3">
        <v>18249.84</v>
      </c>
      <c r="T270" s="4">
        <v>0.167404045960554</v>
      </c>
      <c r="U270" s="11" t="s">
        <v>658</v>
      </c>
      <c r="V270" s="3">
        <v>3669.3633200000004</v>
      </c>
      <c r="W270" s="11" t="s">
        <v>1430</v>
      </c>
      <c r="X270" t="str">
        <f>TEXT(Table1_1[[#This Row],[OrderDate]],"mm yyyy")</f>
        <v>07 2023</v>
      </c>
      <c r="Y270" s="13">
        <f>DATE(YEAR(Table1_1[[#This Row],[OrderDate]]),MONTH(B270),1)</f>
        <v>45108</v>
      </c>
      <c r="Z270" s="2">
        <f t="shared" si="4"/>
        <v>44958</v>
      </c>
      <c r="AA270">
        <f>(YEAR(Table1_1[[#This Row],[OrderMonth]])-YEAR(Table1_1[[#This Row],[Firstmonth]]))*12+(MONTH(Table1_1[[#This Row],[OrderMonth]])-MONTH(Table1_1[[#This Row],[Firstmonth]]))</f>
        <v>5</v>
      </c>
    </row>
    <row r="271" spans="1:27" x14ac:dyDescent="0.25">
      <c r="A271" s="11" t="s">
        <v>502</v>
      </c>
      <c r="B271" s="2">
        <v>45861</v>
      </c>
      <c r="C271" s="2">
        <v>45888</v>
      </c>
      <c r="D271" s="11" t="s">
        <v>1413</v>
      </c>
      <c r="E271">
        <v>27</v>
      </c>
      <c r="F271" s="11" t="s">
        <v>1476</v>
      </c>
      <c r="G271" s="11" t="s">
        <v>1451</v>
      </c>
      <c r="H271" s="11" t="s">
        <v>1484</v>
      </c>
      <c r="I271" s="11" t="s">
        <v>645</v>
      </c>
      <c r="J271" s="11" t="s">
        <v>650</v>
      </c>
      <c r="K271" s="11" t="s">
        <v>674</v>
      </c>
      <c r="L271" s="11" t="s">
        <v>1166</v>
      </c>
      <c r="M271" s="10">
        <v>10</v>
      </c>
      <c r="N271">
        <v>896.09</v>
      </c>
      <c r="O271" s="3">
        <v>744.27</v>
      </c>
      <c r="P271" s="11" t="s">
        <v>1468</v>
      </c>
      <c r="Q271" s="4">
        <v>8.3000000000000004E-2</v>
      </c>
      <c r="R271" s="3">
        <v>6824.9558999999999</v>
      </c>
      <c r="S271" s="3">
        <v>8960.9</v>
      </c>
      <c r="T271" s="4">
        <v>-0.31296086469950701</v>
      </c>
      <c r="U271" s="11" t="s">
        <v>658</v>
      </c>
      <c r="V271" s="3">
        <v>-2135.9440999999997</v>
      </c>
      <c r="W271" s="11" t="s">
        <v>1438</v>
      </c>
      <c r="X271" t="str">
        <f>TEXT(Table1_1[[#This Row],[OrderDate]],"mm yyyy")</f>
        <v>07 2025</v>
      </c>
      <c r="Y271" s="13">
        <f>DATE(YEAR(Table1_1[[#This Row],[OrderDate]]),MONTH(B271),1)</f>
        <v>45839</v>
      </c>
      <c r="Z271" s="2">
        <f t="shared" si="4"/>
        <v>44986</v>
      </c>
      <c r="AA271">
        <f>(YEAR(Table1_1[[#This Row],[OrderMonth]])-YEAR(Table1_1[[#This Row],[Firstmonth]]))*12+(MONTH(Table1_1[[#This Row],[OrderMonth]])-MONTH(Table1_1[[#This Row],[Firstmonth]]))</f>
        <v>28</v>
      </c>
    </row>
    <row r="272" spans="1:27" x14ac:dyDescent="0.25">
      <c r="A272" s="11" t="s">
        <v>63</v>
      </c>
      <c r="B272" s="2">
        <v>45016</v>
      </c>
      <c r="C272" s="2">
        <v>45021</v>
      </c>
      <c r="D272" s="11" t="s">
        <v>1413</v>
      </c>
      <c r="E272">
        <v>5</v>
      </c>
      <c r="F272" s="11" t="s">
        <v>1485</v>
      </c>
      <c r="G272" s="11" t="s">
        <v>1449</v>
      </c>
      <c r="H272" s="11" t="s">
        <v>1494</v>
      </c>
      <c r="I272" s="11" t="s">
        <v>643</v>
      </c>
      <c r="J272" s="11" t="s">
        <v>650</v>
      </c>
      <c r="K272" s="11" t="s">
        <v>672</v>
      </c>
      <c r="L272" s="11" t="s">
        <v>727</v>
      </c>
      <c r="M272" s="10">
        <v>25</v>
      </c>
      <c r="N272">
        <v>533.26</v>
      </c>
      <c r="O272" s="3">
        <v>385.72</v>
      </c>
      <c r="P272" s="11" t="s">
        <v>1468</v>
      </c>
      <c r="Q272" s="4">
        <v>0</v>
      </c>
      <c r="R272" s="3">
        <v>9643</v>
      </c>
      <c r="S272" s="3">
        <v>13331.5</v>
      </c>
      <c r="T272" s="4">
        <v>-0.38250544436378697</v>
      </c>
      <c r="U272" s="11" t="s">
        <v>658</v>
      </c>
      <c r="V272" s="3">
        <v>-3688.5</v>
      </c>
      <c r="W272" s="11" t="s">
        <v>1432</v>
      </c>
      <c r="X272" t="str">
        <f>TEXT(Table1_1[[#This Row],[OrderDate]],"mm yyyy")</f>
        <v>03 2023</v>
      </c>
      <c r="Y272" s="13">
        <f>DATE(YEAR(Table1_1[[#This Row],[OrderDate]]),MONTH(B272),1)</f>
        <v>44986</v>
      </c>
      <c r="Z272" s="2">
        <f t="shared" si="4"/>
        <v>44927</v>
      </c>
      <c r="AA272">
        <f>(YEAR(Table1_1[[#This Row],[OrderMonth]])-YEAR(Table1_1[[#This Row],[Firstmonth]]))*12+(MONTH(Table1_1[[#This Row],[OrderMonth]])-MONTH(Table1_1[[#This Row],[Firstmonth]]))</f>
        <v>2</v>
      </c>
    </row>
    <row r="273" spans="1:27" x14ac:dyDescent="0.25">
      <c r="A273" s="11" t="s">
        <v>326</v>
      </c>
      <c r="B273" s="2">
        <v>45052</v>
      </c>
      <c r="C273" s="2">
        <v>45060</v>
      </c>
      <c r="D273" s="11" t="s">
        <v>1413</v>
      </c>
      <c r="E273">
        <v>8</v>
      </c>
      <c r="F273" s="11" t="s">
        <v>1476</v>
      </c>
      <c r="G273" s="11" t="s">
        <v>1451</v>
      </c>
      <c r="H273" s="11" t="s">
        <v>1487</v>
      </c>
      <c r="I273" s="11" t="s">
        <v>647</v>
      </c>
      <c r="J273" s="11" t="s">
        <v>650</v>
      </c>
      <c r="K273" s="11" t="s">
        <v>671</v>
      </c>
      <c r="L273" s="11" t="s">
        <v>991</v>
      </c>
      <c r="M273" s="10">
        <v>16</v>
      </c>
      <c r="N273">
        <v>291.18</v>
      </c>
      <c r="O273" s="3">
        <v>479.54</v>
      </c>
      <c r="P273" s="11" t="s">
        <v>1468</v>
      </c>
      <c r="Q273" s="4">
        <v>0.14099999999999999</v>
      </c>
      <c r="R273" s="3">
        <v>6590.7977600000004</v>
      </c>
      <c r="S273" s="3">
        <v>4658.88</v>
      </c>
      <c r="T273" s="4">
        <v>0.29312350801066001</v>
      </c>
      <c r="U273" s="11" t="s">
        <v>658</v>
      </c>
      <c r="V273" s="3">
        <v>1931.9177600000003</v>
      </c>
      <c r="W273" s="11" t="s">
        <v>1435</v>
      </c>
      <c r="X273" t="str">
        <f>TEXT(Table1_1[[#This Row],[OrderDate]],"mm yyyy")</f>
        <v>05 2023</v>
      </c>
      <c r="Y273" s="13">
        <f>DATE(YEAR(Table1_1[[#This Row],[OrderDate]]),MONTH(B273),1)</f>
        <v>45047</v>
      </c>
      <c r="Z273" s="2">
        <f t="shared" si="4"/>
        <v>44986</v>
      </c>
      <c r="AA273">
        <f>(YEAR(Table1_1[[#This Row],[OrderMonth]])-YEAR(Table1_1[[#This Row],[Firstmonth]]))*12+(MONTH(Table1_1[[#This Row],[OrderMonth]])-MONTH(Table1_1[[#This Row],[Firstmonth]]))</f>
        <v>2</v>
      </c>
    </row>
    <row r="274" spans="1:27" x14ac:dyDescent="0.25">
      <c r="A274" s="11" t="s">
        <v>257</v>
      </c>
      <c r="B274" s="2">
        <v>45769</v>
      </c>
      <c r="C274" s="2">
        <v>45779</v>
      </c>
      <c r="D274" s="11" t="s">
        <v>1413</v>
      </c>
      <c r="E274">
        <v>10</v>
      </c>
      <c r="F274" s="11" t="s">
        <v>1464</v>
      </c>
      <c r="G274" s="11" t="s">
        <v>1455</v>
      </c>
      <c r="H274" s="11" t="s">
        <v>1465</v>
      </c>
      <c r="I274" s="11" t="s">
        <v>642</v>
      </c>
      <c r="J274" s="11" t="s">
        <v>650</v>
      </c>
      <c r="K274" s="11" t="s">
        <v>673</v>
      </c>
      <c r="L274" s="11" t="s">
        <v>922</v>
      </c>
      <c r="M274" s="10">
        <v>28</v>
      </c>
      <c r="N274">
        <v>20.149999999999999</v>
      </c>
      <c r="O274" s="3">
        <v>39.74</v>
      </c>
      <c r="P274" s="11" t="s">
        <v>1468</v>
      </c>
      <c r="Q274" s="4">
        <v>0.151</v>
      </c>
      <c r="R274" s="3">
        <v>944.69928000000004</v>
      </c>
      <c r="S274" s="3">
        <v>564.19999999999993</v>
      </c>
      <c r="T274" s="4">
        <v>0.402772912031859</v>
      </c>
      <c r="U274" s="11" t="s">
        <v>653</v>
      </c>
      <c r="V274" s="3">
        <v>380.49928000000011</v>
      </c>
      <c r="W274" s="11" t="s">
        <v>1431</v>
      </c>
      <c r="X274" t="str">
        <f>TEXT(Table1_1[[#This Row],[OrderDate]],"mm yyyy")</f>
        <v>04 2025</v>
      </c>
      <c r="Y274" s="13">
        <f>DATE(YEAR(Table1_1[[#This Row],[OrderDate]]),MONTH(B274),1)</f>
        <v>45748</v>
      </c>
      <c r="Z274" s="2">
        <f t="shared" si="4"/>
        <v>44927</v>
      </c>
      <c r="AA274">
        <f>(YEAR(Table1_1[[#This Row],[OrderMonth]])-YEAR(Table1_1[[#This Row],[Firstmonth]]))*12+(MONTH(Table1_1[[#This Row],[OrderMonth]])-MONTH(Table1_1[[#This Row],[Firstmonth]]))</f>
        <v>27</v>
      </c>
    </row>
    <row r="275" spans="1:27" x14ac:dyDescent="0.25">
      <c r="A275" s="11" t="s">
        <v>265</v>
      </c>
      <c r="B275" s="2">
        <v>45411</v>
      </c>
      <c r="C275" s="2">
        <v>45431</v>
      </c>
      <c r="D275" s="11" t="s">
        <v>1413</v>
      </c>
      <c r="E275">
        <v>20</v>
      </c>
      <c r="F275" s="11" t="s">
        <v>1464</v>
      </c>
      <c r="G275" s="11" t="s">
        <v>1455</v>
      </c>
      <c r="H275" s="11" t="s">
        <v>1467</v>
      </c>
      <c r="I275" s="11" t="s">
        <v>647</v>
      </c>
      <c r="J275" s="11" t="s">
        <v>650</v>
      </c>
      <c r="K275" s="11" t="s">
        <v>672</v>
      </c>
      <c r="L275" s="11" t="s">
        <v>930</v>
      </c>
      <c r="M275" s="10">
        <v>20</v>
      </c>
      <c r="N275">
        <v>668.97</v>
      </c>
      <c r="O275" s="3">
        <v>1667.44</v>
      </c>
      <c r="P275" s="11" t="s">
        <v>1471</v>
      </c>
      <c r="Q275" s="4">
        <v>3.4000000000000002E-2</v>
      </c>
      <c r="R275" s="3">
        <v>32214.9408</v>
      </c>
      <c r="S275" s="3">
        <v>13379.400000000001</v>
      </c>
      <c r="T275" s="4">
        <v>0.58468339013679005</v>
      </c>
      <c r="U275" s="11" t="s">
        <v>653</v>
      </c>
      <c r="V275" s="3">
        <v>18835.540799999999</v>
      </c>
      <c r="W275" s="11" t="s">
        <v>1436</v>
      </c>
      <c r="X275" t="str">
        <f>TEXT(Table1_1[[#This Row],[OrderDate]],"mm yyyy")</f>
        <v>04 2024</v>
      </c>
      <c r="Y275" s="13">
        <f>DATE(YEAR(Table1_1[[#This Row],[OrderDate]]),MONTH(B275),1)</f>
        <v>45383</v>
      </c>
      <c r="Z275" s="2">
        <f t="shared" si="4"/>
        <v>44927</v>
      </c>
      <c r="AA275">
        <f>(YEAR(Table1_1[[#This Row],[OrderMonth]])-YEAR(Table1_1[[#This Row],[Firstmonth]]))*12+(MONTH(Table1_1[[#This Row],[OrderMonth]])-MONTH(Table1_1[[#This Row],[Firstmonth]]))</f>
        <v>15</v>
      </c>
    </row>
    <row r="276" spans="1:27" x14ac:dyDescent="0.25">
      <c r="A276" s="11" t="s">
        <v>437</v>
      </c>
      <c r="B276" s="2">
        <v>45522</v>
      </c>
      <c r="C276" s="2">
        <v>45547</v>
      </c>
      <c r="D276" s="11" t="s">
        <v>1413</v>
      </c>
      <c r="E276">
        <v>25</v>
      </c>
      <c r="F276" s="11" t="s">
        <v>1476</v>
      </c>
      <c r="G276" s="11" t="s">
        <v>1453</v>
      </c>
      <c r="H276" s="11" t="s">
        <v>1493</v>
      </c>
      <c r="I276" s="11" t="s">
        <v>645</v>
      </c>
      <c r="J276" s="11" t="s">
        <v>650</v>
      </c>
      <c r="K276" s="11" t="s">
        <v>671</v>
      </c>
      <c r="L276" s="11" t="s">
        <v>1101</v>
      </c>
      <c r="M276" s="10">
        <v>21</v>
      </c>
      <c r="N276">
        <v>1154.03</v>
      </c>
      <c r="O276" s="3">
        <v>1590.36</v>
      </c>
      <c r="P276" s="11" t="s">
        <v>1466</v>
      </c>
      <c r="Q276" s="4">
        <v>0.314</v>
      </c>
      <c r="R276" s="3">
        <v>22910.726159999995</v>
      </c>
      <c r="S276" s="3">
        <v>24234.63</v>
      </c>
      <c r="T276" s="4">
        <v>-5.7785328616577002E-2</v>
      </c>
      <c r="U276" s="11" t="s">
        <v>653</v>
      </c>
      <c r="V276" s="3">
        <v>-1323.9038400000063</v>
      </c>
      <c r="W276" s="11" t="s">
        <v>1437</v>
      </c>
      <c r="X276" t="str">
        <f>TEXT(Table1_1[[#This Row],[OrderDate]],"mm yyyy")</f>
        <v>08 2024</v>
      </c>
      <c r="Y276" s="13">
        <f>DATE(YEAR(Table1_1[[#This Row],[OrderDate]]),MONTH(B276),1)</f>
        <v>45505</v>
      </c>
      <c r="Z276" s="2">
        <f t="shared" si="4"/>
        <v>44927</v>
      </c>
      <c r="AA276">
        <f>(YEAR(Table1_1[[#This Row],[OrderMonth]])-YEAR(Table1_1[[#This Row],[Firstmonth]]))*12+(MONTH(Table1_1[[#This Row],[OrderMonth]])-MONTH(Table1_1[[#This Row],[Firstmonth]]))</f>
        <v>19</v>
      </c>
    </row>
    <row r="277" spans="1:27" x14ac:dyDescent="0.25">
      <c r="A277" s="11" t="s">
        <v>402</v>
      </c>
      <c r="B277" s="2">
        <v>45208</v>
      </c>
      <c r="C277" s="2">
        <v>45225</v>
      </c>
      <c r="D277" s="11" t="s">
        <v>1413</v>
      </c>
      <c r="E277">
        <v>17</v>
      </c>
      <c r="F277" s="11" t="s">
        <v>1476</v>
      </c>
      <c r="G277" s="11" t="s">
        <v>1457</v>
      </c>
      <c r="H277" s="11" t="s">
        <v>1511</v>
      </c>
      <c r="I277" s="11" t="s">
        <v>645</v>
      </c>
      <c r="J277" s="11" t="s">
        <v>650</v>
      </c>
      <c r="K277" s="11" t="s">
        <v>668</v>
      </c>
      <c r="L277" s="11" t="s">
        <v>1066</v>
      </c>
      <c r="M277" s="10">
        <v>6</v>
      </c>
      <c r="N277">
        <v>1132.03</v>
      </c>
      <c r="O277" s="3">
        <v>2137.21</v>
      </c>
      <c r="P277" s="11" t="s">
        <v>1471</v>
      </c>
      <c r="Q277" s="4">
        <v>0.35699999999999998</v>
      </c>
      <c r="R277" s="3">
        <v>8245.3561800000007</v>
      </c>
      <c r="S277" s="3">
        <v>6792.18</v>
      </c>
      <c r="T277" s="4">
        <v>0.17624177152284001</v>
      </c>
      <c r="U277" s="11" t="s">
        <v>653</v>
      </c>
      <c r="V277" s="3">
        <v>1453.1761800000004</v>
      </c>
      <c r="W277" s="11" t="s">
        <v>1439</v>
      </c>
      <c r="X277" t="str">
        <f>TEXT(Table1_1[[#This Row],[OrderDate]],"mm yyyy")</f>
        <v>10 2023</v>
      </c>
      <c r="Y277" s="13">
        <f>DATE(YEAR(Table1_1[[#This Row],[OrderDate]]),MONTH(B277),1)</f>
        <v>45200</v>
      </c>
      <c r="Z277" s="2">
        <f t="shared" si="4"/>
        <v>44927</v>
      </c>
      <c r="AA277">
        <f>(YEAR(Table1_1[[#This Row],[OrderMonth]])-YEAR(Table1_1[[#This Row],[Firstmonth]]))*12+(MONTH(Table1_1[[#This Row],[OrderMonth]])-MONTH(Table1_1[[#This Row],[Firstmonth]]))</f>
        <v>9</v>
      </c>
    </row>
    <row r="278" spans="1:27" x14ac:dyDescent="0.25">
      <c r="A278" s="11" t="s">
        <v>465</v>
      </c>
      <c r="B278" s="2">
        <v>45653</v>
      </c>
      <c r="C278" s="2">
        <v>45655</v>
      </c>
      <c r="D278" s="11" t="s">
        <v>1413</v>
      </c>
      <c r="E278">
        <v>2</v>
      </c>
      <c r="F278" s="11" t="s">
        <v>1473</v>
      </c>
      <c r="G278" s="11" t="s">
        <v>1452</v>
      </c>
      <c r="H278" s="11" t="s">
        <v>1475</v>
      </c>
      <c r="I278" s="11" t="s">
        <v>647</v>
      </c>
      <c r="J278" s="11" t="s">
        <v>650</v>
      </c>
      <c r="K278" s="11" t="s">
        <v>674</v>
      </c>
      <c r="L278" s="11" t="s">
        <v>1129</v>
      </c>
      <c r="M278" s="10">
        <v>40</v>
      </c>
      <c r="N278">
        <v>1146.72</v>
      </c>
      <c r="O278" s="3">
        <v>2074.34</v>
      </c>
      <c r="P278" s="11" t="s">
        <v>1471</v>
      </c>
      <c r="Q278" s="4">
        <v>0.111</v>
      </c>
      <c r="R278" s="3">
        <v>73763.530400000003</v>
      </c>
      <c r="S278" s="3">
        <v>45868.800000000003</v>
      </c>
      <c r="T278" s="4">
        <v>0.37816425337472698</v>
      </c>
      <c r="U278" s="11" t="s">
        <v>653</v>
      </c>
      <c r="V278" s="3">
        <v>27894.7304</v>
      </c>
      <c r="W278" s="11" t="s">
        <v>1440</v>
      </c>
      <c r="X278" t="str">
        <f>TEXT(Table1_1[[#This Row],[OrderDate]],"mm yyyy")</f>
        <v>12 2024</v>
      </c>
      <c r="Y278" s="13">
        <f>DATE(YEAR(Table1_1[[#This Row],[OrderDate]]),MONTH(B278),1)</f>
        <v>45627</v>
      </c>
      <c r="Z278" s="2">
        <f t="shared" si="4"/>
        <v>44958</v>
      </c>
      <c r="AA278">
        <f>(YEAR(Table1_1[[#This Row],[OrderMonth]])-YEAR(Table1_1[[#This Row],[Firstmonth]]))*12+(MONTH(Table1_1[[#This Row],[OrderMonth]])-MONTH(Table1_1[[#This Row],[Firstmonth]]))</f>
        <v>22</v>
      </c>
    </row>
    <row r="279" spans="1:27" x14ac:dyDescent="0.25">
      <c r="A279" s="11" t="s">
        <v>446</v>
      </c>
      <c r="B279" s="2">
        <v>45650</v>
      </c>
      <c r="C279" s="2">
        <v>45670</v>
      </c>
      <c r="D279" s="11" t="s">
        <v>1413</v>
      </c>
      <c r="E279">
        <v>20</v>
      </c>
      <c r="F279" s="11" t="s">
        <v>1476</v>
      </c>
      <c r="G279" s="11" t="s">
        <v>1453</v>
      </c>
      <c r="H279" s="11" t="s">
        <v>1497</v>
      </c>
      <c r="I279" s="11" t="s">
        <v>642</v>
      </c>
      <c r="J279" s="11" t="s">
        <v>650</v>
      </c>
      <c r="K279" s="11" t="s">
        <v>670</v>
      </c>
      <c r="L279" s="11" t="s">
        <v>1110</v>
      </c>
      <c r="M279" s="10">
        <v>8</v>
      </c>
      <c r="N279">
        <v>126.15</v>
      </c>
      <c r="O279" s="3">
        <v>284.23</v>
      </c>
      <c r="P279" s="11" t="s">
        <v>1468</v>
      </c>
      <c r="Q279" s="4">
        <v>0.113</v>
      </c>
      <c r="R279" s="3">
        <v>2016.8960800000002</v>
      </c>
      <c r="S279" s="3">
        <v>1009.2</v>
      </c>
      <c r="T279" s="4">
        <v>0.49962716968541099</v>
      </c>
      <c r="U279" s="11" t="s">
        <v>667</v>
      </c>
      <c r="V279" s="3">
        <v>1007.6960800000002</v>
      </c>
      <c r="W279" s="11" t="s">
        <v>1440</v>
      </c>
      <c r="X279" t="str">
        <f>TEXT(Table1_1[[#This Row],[OrderDate]],"mm yyyy")</f>
        <v>12 2024</v>
      </c>
      <c r="Y279" s="13">
        <f>DATE(YEAR(Table1_1[[#This Row],[OrderDate]]),MONTH(B279),1)</f>
        <v>45627</v>
      </c>
      <c r="Z279" s="2">
        <f t="shared" si="4"/>
        <v>44927</v>
      </c>
      <c r="AA279">
        <f>(YEAR(Table1_1[[#This Row],[OrderMonth]])-YEAR(Table1_1[[#This Row],[Firstmonth]]))*12+(MONTH(Table1_1[[#This Row],[OrderMonth]])-MONTH(Table1_1[[#This Row],[Firstmonth]]))</f>
        <v>23</v>
      </c>
    </row>
    <row r="280" spans="1:27" x14ac:dyDescent="0.25">
      <c r="A280" s="11" t="s">
        <v>371</v>
      </c>
      <c r="B280" s="2">
        <v>45833</v>
      </c>
      <c r="C280" s="2">
        <v>45848</v>
      </c>
      <c r="D280" s="11" t="s">
        <v>1413</v>
      </c>
      <c r="E280">
        <v>15</v>
      </c>
      <c r="F280" s="11" t="s">
        <v>1464</v>
      </c>
      <c r="G280" s="11" t="s">
        <v>1469</v>
      </c>
      <c r="H280" s="11" t="s">
        <v>1507</v>
      </c>
      <c r="I280" s="11" t="s">
        <v>644</v>
      </c>
      <c r="J280" s="11" t="s">
        <v>650</v>
      </c>
      <c r="K280" s="11" t="s">
        <v>671</v>
      </c>
      <c r="L280" s="11" t="s">
        <v>1036</v>
      </c>
      <c r="M280" s="10">
        <v>17</v>
      </c>
      <c r="N280">
        <v>546.83000000000004</v>
      </c>
      <c r="O280" s="3">
        <v>400.84</v>
      </c>
      <c r="P280" s="11" t="s">
        <v>1468</v>
      </c>
      <c r="Q280" s="4">
        <v>7.8E-2</v>
      </c>
      <c r="R280" s="3">
        <v>6282.7661600000001</v>
      </c>
      <c r="S280" s="3">
        <v>9296.11</v>
      </c>
      <c r="T280" s="4">
        <v>-0.47962056254533603</v>
      </c>
      <c r="U280" s="11" t="s">
        <v>667</v>
      </c>
      <c r="V280" s="3">
        <v>-3013.3438400000005</v>
      </c>
      <c r="W280" s="11" t="s">
        <v>1431</v>
      </c>
      <c r="X280" t="str">
        <f>TEXT(Table1_1[[#This Row],[OrderDate]],"mm yyyy")</f>
        <v>06 2025</v>
      </c>
      <c r="Y280" s="13">
        <f>DATE(YEAR(Table1_1[[#This Row],[OrderDate]]),MONTH(B280),1)</f>
        <v>45809</v>
      </c>
      <c r="Z280" s="2">
        <f t="shared" si="4"/>
        <v>44927</v>
      </c>
      <c r="AA280">
        <f>(YEAR(Table1_1[[#This Row],[OrderMonth]])-YEAR(Table1_1[[#This Row],[Firstmonth]]))*12+(MONTH(Table1_1[[#This Row],[OrderMonth]])-MONTH(Table1_1[[#This Row],[Firstmonth]]))</f>
        <v>29</v>
      </c>
    </row>
    <row r="281" spans="1:27" x14ac:dyDescent="0.25">
      <c r="A281" s="11" t="s">
        <v>214</v>
      </c>
      <c r="B281" s="2">
        <v>45692</v>
      </c>
      <c r="C281" s="2">
        <v>45713</v>
      </c>
      <c r="D281" s="11" t="s">
        <v>1413</v>
      </c>
      <c r="E281">
        <v>21</v>
      </c>
      <c r="F281" s="11" t="s">
        <v>1464</v>
      </c>
      <c r="G281" s="11" t="s">
        <v>1469</v>
      </c>
      <c r="H281" s="11" t="s">
        <v>1507</v>
      </c>
      <c r="I281" s="11" t="s">
        <v>642</v>
      </c>
      <c r="J281" s="11" t="s">
        <v>650</v>
      </c>
      <c r="K281" s="11" t="s">
        <v>673</v>
      </c>
      <c r="L281" s="11" t="s">
        <v>879</v>
      </c>
      <c r="M281" s="10">
        <v>5</v>
      </c>
      <c r="N281">
        <v>1016.32</v>
      </c>
      <c r="O281" s="3">
        <v>2253.42</v>
      </c>
      <c r="P281" s="11" t="s">
        <v>1471</v>
      </c>
      <c r="Q281" s="4">
        <v>5.5E-2</v>
      </c>
      <c r="R281" s="3">
        <v>10647.4095</v>
      </c>
      <c r="S281" s="3">
        <v>5081.6000000000004</v>
      </c>
      <c r="T281" s="4">
        <v>0.52273837124419797</v>
      </c>
      <c r="U281" s="11" t="s">
        <v>667</v>
      </c>
      <c r="V281" s="3">
        <v>5565.8094999999994</v>
      </c>
      <c r="W281" s="11" t="s">
        <v>1434</v>
      </c>
      <c r="X281" t="str">
        <f>TEXT(Table1_1[[#This Row],[OrderDate]],"mm yyyy")</f>
        <v>02 2025</v>
      </c>
      <c r="Y281" s="13">
        <f>DATE(YEAR(Table1_1[[#This Row],[OrderDate]]),MONTH(B281),1)</f>
        <v>45689</v>
      </c>
      <c r="Z281" s="2">
        <f t="shared" si="4"/>
        <v>44927</v>
      </c>
      <c r="AA281">
        <f>(YEAR(Table1_1[[#This Row],[OrderMonth]])-YEAR(Table1_1[[#This Row],[Firstmonth]]))*12+(MONTH(Table1_1[[#This Row],[OrderMonth]])-MONTH(Table1_1[[#This Row],[Firstmonth]]))</f>
        <v>25</v>
      </c>
    </row>
    <row r="282" spans="1:27" x14ac:dyDescent="0.25">
      <c r="A282" s="11" t="s">
        <v>592</v>
      </c>
      <c r="B282" s="2">
        <v>44955</v>
      </c>
      <c r="C282" s="2">
        <v>44963</v>
      </c>
      <c r="D282" s="11" t="s">
        <v>1413</v>
      </c>
      <c r="E282">
        <v>8</v>
      </c>
      <c r="F282" s="11" t="s">
        <v>1473</v>
      </c>
      <c r="G282" s="11" t="s">
        <v>1454</v>
      </c>
      <c r="H282" s="11" t="s">
        <v>1478</v>
      </c>
      <c r="I282" s="11" t="s">
        <v>642</v>
      </c>
      <c r="J282" s="11" t="s">
        <v>650</v>
      </c>
      <c r="K282" s="11" t="s">
        <v>673</v>
      </c>
      <c r="L282" s="11" t="s">
        <v>1255</v>
      </c>
      <c r="M282" s="10">
        <v>9</v>
      </c>
      <c r="N282">
        <v>41.84</v>
      </c>
      <c r="O282" s="3">
        <v>86.2</v>
      </c>
      <c r="P282" s="11" t="s">
        <v>1468</v>
      </c>
      <c r="Q282" s="4">
        <v>0.22600000000000001</v>
      </c>
      <c r="R282" s="3">
        <v>600.46920000000011</v>
      </c>
      <c r="S282" s="3">
        <v>376.56000000000006</v>
      </c>
      <c r="T282" s="4">
        <v>0.37289039970742899</v>
      </c>
      <c r="U282" s="11" t="s">
        <v>667</v>
      </c>
      <c r="V282" s="3">
        <v>223.90920000000006</v>
      </c>
      <c r="W282" s="11" t="s">
        <v>1432</v>
      </c>
      <c r="X282" t="str">
        <f>TEXT(Table1_1[[#This Row],[OrderDate]],"mm yyyy")</f>
        <v>01 2023</v>
      </c>
      <c r="Y282" s="13">
        <f>DATE(YEAR(Table1_1[[#This Row],[OrderDate]]),MONTH(B282),1)</f>
        <v>44927</v>
      </c>
      <c r="Z282" s="2">
        <f t="shared" si="4"/>
        <v>44927</v>
      </c>
      <c r="AA282">
        <f>(YEAR(Table1_1[[#This Row],[OrderMonth]])-YEAR(Table1_1[[#This Row],[Firstmonth]]))*12+(MONTH(Table1_1[[#This Row],[OrderMonth]])-MONTH(Table1_1[[#This Row],[Firstmonth]]))</f>
        <v>0</v>
      </c>
    </row>
    <row r="283" spans="1:27" x14ac:dyDescent="0.25">
      <c r="A283" s="11" t="s">
        <v>96</v>
      </c>
      <c r="B283" s="2">
        <v>45282</v>
      </c>
      <c r="C283" s="2">
        <v>45283</v>
      </c>
      <c r="D283" s="11" t="s">
        <v>1413</v>
      </c>
      <c r="E283">
        <v>1</v>
      </c>
      <c r="F283" s="11" t="s">
        <v>1485</v>
      </c>
      <c r="G283" s="11" t="s">
        <v>1501</v>
      </c>
      <c r="H283" s="11" t="s">
        <v>1502</v>
      </c>
      <c r="I283" s="11" t="s">
        <v>644</v>
      </c>
      <c r="J283" s="11" t="s">
        <v>650</v>
      </c>
      <c r="K283" s="11" t="s">
        <v>668</v>
      </c>
      <c r="L283" s="11" t="s">
        <v>760</v>
      </c>
      <c r="M283" s="10">
        <v>7</v>
      </c>
      <c r="N283">
        <v>1186.18</v>
      </c>
      <c r="O283" s="3">
        <v>1285.0899999999999</v>
      </c>
      <c r="P283" s="11" t="s">
        <v>1466</v>
      </c>
      <c r="Q283" s="4">
        <v>7.0000000000000007E-2</v>
      </c>
      <c r="R283" s="3">
        <v>8365.9358999999986</v>
      </c>
      <c r="S283" s="3">
        <v>8303.26</v>
      </c>
      <c r="T283" s="4">
        <v>7.4917977796122503E-3</v>
      </c>
      <c r="U283" s="11" t="s">
        <v>667</v>
      </c>
      <c r="V283" s="3">
        <v>62.675899999998364</v>
      </c>
      <c r="W283" s="11" t="s">
        <v>1439</v>
      </c>
      <c r="X283" t="str">
        <f>TEXT(Table1_1[[#This Row],[OrderDate]],"mm yyyy")</f>
        <v>12 2023</v>
      </c>
      <c r="Y283" s="13">
        <f>DATE(YEAR(Table1_1[[#This Row],[OrderDate]]),MONTH(B283),1)</f>
        <v>45261</v>
      </c>
      <c r="Z283" s="2">
        <f t="shared" si="4"/>
        <v>44927</v>
      </c>
      <c r="AA283">
        <f>(YEAR(Table1_1[[#This Row],[OrderMonth]])-YEAR(Table1_1[[#This Row],[Firstmonth]]))*12+(MONTH(Table1_1[[#This Row],[OrderMonth]])-MONTH(Table1_1[[#This Row],[Firstmonth]]))</f>
        <v>11</v>
      </c>
    </row>
    <row r="284" spans="1:27" x14ac:dyDescent="0.25">
      <c r="A284" s="11" t="s">
        <v>409</v>
      </c>
      <c r="B284" s="2">
        <v>45541</v>
      </c>
      <c r="C284" s="2">
        <v>45569</v>
      </c>
      <c r="D284" s="11" t="s">
        <v>1413</v>
      </c>
      <c r="E284">
        <v>28</v>
      </c>
      <c r="F284" s="11" t="s">
        <v>1485</v>
      </c>
      <c r="G284" s="11" t="s">
        <v>1501</v>
      </c>
      <c r="H284" s="11" t="s">
        <v>1502</v>
      </c>
      <c r="I284" s="11" t="s">
        <v>642</v>
      </c>
      <c r="J284" s="11" t="s">
        <v>650</v>
      </c>
      <c r="K284" s="11" t="s">
        <v>673</v>
      </c>
      <c r="L284" s="11" t="s">
        <v>1073</v>
      </c>
      <c r="M284" s="10">
        <v>6</v>
      </c>
      <c r="N284">
        <v>1174.17</v>
      </c>
      <c r="O284" s="3">
        <v>1641.61</v>
      </c>
      <c r="P284" s="11" t="s">
        <v>1471</v>
      </c>
      <c r="Q284" s="4">
        <v>0.122</v>
      </c>
      <c r="R284" s="3">
        <v>8648.001479999999</v>
      </c>
      <c r="S284" s="3">
        <v>7045.02</v>
      </c>
      <c r="T284" s="4">
        <v>0.185358603800794</v>
      </c>
      <c r="U284" s="11" t="s">
        <v>667</v>
      </c>
      <c r="V284" s="3">
        <v>1602.9814799999986</v>
      </c>
      <c r="W284" s="11" t="s">
        <v>1437</v>
      </c>
      <c r="X284" t="str">
        <f>TEXT(Table1_1[[#This Row],[OrderDate]],"mm yyyy")</f>
        <v>09 2024</v>
      </c>
      <c r="Y284" s="13">
        <f>DATE(YEAR(Table1_1[[#This Row],[OrderDate]]),MONTH(B284),1)</f>
        <v>45536</v>
      </c>
      <c r="Z284" s="2">
        <f t="shared" si="4"/>
        <v>44927</v>
      </c>
      <c r="AA284">
        <f>(YEAR(Table1_1[[#This Row],[OrderMonth]])-YEAR(Table1_1[[#This Row],[Firstmonth]]))*12+(MONTH(Table1_1[[#This Row],[OrderMonth]])-MONTH(Table1_1[[#This Row],[Firstmonth]]))</f>
        <v>20</v>
      </c>
    </row>
    <row r="285" spans="1:27" x14ac:dyDescent="0.25">
      <c r="A285" s="11" t="s">
        <v>411</v>
      </c>
      <c r="B285" s="2">
        <v>45516</v>
      </c>
      <c r="C285" s="2">
        <v>45519</v>
      </c>
      <c r="D285" s="11" t="s">
        <v>1413</v>
      </c>
      <c r="E285">
        <v>3</v>
      </c>
      <c r="F285" s="11" t="s">
        <v>1473</v>
      </c>
      <c r="G285" s="11" t="s">
        <v>1458</v>
      </c>
      <c r="H285" s="11" t="s">
        <v>1509</v>
      </c>
      <c r="I285" s="11" t="s">
        <v>642</v>
      </c>
      <c r="J285" s="11" t="s">
        <v>650</v>
      </c>
      <c r="K285" s="11" t="s">
        <v>669</v>
      </c>
      <c r="L285" s="11" t="s">
        <v>1075</v>
      </c>
      <c r="M285" s="10">
        <v>12</v>
      </c>
      <c r="N285">
        <v>850.7</v>
      </c>
      <c r="O285" s="3">
        <v>1118.56</v>
      </c>
      <c r="P285" s="11" t="s">
        <v>1466</v>
      </c>
      <c r="Q285" s="4">
        <v>0.18</v>
      </c>
      <c r="R285" s="3">
        <v>11006.6304</v>
      </c>
      <c r="S285" s="3">
        <v>10208.400000000001</v>
      </c>
      <c r="T285" s="4">
        <v>7.2522685962090494E-2</v>
      </c>
      <c r="U285" s="11" t="s">
        <v>667</v>
      </c>
      <c r="V285" s="3">
        <v>798.23039999999855</v>
      </c>
      <c r="W285" s="11" t="s">
        <v>1437</v>
      </c>
      <c r="X285" t="str">
        <f>TEXT(Table1_1[[#This Row],[OrderDate]],"mm yyyy")</f>
        <v>08 2024</v>
      </c>
      <c r="Y285" s="13">
        <f>DATE(YEAR(Table1_1[[#This Row],[OrderDate]]),MONTH(B285),1)</f>
        <v>45505</v>
      </c>
      <c r="Z285" s="2">
        <f t="shared" si="4"/>
        <v>45047</v>
      </c>
      <c r="AA285">
        <f>(YEAR(Table1_1[[#This Row],[OrderMonth]])-YEAR(Table1_1[[#This Row],[Firstmonth]]))*12+(MONTH(Table1_1[[#This Row],[OrderMonth]])-MONTH(Table1_1[[#This Row],[Firstmonth]]))</f>
        <v>15</v>
      </c>
    </row>
    <row r="286" spans="1:27" x14ac:dyDescent="0.25">
      <c r="A286" s="11" t="s">
        <v>558</v>
      </c>
      <c r="B286" s="2">
        <v>44985</v>
      </c>
      <c r="C286" s="2">
        <v>44991</v>
      </c>
      <c r="D286" s="11" t="s">
        <v>1413</v>
      </c>
      <c r="E286">
        <v>6</v>
      </c>
      <c r="F286" s="11" t="s">
        <v>1464</v>
      </c>
      <c r="G286" s="11" t="s">
        <v>1455</v>
      </c>
      <c r="H286" s="11" t="s">
        <v>1467</v>
      </c>
      <c r="I286" s="11" t="s">
        <v>646</v>
      </c>
      <c r="J286" s="11" t="s">
        <v>650</v>
      </c>
      <c r="K286" s="11" t="s">
        <v>669</v>
      </c>
      <c r="L286" s="11" t="s">
        <v>1221</v>
      </c>
      <c r="M286" s="10">
        <v>12</v>
      </c>
      <c r="N286">
        <v>880.02</v>
      </c>
      <c r="O286" s="3">
        <v>1251.21</v>
      </c>
      <c r="P286" s="11" t="s">
        <v>1466</v>
      </c>
      <c r="Q286" s="4">
        <v>0.123</v>
      </c>
      <c r="R286" s="3">
        <v>13167.734040000001</v>
      </c>
      <c r="S286" s="3">
        <v>10560.24</v>
      </c>
      <c r="T286" s="4">
        <v>0.198021469151727</v>
      </c>
      <c r="U286" s="11" t="s">
        <v>667</v>
      </c>
      <c r="V286" s="3">
        <v>2607.4940400000014</v>
      </c>
      <c r="W286" s="11" t="s">
        <v>1432</v>
      </c>
      <c r="X286" t="str">
        <f>TEXT(Table1_1[[#This Row],[OrderDate]],"mm yyyy")</f>
        <v>02 2023</v>
      </c>
      <c r="Y286" s="13">
        <f>DATE(YEAR(Table1_1[[#This Row],[OrderDate]]),MONTH(B286),1)</f>
        <v>44958</v>
      </c>
      <c r="Z286" s="2">
        <f t="shared" si="4"/>
        <v>44927</v>
      </c>
      <c r="AA286">
        <f>(YEAR(Table1_1[[#This Row],[OrderMonth]])-YEAR(Table1_1[[#This Row],[Firstmonth]]))*12+(MONTH(Table1_1[[#This Row],[OrderMonth]])-MONTH(Table1_1[[#This Row],[Firstmonth]]))</f>
        <v>1</v>
      </c>
    </row>
    <row r="287" spans="1:27" x14ac:dyDescent="0.25">
      <c r="A287" s="11" t="s">
        <v>43</v>
      </c>
      <c r="B287" s="2">
        <v>45862</v>
      </c>
      <c r="C287" s="2">
        <v>45875</v>
      </c>
      <c r="D287" s="11" t="s">
        <v>1413</v>
      </c>
      <c r="E287">
        <v>13</v>
      </c>
      <c r="F287" s="11" t="s">
        <v>1485</v>
      </c>
      <c r="G287" s="11" t="s">
        <v>1490</v>
      </c>
      <c r="H287" s="11" t="s">
        <v>1491</v>
      </c>
      <c r="I287" s="11" t="s">
        <v>643</v>
      </c>
      <c r="J287" s="11" t="s">
        <v>650</v>
      </c>
      <c r="K287" s="11" t="s">
        <v>670</v>
      </c>
      <c r="L287" s="11" t="s">
        <v>707</v>
      </c>
      <c r="M287" s="10">
        <v>7</v>
      </c>
      <c r="N287">
        <v>1463.9</v>
      </c>
      <c r="O287" s="3">
        <v>2633.02</v>
      </c>
      <c r="P287" s="11" t="s">
        <v>1471</v>
      </c>
      <c r="Q287" s="4">
        <v>8.4000000000000005E-2</v>
      </c>
      <c r="R287" s="3">
        <v>16882.92424</v>
      </c>
      <c r="S287" s="3">
        <v>10247.300000000001</v>
      </c>
      <c r="T287" s="4">
        <v>0.39303761277791499</v>
      </c>
      <c r="U287" s="11" t="s">
        <v>667</v>
      </c>
      <c r="V287" s="3">
        <v>6635.6242399999992</v>
      </c>
      <c r="W287" s="11" t="s">
        <v>1438</v>
      </c>
      <c r="X287" t="str">
        <f>TEXT(Table1_1[[#This Row],[OrderDate]],"mm yyyy")</f>
        <v>07 2025</v>
      </c>
      <c r="Y287" s="13">
        <f>DATE(YEAR(Table1_1[[#This Row],[OrderDate]]),MONTH(B287),1)</f>
        <v>45839</v>
      </c>
      <c r="Z287" s="2">
        <f t="shared" si="4"/>
        <v>44958</v>
      </c>
      <c r="AA287">
        <f>(YEAR(Table1_1[[#This Row],[OrderMonth]])-YEAR(Table1_1[[#This Row],[Firstmonth]]))*12+(MONTH(Table1_1[[#This Row],[OrderMonth]])-MONTH(Table1_1[[#This Row],[Firstmonth]]))</f>
        <v>29</v>
      </c>
    </row>
    <row r="288" spans="1:27" x14ac:dyDescent="0.25">
      <c r="A288" s="11" t="s">
        <v>421</v>
      </c>
      <c r="B288" s="2">
        <v>45430</v>
      </c>
      <c r="C288" s="2">
        <v>45433</v>
      </c>
      <c r="D288" s="11" t="s">
        <v>1413</v>
      </c>
      <c r="E288">
        <v>3</v>
      </c>
      <c r="F288" s="11" t="s">
        <v>1464</v>
      </c>
      <c r="G288" s="11" t="s">
        <v>1456</v>
      </c>
      <c r="H288" s="11" t="s">
        <v>1472</v>
      </c>
      <c r="I288" s="11" t="s">
        <v>644</v>
      </c>
      <c r="J288" s="11" t="s">
        <v>650</v>
      </c>
      <c r="K288" s="11" t="s">
        <v>669</v>
      </c>
      <c r="L288" s="11" t="s">
        <v>1085</v>
      </c>
      <c r="M288" s="10">
        <v>14</v>
      </c>
      <c r="N288">
        <v>663.66</v>
      </c>
      <c r="O288" s="3">
        <v>824.26</v>
      </c>
      <c r="P288" s="11" t="s">
        <v>1466</v>
      </c>
      <c r="Q288" s="4">
        <v>0.23899999999999999</v>
      </c>
      <c r="R288" s="3">
        <v>8781.6660400000001</v>
      </c>
      <c r="S288" s="3">
        <v>9291.24</v>
      </c>
      <c r="T288" s="4">
        <v>-5.8027025587049003E-2</v>
      </c>
      <c r="U288" s="11" t="s">
        <v>667</v>
      </c>
      <c r="V288" s="3">
        <v>-509.57395999999972</v>
      </c>
      <c r="W288" s="11" t="s">
        <v>1436</v>
      </c>
      <c r="X288" t="str">
        <f>TEXT(Table1_1[[#This Row],[OrderDate]],"mm yyyy")</f>
        <v>05 2024</v>
      </c>
      <c r="Y288" s="13">
        <f>DATE(YEAR(Table1_1[[#This Row],[OrderDate]]),MONTH(B288),1)</f>
        <v>45413</v>
      </c>
      <c r="Z288" s="2">
        <f t="shared" si="4"/>
        <v>44958</v>
      </c>
      <c r="AA288">
        <f>(YEAR(Table1_1[[#This Row],[OrderMonth]])-YEAR(Table1_1[[#This Row],[Firstmonth]]))*12+(MONTH(Table1_1[[#This Row],[OrderMonth]])-MONTH(Table1_1[[#This Row],[Firstmonth]]))</f>
        <v>15</v>
      </c>
    </row>
    <row r="289" spans="1:27" x14ac:dyDescent="0.25">
      <c r="A289" s="11" t="s">
        <v>239</v>
      </c>
      <c r="B289" s="2">
        <v>44992</v>
      </c>
      <c r="C289" s="2">
        <v>45017</v>
      </c>
      <c r="D289" s="11" t="s">
        <v>1413</v>
      </c>
      <c r="E289">
        <v>25</v>
      </c>
      <c r="F289" s="11" t="s">
        <v>1485</v>
      </c>
      <c r="G289" s="11" t="s">
        <v>1449</v>
      </c>
      <c r="H289" s="11" t="s">
        <v>1486</v>
      </c>
      <c r="I289" s="11" t="s">
        <v>645</v>
      </c>
      <c r="J289" s="11" t="s">
        <v>650</v>
      </c>
      <c r="K289" s="11" t="s">
        <v>669</v>
      </c>
      <c r="L289" s="11" t="s">
        <v>904</v>
      </c>
      <c r="M289" s="10">
        <v>9</v>
      </c>
      <c r="N289">
        <v>1024.0999999999999</v>
      </c>
      <c r="O289" s="3">
        <v>918.19</v>
      </c>
      <c r="P289" s="11" t="s">
        <v>1466</v>
      </c>
      <c r="Q289" s="4">
        <v>0.189</v>
      </c>
      <c r="R289" s="3">
        <v>6701.8688099999999</v>
      </c>
      <c r="S289" s="3">
        <v>9216.9</v>
      </c>
      <c r="T289" s="4">
        <v>-0.37527311579827799</v>
      </c>
      <c r="U289" s="11" t="s">
        <v>667</v>
      </c>
      <c r="V289" s="3">
        <v>-2515.0311899999997</v>
      </c>
      <c r="W289" s="11" t="s">
        <v>1432</v>
      </c>
      <c r="X289" t="str">
        <f>TEXT(Table1_1[[#This Row],[OrderDate]],"mm yyyy")</f>
        <v>03 2023</v>
      </c>
      <c r="Y289" s="13">
        <f>DATE(YEAR(Table1_1[[#This Row],[OrderDate]]),MONTH(B289),1)</f>
        <v>44986</v>
      </c>
      <c r="Z289" s="2">
        <f t="shared" si="4"/>
        <v>44927</v>
      </c>
      <c r="AA289">
        <f>(YEAR(Table1_1[[#This Row],[OrderMonth]])-YEAR(Table1_1[[#This Row],[Firstmonth]]))*12+(MONTH(Table1_1[[#This Row],[OrderMonth]])-MONTH(Table1_1[[#This Row],[Firstmonth]]))</f>
        <v>2</v>
      </c>
    </row>
    <row r="290" spans="1:27" x14ac:dyDescent="0.25">
      <c r="A290" s="11" t="s">
        <v>17</v>
      </c>
      <c r="B290" s="2">
        <v>45653</v>
      </c>
      <c r="C290" s="2">
        <v>45671</v>
      </c>
      <c r="D290" s="11" t="s">
        <v>1413</v>
      </c>
      <c r="E290">
        <v>18</v>
      </c>
      <c r="F290" s="11" t="s">
        <v>1476</v>
      </c>
      <c r="G290" s="11" t="s">
        <v>1453</v>
      </c>
      <c r="H290" s="11" t="s">
        <v>1497</v>
      </c>
      <c r="I290" s="11" t="s">
        <v>646</v>
      </c>
      <c r="J290" s="11" t="s">
        <v>650</v>
      </c>
      <c r="K290" s="11" t="s">
        <v>673</v>
      </c>
      <c r="L290" s="11" t="s">
        <v>681</v>
      </c>
      <c r="M290" s="10">
        <v>18</v>
      </c>
      <c r="N290">
        <v>586.07000000000005</v>
      </c>
      <c r="O290" s="3">
        <v>845.97</v>
      </c>
      <c r="P290" s="11" t="s">
        <v>1466</v>
      </c>
      <c r="Q290" s="4">
        <v>0.14699999999999999</v>
      </c>
      <c r="R290" s="3">
        <v>12989.023380000001</v>
      </c>
      <c r="S290" s="3">
        <v>10549.26</v>
      </c>
      <c r="T290" s="4">
        <v>0.18783270370862901</v>
      </c>
      <c r="U290" s="11" t="s">
        <v>659</v>
      </c>
      <c r="V290" s="3">
        <v>2439.7633800000003</v>
      </c>
      <c r="W290" s="11" t="s">
        <v>1440</v>
      </c>
      <c r="X290" t="str">
        <f>TEXT(Table1_1[[#This Row],[OrderDate]],"mm yyyy")</f>
        <v>12 2024</v>
      </c>
      <c r="Y290" s="13">
        <f>DATE(YEAR(Table1_1[[#This Row],[OrderDate]]),MONTH(B290),1)</f>
        <v>45627</v>
      </c>
      <c r="Z290" s="2">
        <f t="shared" si="4"/>
        <v>44927</v>
      </c>
      <c r="AA290">
        <f>(YEAR(Table1_1[[#This Row],[OrderMonth]])-YEAR(Table1_1[[#This Row],[Firstmonth]]))*12+(MONTH(Table1_1[[#This Row],[OrderMonth]])-MONTH(Table1_1[[#This Row],[Firstmonth]]))</f>
        <v>23</v>
      </c>
    </row>
    <row r="291" spans="1:27" x14ac:dyDescent="0.25">
      <c r="A291" s="11" t="s">
        <v>436</v>
      </c>
      <c r="B291" s="2">
        <v>45897</v>
      </c>
      <c r="C291" s="2">
        <v>45905</v>
      </c>
      <c r="D291" s="11" t="s">
        <v>1413</v>
      </c>
      <c r="E291">
        <v>8</v>
      </c>
      <c r="F291" s="11" t="s">
        <v>1485</v>
      </c>
      <c r="G291" s="11" t="s">
        <v>1495</v>
      </c>
      <c r="H291" s="11" t="s">
        <v>1496</v>
      </c>
      <c r="I291" s="11" t="s">
        <v>646</v>
      </c>
      <c r="J291" s="11" t="s">
        <v>650</v>
      </c>
      <c r="K291" s="11" t="s">
        <v>672</v>
      </c>
      <c r="L291" s="11" t="s">
        <v>1100</v>
      </c>
      <c r="M291" s="10">
        <v>13</v>
      </c>
      <c r="N291">
        <v>1271.0999999999999</v>
      </c>
      <c r="O291" s="3">
        <v>1932.42</v>
      </c>
      <c r="P291" s="11" t="s">
        <v>1471</v>
      </c>
      <c r="Q291" s="4">
        <v>0.25</v>
      </c>
      <c r="R291" s="3">
        <v>18841.095000000001</v>
      </c>
      <c r="S291" s="3">
        <v>16524.3</v>
      </c>
      <c r="T291" s="4">
        <v>0.122964986907608</v>
      </c>
      <c r="U291" s="11" t="s">
        <v>659</v>
      </c>
      <c r="V291" s="3">
        <v>2316.7950000000019</v>
      </c>
      <c r="W291" s="11" t="s">
        <v>1438</v>
      </c>
      <c r="X291" t="str">
        <f>TEXT(Table1_1[[#This Row],[OrderDate]],"mm yyyy")</f>
        <v>08 2025</v>
      </c>
      <c r="Y291" s="13">
        <f>DATE(YEAR(Table1_1[[#This Row],[OrderDate]]),MONTH(B291),1)</f>
        <v>45870</v>
      </c>
      <c r="Z291" s="2">
        <f t="shared" si="4"/>
        <v>45047</v>
      </c>
      <c r="AA291">
        <f>(YEAR(Table1_1[[#This Row],[OrderMonth]])-YEAR(Table1_1[[#This Row],[Firstmonth]]))*12+(MONTH(Table1_1[[#This Row],[OrderMonth]])-MONTH(Table1_1[[#This Row],[Firstmonth]]))</f>
        <v>27</v>
      </c>
    </row>
    <row r="292" spans="1:27" x14ac:dyDescent="0.25">
      <c r="A292" s="11" t="s">
        <v>32</v>
      </c>
      <c r="B292" s="2">
        <v>45057</v>
      </c>
      <c r="C292" s="2">
        <v>45074</v>
      </c>
      <c r="D292" s="11" t="s">
        <v>1413</v>
      </c>
      <c r="E292">
        <v>17</v>
      </c>
      <c r="F292" s="11" t="s">
        <v>1476</v>
      </c>
      <c r="G292" s="11" t="s">
        <v>1457</v>
      </c>
      <c r="H292" s="11" t="s">
        <v>1513</v>
      </c>
      <c r="I292" s="11" t="s">
        <v>647</v>
      </c>
      <c r="J292" s="11" t="s">
        <v>650</v>
      </c>
      <c r="K292" s="11" t="s">
        <v>670</v>
      </c>
      <c r="L292" s="11" t="s">
        <v>696</v>
      </c>
      <c r="M292" s="10">
        <v>18</v>
      </c>
      <c r="N292">
        <v>1331.19</v>
      </c>
      <c r="O292" s="3">
        <v>2903.09</v>
      </c>
      <c r="P292" s="11" t="s">
        <v>1471</v>
      </c>
      <c r="Q292" s="4">
        <v>0.14299999999999999</v>
      </c>
      <c r="R292" s="3">
        <v>44783.066340000005</v>
      </c>
      <c r="S292" s="3">
        <v>23961.420000000002</v>
      </c>
      <c r="T292" s="4">
        <v>0.46494463290920801</v>
      </c>
      <c r="U292" s="11" t="s">
        <v>659</v>
      </c>
      <c r="V292" s="3">
        <v>20821.646340000003</v>
      </c>
      <c r="W292" s="11" t="s">
        <v>1435</v>
      </c>
      <c r="X292" t="str">
        <f>TEXT(Table1_1[[#This Row],[OrderDate]],"mm yyyy")</f>
        <v>05 2023</v>
      </c>
      <c r="Y292" s="13">
        <f>DATE(YEAR(Table1_1[[#This Row],[OrderDate]]),MONTH(B292),1)</f>
        <v>45047</v>
      </c>
      <c r="Z292" s="2">
        <f t="shared" si="4"/>
        <v>44927</v>
      </c>
      <c r="AA292">
        <f>(YEAR(Table1_1[[#This Row],[OrderMonth]])-YEAR(Table1_1[[#This Row],[Firstmonth]]))*12+(MONTH(Table1_1[[#This Row],[OrderMonth]])-MONTH(Table1_1[[#This Row],[Firstmonth]]))</f>
        <v>4</v>
      </c>
    </row>
    <row r="293" spans="1:27" x14ac:dyDescent="0.25">
      <c r="A293" s="11" t="s">
        <v>82</v>
      </c>
      <c r="B293" s="2">
        <v>45756</v>
      </c>
      <c r="C293" s="2">
        <v>45783</v>
      </c>
      <c r="D293" s="11" t="s">
        <v>1413</v>
      </c>
      <c r="E293">
        <v>27</v>
      </c>
      <c r="F293" s="11" t="s">
        <v>1473</v>
      </c>
      <c r="G293" s="11" t="s">
        <v>1454</v>
      </c>
      <c r="H293" s="11" t="s">
        <v>1478</v>
      </c>
      <c r="I293" s="11" t="s">
        <v>647</v>
      </c>
      <c r="J293" s="11" t="s">
        <v>650</v>
      </c>
      <c r="K293" s="11" t="s">
        <v>672</v>
      </c>
      <c r="L293" s="11" t="s">
        <v>746</v>
      </c>
      <c r="M293" s="10">
        <v>11</v>
      </c>
      <c r="N293">
        <v>264.19</v>
      </c>
      <c r="O293" s="3">
        <v>620.92999999999995</v>
      </c>
      <c r="P293" s="11" t="s">
        <v>1468</v>
      </c>
      <c r="Q293" s="4">
        <v>0.14199999999999999</v>
      </c>
      <c r="R293" s="3">
        <v>5860.3373399999991</v>
      </c>
      <c r="S293" s="3">
        <v>2906.09</v>
      </c>
      <c r="T293" s="4">
        <v>0.50410875152794499</v>
      </c>
      <c r="U293" s="11" t="s">
        <v>662</v>
      </c>
      <c r="V293" s="3">
        <v>2954.247339999999</v>
      </c>
      <c r="W293" s="11" t="s">
        <v>1431</v>
      </c>
      <c r="X293" t="str">
        <f>TEXT(Table1_1[[#This Row],[OrderDate]],"mm yyyy")</f>
        <v>04 2025</v>
      </c>
      <c r="Y293" s="13">
        <f>DATE(YEAR(Table1_1[[#This Row],[OrderDate]]),MONTH(B293),1)</f>
        <v>45748</v>
      </c>
      <c r="Z293" s="2">
        <f t="shared" si="4"/>
        <v>45231</v>
      </c>
      <c r="AA293">
        <f>(YEAR(Table1_1[[#This Row],[OrderMonth]])-YEAR(Table1_1[[#This Row],[Firstmonth]]))*12+(MONTH(Table1_1[[#This Row],[OrderMonth]])-MONTH(Table1_1[[#This Row],[Firstmonth]]))</f>
        <v>17</v>
      </c>
    </row>
    <row r="294" spans="1:27" x14ac:dyDescent="0.25">
      <c r="A294" s="11" t="s">
        <v>414</v>
      </c>
      <c r="B294" s="2">
        <v>45677</v>
      </c>
      <c r="C294" s="2">
        <v>45691</v>
      </c>
      <c r="D294" s="11" t="s">
        <v>1413</v>
      </c>
      <c r="E294">
        <v>14</v>
      </c>
      <c r="F294" s="11" t="s">
        <v>1473</v>
      </c>
      <c r="G294" s="11" t="s">
        <v>1454</v>
      </c>
      <c r="H294" s="11" t="s">
        <v>1478</v>
      </c>
      <c r="I294" s="11" t="s">
        <v>647</v>
      </c>
      <c r="J294" s="11" t="s">
        <v>650</v>
      </c>
      <c r="K294" s="11" t="s">
        <v>668</v>
      </c>
      <c r="L294" s="11" t="s">
        <v>1078</v>
      </c>
      <c r="M294" s="10">
        <v>14</v>
      </c>
      <c r="N294">
        <v>974.11</v>
      </c>
      <c r="O294" s="3">
        <v>880.99</v>
      </c>
      <c r="P294" s="11" t="s">
        <v>1466</v>
      </c>
      <c r="Q294" s="4">
        <v>0.111</v>
      </c>
      <c r="R294" s="3">
        <v>10964.80154</v>
      </c>
      <c r="S294" s="3">
        <v>13637.54</v>
      </c>
      <c r="T294" s="4">
        <v>-0.24375620938051201</v>
      </c>
      <c r="U294" s="11" t="s">
        <v>662</v>
      </c>
      <c r="V294" s="3">
        <v>-2672.7384600000005</v>
      </c>
      <c r="W294" s="11" t="s">
        <v>1434</v>
      </c>
      <c r="X294" t="str">
        <f>TEXT(Table1_1[[#This Row],[OrderDate]],"mm yyyy")</f>
        <v>01 2025</v>
      </c>
      <c r="Y294" s="13">
        <f>DATE(YEAR(Table1_1[[#This Row],[OrderDate]]),MONTH(B294),1)</f>
        <v>45658</v>
      </c>
      <c r="Z294" s="2">
        <f t="shared" si="4"/>
        <v>45231</v>
      </c>
      <c r="AA294">
        <f>(YEAR(Table1_1[[#This Row],[OrderMonth]])-YEAR(Table1_1[[#This Row],[Firstmonth]]))*12+(MONTH(Table1_1[[#This Row],[OrderMonth]])-MONTH(Table1_1[[#This Row],[Firstmonth]]))</f>
        <v>14</v>
      </c>
    </row>
    <row r="295" spans="1:27" x14ac:dyDescent="0.25">
      <c r="A295" s="11" t="s">
        <v>353</v>
      </c>
      <c r="B295" s="2">
        <v>45339</v>
      </c>
      <c r="C295" s="2">
        <v>45355</v>
      </c>
      <c r="D295" s="11" t="s">
        <v>1413</v>
      </c>
      <c r="E295">
        <v>16</v>
      </c>
      <c r="F295" s="11" t="s">
        <v>1476</v>
      </c>
      <c r="G295" s="11" t="s">
        <v>1453</v>
      </c>
      <c r="H295" s="11" t="s">
        <v>1479</v>
      </c>
      <c r="I295" s="11" t="s">
        <v>646</v>
      </c>
      <c r="J295" s="11" t="s">
        <v>650</v>
      </c>
      <c r="K295" s="11" t="s">
        <v>671</v>
      </c>
      <c r="L295" s="11" t="s">
        <v>1018</v>
      </c>
      <c r="M295" s="10">
        <v>15</v>
      </c>
      <c r="N295">
        <v>1231.8</v>
      </c>
      <c r="O295" s="3">
        <v>2015.99</v>
      </c>
      <c r="P295" s="11" t="s">
        <v>1471</v>
      </c>
      <c r="Q295" s="4">
        <v>0.26100000000000001</v>
      </c>
      <c r="R295" s="3">
        <v>22347.24915</v>
      </c>
      <c r="S295" s="3">
        <v>18477</v>
      </c>
      <c r="T295" s="4">
        <v>0.17318682599464399</v>
      </c>
      <c r="U295" s="11" t="s">
        <v>662</v>
      </c>
      <c r="V295" s="3">
        <v>3870.2491499999996</v>
      </c>
      <c r="W295" s="11" t="s">
        <v>1433</v>
      </c>
      <c r="X295" t="str">
        <f>TEXT(Table1_1[[#This Row],[OrderDate]],"mm yyyy")</f>
        <v>02 2024</v>
      </c>
      <c r="Y295" s="13">
        <f>DATE(YEAR(Table1_1[[#This Row],[OrderDate]]),MONTH(B295),1)</f>
        <v>45323</v>
      </c>
      <c r="Z295" s="2">
        <f t="shared" si="4"/>
        <v>44927</v>
      </c>
      <c r="AA295">
        <f>(YEAR(Table1_1[[#This Row],[OrderMonth]])-YEAR(Table1_1[[#This Row],[Firstmonth]]))*12+(MONTH(Table1_1[[#This Row],[OrderMonth]])-MONTH(Table1_1[[#This Row],[Firstmonth]]))</f>
        <v>13</v>
      </c>
    </row>
    <row r="296" spans="1:27" x14ac:dyDescent="0.25">
      <c r="A296" s="11" t="s">
        <v>288</v>
      </c>
      <c r="B296" s="2">
        <v>45459</v>
      </c>
      <c r="C296" s="2">
        <v>45476</v>
      </c>
      <c r="D296" s="11" t="s">
        <v>1413</v>
      </c>
      <c r="E296">
        <v>17</v>
      </c>
      <c r="F296" s="11" t="s">
        <v>1485</v>
      </c>
      <c r="G296" s="11" t="s">
        <v>1490</v>
      </c>
      <c r="H296" s="11" t="s">
        <v>1491</v>
      </c>
      <c r="I296" s="11" t="s">
        <v>647</v>
      </c>
      <c r="J296" s="11" t="s">
        <v>650</v>
      </c>
      <c r="K296" s="11" t="s">
        <v>671</v>
      </c>
      <c r="L296" s="11" t="s">
        <v>953</v>
      </c>
      <c r="M296" s="10">
        <v>9</v>
      </c>
      <c r="N296">
        <v>1173.83</v>
      </c>
      <c r="O296" s="3">
        <v>2328.9</v>
      </c>
      <c r="P296" s="11" t="s">
        <v>1471</v>
      </c>
      <c r="Q296" s="4">
        <v>0.12</v>
      </c>
      <c r="R296" s="3">
        <v>18444.888000000003</v>
      </c>
      <c r="S296" s="3">
        <v>10564.47</v>
      </c>
      <c r="T296" s="4">
        <v>0.42724130393201598</v>
      </c>
      <c r="U296" s="11" t="s">
        <v>662</v>
      </c>
      <c r="V296" s="3">
        <v>7880.4180000000033</v>
      </c>
      <c r="W296" s="11" t="s">
        <v>1436</v>
      </c>
      <c r="X296" t="str">
        <f>TEXT(Table1_1[[#This Row],[OrderDate]],"mm yyyy")</f>
        <v>06 2024</v>
      </c>
      <c r="Y296" s="13">
        <f>DATE(YEAR(Table1_1[[#This Row],[OrderDate]]),MONTH(B296),1)</f>
        <v>45444</v>
      </c>
      <c r="Z296" s="2">
        <f t="shared" si="4"/>
        <v>44958</v>
      </c>
      <c r="AA296">
        <f>(YEAR(Table1_1[[#This Row],[OrderMonth]])-YEAR(Table1_1[[#This Row],[Firstmonth]]))*12+(MONTH(Table1_1[[#This Row],[OrderMonth]])-MONTH(Table1_1[[#This Row],[Firstmonth]]))</f>
        <v>16</v>
      </c>
    </row>
    <row r="297" spans="1:27" x14ac:dyDescent="0.25">
      <c r="A297" s="11" t="s">
        <v>410</v>
      </c>
      <c r="B297" s="2">
        <v>45759</v>
      </c>
      <c r="C297" s="2">
        <v>45777</v>
      </c>
      <c r="D297" s="11" t="s">
        <v>1413</v>
      </c>
      <c r="E297">
        <v>18</v>
      </c>
      <c r="F297" s="11" t="s">
        <v>1485</v>
      </c>
      <c r="G297" s="11" t="s">
        <v>1449</v>
      </c>
      <c r="H297" s="11" t="s">
        <v>1512</v>
      </c>
      <c r="I297" s="11" t="s">
        <v>642</v>
      </c>
      <c r="J297" s="11" t="s">
        <v>650</v>
      </c>
      <c r="K297" s="11" t="s">
        <v>670</v>
      </c>
      <c r="L297" s="11" t="s">
        <v>1074</v>
      </c>
      <c r="M297" s="10">
        <v>7</v>
      </c>
      <c r="N297">
        <v>1119.04</v>
      </c>
      <c r="O297" s="3">
        <v>1299.02</v>
      </c>
      <c r="P297" s="11" t="s">
        <v>1466</v>
      </c>
      <c r="Q297" s="4">
        <v>2.5000000000000001E-2</v>
      </c>
      <c r="R297" s="3">
        <v>8865.8114999999998</v>
      </c>
      <c r="S297" s="3">
        <v>7833.28</v>
      </c>
      <c r="T297" s="4">
        <v>0.11646215352085899</v>
      </c>
      <c r="U297" s="11" t="s">
        <v>662</v>
      </c>
      <c r="V297" s="3">
        <v>1032.5315000000001</v>
      </c>
      <c r="W297" s="11" t="s">
        <v>1431</v>
      </c>
      <c r="X297" t="str">
        <f>TEXT(Table1_1[[#This Row],[OrderDate]],"mm yyyy")</f>
        <v>04 2025</v>
      </c>
      <c r="Y297" s="13">
        <f>DATE(YEAR(Table1_1[[#This Row],[OrderDate]]),MONTH(B297),1)</f>
        <v>45748</v>
      </c>
      <c r="Z297" s="2">
        <f t="shared" si="4"/>
        <v>44927</v>
      </c>
      <c r="AA297">
        <f>(YEAR(Table1_1[[#This Row],[OrderMonth]])-YEAR(Table1_1[[#This Row],[Firstmonth]]))*12+(MONTH(Table1_1[[#This Row],[OrderMonth]])-MONTH(Table1_1[[#This Row],[Firstmonth]]))</f>
        <v>27</v>
      </c>
    </row>
    <row r="298" spans="1:27" x14ac:dyDescent="0.25">
      <c r="A298" s="11" t="s">
        <v>507</v>
      </c>
      <c r="B298" s="2">
        <v>45544</v>
      </c>
      <c r="C298" s="2">
        <v>45548</v>
      </c>
      <c r="D298" s="11" t="s">
        <v>1413</v>
      </c>
      <c r="E298">
        <v>4</v>
      </c>
      <c r="F298" s="11" t="s">
        <v>1464</v>
      </c>
      <c r="G298" s="11" t="s">
        <v>1469</v>
      </c>
      <c r="H298" s="11" t="s">
        <v>1470</v>
      </c>
      <c r="I298" s="11" t="s">
        <v>645</v>
      </c>
      <c r="J298" s="11" t="s">
        <v>650</v>
      </c>
      <c r="K298" s="11" t="s">
        <v>670</v>
      </c>
      <c r="L298" s="11" t="s">
        <v>1171</v>
      </c>
      <c r="M298" s="10">
        <v>11</v>
      </c>
      <c r="N298">
        <v>1133.08</v>
      </c>
      <c r="O298" s="3">
        <v>976.17</v>
      </c>
      <c r="P298" s="11" t="s">
        <v>1466</v>
      </c>
      <c r="Q298" s="4">
        <v>4.2000000000000003E-2</v>
      </c>
      <c r="R298" s="3">
        <v>10286.879459999998</v>
      </c>
      <c r="S298" s="3">
        <v>12463.88</v>
      </c>
      <c r="T298" s="4">
        <v>-0.21162885678452401</v>
      </c>
      <c r="U298" s="11" t="s">
        <v>662</v>
      </c>
      <c r="V298" s="3">
        <v>-2177.0005400000009</v>
      </c>
      <c r="W298" s="11" t="s">
        <v>1437</v>
      </c>
      <c r="X298" t="str">
        <f>TEXT(Table1_1[[#This Row],[OrderDate]],"mm yyyy")</f>
        <v>09 2024</v>
      </c>
      <c r="Y298" s="13">
        <f>DATE(YEAR(Table1_1[[#This Row],[OrderDate]]),MONTH(B298),1)</f>
        <v>45536</v>
      </c>
      <c r="Z298" s="2">
        <f t="shared" si="4"/>
        <v>44927</v>
      </c>
      <c r="AA298">
        <f>(YEAR(Table1_1[[#This Row],[OrderMonth]])-YEAR(Table1_1[[#This Row],[Firstmonth]]))*12+(MONTH(Table1_1[[#This Row],[OrderMonth]])-MONTH(Table1_1[[#This Row],[Firstmonth]]))</f>
        <v>20</v>
      </c>
    </row>
    <row r="299" spans="1:27" x14ac:dyDescent="0.25">
      <c r="A299" s="11" t="s">
        <v>37</v>
      </c>
      <c r="B299" s="2">
        <v>45626</v>
      </c>
      <c r="C299" s="2">
        <v>45656</v>
      </c>
      <c r="D299" s="11" t="s">
        <v>1413</v>
      </c>
      <c r="E299">
        <v>30</v>
      </c>
      <c r="F299" s="11" t="s">
        <v>1464</v>
      </c>
      <c r="G299" s="11" t="s">
        <v>1456</v>
      </c>
      <c r="H299" s="11" t="s">
        <v>1472</v>
      </c>
      <c r="I299" s="11" t="s">
        <v>645</v>
      </c>
      <c r="J299" s="11" t="s">
        <v>650</v>
      </c>
      <c r="K299" s="11" t="s">
        <v>669</v>
      </c>
      <c r="L299" s="11" t="s">
        <v>701</v>
      </c>
      <c r="M299" s="10">
        <v>7</v>
      </c>
      <c r="N299">
        <v>117.64</v>
      </c>
      <c r="O299" s="3">
        <v>175.67</v>
      </c>
      <c r="P299" s="11" t="s">
        <v>1468</v>
      </c>
      <c r="Q299" s="4">
        <v>0</v>
      </c>
      <c r="R299" s="3">
        <v>1229.6899999999998</v>
      </c>
      <c r="S299" s="3">
        <v>823.48</v>
      </c>
      <c r="T299" s="4">
        <v>0.33033528775545001</v>
      </c>
      <c r="U299" s="11" t="s">
        <v>662</v>
      </c>
      <c r="V299" s="3">
        <v>406.20999999999981</v>
      </c>
      <c r="W299" s="11" t="s">
        <v>1440</v>
      </c>
      <c r="X299" t="str">
        <f>TEXT(Table1_1[[#This Row],[OrderDate]],"mm yyyy")</f>
        <v>11 2024</v>
      </c>
      <c r="Y299" s="13">
        <f>DATE(YEAR(Table1_1[[#This Row],[OrderDate]]),MONTH(B299),1)</f>
        <v>45597</v>
      </c>
      <c r="Z299" s="2">
        <f t="shared" si="4"/>
        <v>44958</v>
      </c>
      <c r="AA299">
        <f>(YEAR(Table1_1[[#This Row],[OrderMonth]])-YEAR(Table1_1[[#This Row],[Firstmonth]]))*12+(MONTH(Table1_1[[#This Row],[OrderMonth]])-MONTH(Table1_1[[#This Row],[Firstmonth]]))</f>
        <v>21</v>
      </c>
    </row>
    <row r="300" spans="1:27" x14ac:dyDescent="0.25">
      <c r="A300" s="11" t="s">
        <v>296</v>
      </c>
      <c r="B300" s="2">
        <v>45751</v>
      </c>
      <c r="C300" s="2">
        <v>45760</v>
      </c>
      <c r="D300" s="11" t="s">
        <v>1413</v>
      </c>
      <c r="E300">
        <v>9</v>
      </c>
      <c r="F300" s="11" t="s">
        <v>1464</v>
      </c>
      <c r="G300" s="11" t="s">
        <v>1455</v>
      </c>
      <c r="H300" s="11" t="s">
        <v>1483</v>
      </c>
      <c r="I300" s="11" t="s">
        <v>645</v>
      </c>
      <c r="J300" s="11" t="s">
        <v>650</v>
      </c>
      <c r="K300" s="11" t="s">
        <v>671</v>
      </c>
      <c r="L300" s="11" t="s">
        <v>961</v>
      </c>
      <c r="M300" s="10">
        <v>18</v>
      </c>
      <c r="N300">
        <v>7.02</v>
      </c>
      <c r="O300" s="3">
        <v>6.28</v>
      </c>
      <c r="P300" s="11" t="s">
        <v>1468</v>
      </c>
      <c r="Q300" s="4">
        <v>0.13400000000000001</v>
      </c>
      <c r="R300" s="3">
        <v>97.89264</v>
      </c>
      <c r="S300" s="3">
        <v>126.35999999999999</v>
      </c>
      <c r="T300" s="4">
        <v>-0.29080184169106099</v>
      </c>
      <c r="U300" s="11" t="s">
        <v>662</v>
      </c>
      <c r="V300" s="3">
        <v>-28.467359999999985</v>
      </c>
      <c r="W300" s="11" t="s">
        <v>1431</v>
      </c>
      <c r="X300" t="str">
        <f>TEXT(Table1_1[[#This Row],[OrderDate]],"mm yyyy")</f>
        <v>04 2025</v>
      </c>
      <c r="Y300" s="13">
        <f>DATE(YEAR(Table1_1[[#This Row],[OrderDate]]),MONTH(B300),1)</f>
        <v>45748</v>
      </c>
      <c r="Z300" s="2">
        <f t="shared" si="4"/>
        <v>44927</v>
      </c>
      <c r="AA300">
        <f>(YEAR(Table1_1[[#This Row],[OrderMonth]])-YEAR(Table1_1[[#This Row],[Firstmonth]]))*12+(MONTH(Table1_1[[#This Row],[OrderMonth]])-MONTH(Table1_1[[#This Row],[Firstmonth]]))</f>
        <v>27</v>
      </c>
    </row>
    <row r="301" spans="1:27" x14ac:dyDescent="0.25">
      <c r="A301" s="11" t="s">
        <v>100</v>
      </c>
      <c r="B301" s="2">
        <v>45106</v>
      </c>
      <c r="C301" s="2">
        <v>45109</v>
      </c>
      <c r="D301" s="11" t="s">
        <v>1413</v>
      </c>
      <c r="E301">
        <v>3</v>
      </c>
      <c r="F301" s="11" t="s">
        <v>1476</v>
      </c>
      <c r="G301" s="11" t="s">
        <v>1451</v>
      </c>
      <c r="H301" s="11" t="s">
        <v>1484</v>
      </c>
      <c r="I301" s="11" t="s">
        <v>643</v>
      </c>
      <c r="J301" s="11" t="s">
        <v>650</v>
      </c>
      <c r="K301" s="11" t="s">
        <v>673</v>
      </c>
      <c r="L301" s="11" t="s">
        <v>764</v>
      </c>
      <c r="M301" s="10">
        <v>22</v>
      </c>
      <c r="N301">
        <v>55.65</v>
      </c>
      <c r="O301" s="3">
        <v>83.57</v>
      </c>
      <c r="P301" s="11" t="s">
        <v>1468</v>
      </c>
      <c r="Q301" s="4">
        <v>6.6000000000000003E-2</v>
      </c>
      <c r="R301" s="3">
        <v>1717.1963599999999</v>
      </c>
      <c r="S301" s="3">
        <v>1224.3</v>
      </c>
      <c r="T301" s="4">
        <v>0.28703552574500002</v>
      </c>
      <c r="U301" s="11" t="s">
        <v>662</v>
      </c>
      <c r="V301" s="3">
        <v>492.89635999999996</v>
      </c>
      <c r="W301" s="11" t="s">
        <v>1435</v>
      </c>
      <c r="X301" t="str">
        <f>TEXT(Table1_1[[#This Row],[OrderDate]],"mm yyyy")</f>
        <v>06 2023</v>
      </c>
      <c r="Y301" s="13">
        <f>DATE(YEAR(Table1_1[[#This Row],[OrderDate]]),MONTH(B301),1)</f>
        <v>45078</v>
      </c>
      <c r="Z301" s="2">
        <f t="shared" si="4"/>
        <v>44986</v>
      </c>
      <c r="AA301">
        <f>(YEAR(Table1_1[[#This Row],[OrderMonth]])-YEAR(Table1_1[[#This Row],[Firstmonth]]))*12+(MONTH(Table1_1[[#This Row],[OrderMonth]])-MONTH(Table1_1[[#This Row],[Firstmonth]]))</f>
        <v>3</v>
      </c>
    </row>
    <row r="302" spans="1:27" x14ac:dyDescent="0.25">
      <c r="A302" s="11" t="s">
        <v>259</v>
      </c>
      <c r="B302" s="2">
        <v>45912</v>
      </c>
      <c r="C302" s="2">
        <v>45930</v>
      </c>
      <c r="D302" s="11" t="s">
        <v>1413</v>
      </c>
      <c r="E302">
        <v>18</v>
      </c>
      <c r="F302" s="11" t="s">
        <v>1476</v>
      </c>
      <c r="G302" s="11" t="s">
        <v>1451</v>
      </c>
      <c r="H302" s="11" t="s">
        <v>1484</v>
      </c>
      <c r="I302" s="11" t="s">
        <v>644</v>
      </c>
      <c r="J302" s="11" t="s">
        <v>650</v>
      </c>
      <c r="K302" s="11" t="s">
        <v>673</v>
      </c>
      <c r="L302" s="11" t="s">
        <v>924</v>
      </c>
      <c r="M302" s="10">
        <v>19</v>
      </c>
      <c r="N302">
        <v>1212.99</v>
      </c>
      <c r="O302" s="3">
        <v>1653.64</v>
      </c>
      <c r="P302" s="11" t="s">
        <v>1471</v>
      </c>
      <c r="Q302" s="4">
        <v>0.107</v>
      </c>
      <c r="R302" s="3">
        <v>28057.309880000004</v>
      </c>
      <c r="S302" s="3">
        <v>23046.81</v>
      </c>
      <c r="T302" s="4">
        <v>0.17858090819931499</v>
      </c>
      <c r="U302" s="11" t="s">
        <v>662</v>
      </c>
      <c r="V302" s="3">
        <v>5010.499880000003</v>
      </c>
      <c r="W302" s="11" t="s">
        <v>1438</v>
      </c>
      <c r="X302" t="str">
        <f>TEXT(Table1_1[[#This Row],[OrderDate]],"mm yyyy")</f>
        <v>09 2025</v>
      </c>
      <c r="Y302" s="13">
        <f>DATE(YEAR(Table1_1[[#This Row],[OrderDate]]),MONTH(B302),1)</f>
        <v>45901</v>
      </c>
      <c r="Z302" s="2">
        <f t="shared" si="4"/>
        <v>44986</v>
      </c>
      <c r="AA302">
        <f>(YEAR(Table1_1[[#This Row],[OrderMonth]])-YEAR(Table1_1[[#This Row],[Firstmonth]]))*12+(MONTH(Table1_1[[#This Row],[OrderMonth]])-MONTH(Table1_1[[#This Row],[Firstmonth]]))</f>
        <v>30</v>
      </c>
    </row>
    <row r="303" spans="1:27" x14ac:dyDescent="0.25">
      <c r="A303" s="11" t="s">
        <v>274</v>
      </c>
      <c r="B303" s="2">
        <v>45763</v>
      </c>
      <c r="C303" s="2">
        <v>45773</v>
      </c>
      <c r="D303" s="11" t="s">
        <v>1413</v>
      </c>
      <c r="E303">
        <v>10</v>
      </c>
      <c r="F303" s="11" t="s">
        <v>1485</v>
      </c>
      <c r="G303" s="11" t="s">
        <v>1495</v>
      </c>
      <c r="H303" s="11" t="s">
        <v>1496</v>
      </c>
      <c r="I303" s="11" t="s">
        <v>647</v>
      </c>
      <c r="J303" s="11" t="s">
        <v>650</v>
      </c>
      <c r="K303" s="11" t="s">
        <v>672</v>
      </c>
      <c r="L303" s="11" t="s">
        <v>939</v>
      </c>
      <c r="M303" s="10">
        <v>9</v>
      </c>
      <c r="N303">
        <v>1457.44</v>
      </c>
      <c r="O303" s="3">
        <v>1996.81</v>
      </c>
      <c r="P303" s="11" t="s">
        <v>1471</v>
      </c>
      <c r="Q303" s="4">
        <v>0.126</v>
      </c>
      <c r="R303" s="3">
        <v>15706.90746</v>
      </c>
      <c r="S303" s="3">
        <v>13116.960000000001</v>
      </c>
      <c r="T303" s="4">
        <v>0.164892259446724</v>
      </c>
      <c r="U303" s="11" t="s">
        <v>662</v>
      </c>
      <c r="V303" s="3">
        <v>2589.9474599999994</v>
      </c>
      <c r="W303" s="11" t="s">
        <v>1431</v>
      </c>
      <c r="X303" t="str">
        <f>TEXT(Table1_1[[#This Row],[OrderDate]],"mm yyyy")</f>
        <v>04 2025</v>
      </c>
      <c r="Y303" s="13">
        <f>DATE(YEAR(Table1_1[[#This Row],[OrderDate]]),MONTH(B303),1)</f>
        <v>45748</v>
      </c>
      <c r="Z303" s="2">
        <f t="shared" si="4"/>
        <v>45047</v>
      </c>
      <c r="AA303">
        <f>(YEAR(Table1_1[[#This Row],[OrderMonth]])-YEAR(Table1_1[[#This Row],[Firstmonth]]))*12+(MONTH(Table1_1[[#This Row],[OrderMonth]])-MONTH(Table1_1[[#This Row],[Firstmonth]]))</f>
        <v>23</v>
      </c>
    </row>
    <row r="304" spans="1:27" x14ac:dyDescent="0.25">
      <c r="A304" s="11" t="s">
        <v>603</v>
      </c>
      <c r="B304" s="2">
        <v>45504</v>
      </c>
      <c r="C304" s="2">
        <v>45519</v>
      </c>
      <c r="D304" s="11" t="s">
        <v>1413</v>
      </c>
      <c r="E304">
        <v>15</v>
      </c>
      <c r="F304" s="11" t="s">
        <v>1476</v>
      </c>
      <c r="G304" s="11" t="s">
        <v>1451</v>
      </c>
      <c r="H304" s="11" t="s">
        <v>1510</v>
      </c>
      <c r="I304" s="11" t="s">
        <v>642</v>
      </c>
      <c r="J304" s="11" t="s">
        <v>650</v>
      </c>
      <c r="K304" s="11" t="s">
        <v>673</v>
      </c>
      <c r="L304" s="11" t="s">
        <v>1266</v>
      </c>
      <c r="M304" s="10">
        <v>22</v>
      </c>
      <c r="N304">
        <v>1252.52</v>
      </c>
      <c r="O304" s="3">
        <v>1417.24</v>
      </c>
      <c r="P304" s="11" t="s">
        <v>1466</v>
      </c>
      <c r="Q304" s="4">
        <v>0.192</v>
      </c>
      <c r="R304" s="3">
        <v>25192.858240000001</v>
      </c>
      <c r="S304" s="3">
        <v>27555.439999999999</v>
      </c>
      <c r="T304" s="4">
        <v>-9.3779821943696898E-2</v>
      </c>
      <c r="U304" s="11" t="s">
        <v>662</v>
      </c>
      <c r="V304" s="3">
        <v>-2362.5817599999973</v>
      </c>
      <c r="W304" s="11" t="s">
        <v>1437</v>
      </c>
      <c r="X304" t="str">
        <f>TEXT(Table1_1[[#This Row],[OrderDate]],"mm yyyy")</f>
        <v>07 2024</v>
      </c>
      <c r="Y304" s="13">
        <f>DATE(YEAR(Table1_1[[#This Row],[OrderDate]]),MONTH(B304),1)</f>
        <v>45474</v>
      </c>
      <c r="Z304" s="2">
        <f t="shared" si="4"/>
        <v>44986</v>
      </c>
      <c r="AA304">
        <f>(YEAR(Table1_1[[#This Row],[OrderMonth]])-YEAR(Table1_1[[#This Row],[Firstmonth]]))*12+(MONTH(Table1_1[[#This Row],[OrderMonth]])-MONTH(Table1_1[[#This Row],[Firstmonth]]))</f>
        <v>16</v>
      </c>
    </row>
    <row r="305" spans="1:27" x14ac:dyDescent="0.25">
      <c r="A305" s="11" t="s">
        <v>464</v>
      </c>
      <c r="B305" s="2">
        <v>45070</v>
      </c>
      <c r="C305" s="2">
        <v>45098</v>
      </c>
      <c r="D305" s="11" t="s">
        <v>1413</v>
      </c>
      <c r="E305">
        <v>28</v>
      </c>
      <c r="F305" s="11" t="s">
        <v>1473</v>
      </c>
      <c r="G305" s="11" t="s">
        <v>1458</v>
      </c>
      <c r="H305" s="11" t="s">
        <v>1500</v>
      </c>
      <c r="I305" s="11" t="s">
        <v>646</v>
      </c>
      <c r="J305" s="11" t="s">
        <v>650</v>
      </c>
      <c r="K305" s="11" t="s">
        <v>673</v>
      </c>
      <c r="L305" s="11" t="s">
        <v>1128</v>
      </c>
      <c r="M305" s="10">
        <v>10</v>
      </c>
      <c r="N305">
        <v>813.97</v>
      </c>
      <c r="O305" s="3">
        <v>1568.83</v>
      </c>
      <c r="P305" s="11" t="s">
        <v>1466</v>
      </c>
      <c r="Q305" s="4">
        <v>1.7000000000000001E-2</v>
      </c>
      <c r="R305" s="3">
        <v>15421.598899999999</v>
      </c>
      <c r="S305" s="3">
        <v>8139.7000000000007</v>
      </c>
      <c r="T305" s="4">
        <v>0.47218832153649098</v>
      </c>
      <c r="U305" s="11" t="s">
        <v>656</v>
      </c>
      <c r="V305" s="3">
        <v>7281.8988999999983</v>
      </c>
      <c r="W305" s="11" t="s">
        <v>1435</v>
      </c>
      <c r="X305" t="str">
        <f>TEXT(Table1_1[[#This Row],[OrderDate]],"mm yyyy")</f>
        <v>05 2023</v>
      </c>
      <c r="Y305" s="13">
        <f>DATE(YEAR(Table1_1[[#This Row],[OrderDate]]),MONTH(B305),1)</f>
        <v>45047</v>
      </c>
      <c r="Z305" s="2">
        <f t="shared" si="4"/>
        <v>45047</v>
      </c>
      <c r="AA305">
        <f>(YEAR(Table1_1[[#This Row],[OrderMonth]])-YEAR(Table1_1[[#This Row],[Firstmonth]]))*12+(MONTH(Table1_1[[#This Row],[OrderMonth]])-MONTH(Table1_1[[#This Row],[Firstmonth]]))</f>
        <v>0</v>
      </c>
    </row>
    <row r="306" spans="1:27" x14ac:dyDescent="0.25">
      <c r="A306" s="11" t="s">
        <v>29</v>
      </c>
      <c r="B306" s="2">
        <v>45858</v>
      </c>
      <c r="C306" s="2">
        <v>45874</v>
      </c>
      <c r="D306" s="11" t="s">
        <v>1413</v>
      </c>
      <c r="E306">
        <v>16</v>
      </c>
      <c r="F306" s="11" t="s">
        <v>1473</v>
      </c>
      <c r="G306" s="11" t="s">
        <v>1454</v>
      </c>
      <c r="H306" s="11" t="s">
        <v>1478</v>
      </c>
      <c r="I306" s="11" t="s">
        <v>647</v>
      </c>
      <c r="J306" s="11" t="s">
        <v>650</v>
      </c>
      <c r="K306" s="11" t="s">
        <v>674</v>
      </c>
      <c r="L306" s="11" t="s">
        <v>693</v>
      </c>
      <c r="M306" s="10">
        <v>12</v>
      </c>
      <c r="N306">
        <v>1068.17</v>
      </c>
      <c r="O306" s="3">
        <v>2375.37</v>
      </c>
      <c r="P306" s="11" t="s">
        <v>1471</v>
      </c>
      <c r="Q306" s="4">
        <v>0.109</v>
      </c>
      <c r="R306" s="3">
        <v>25397.456040000001</v>
      </c>
      <c r="S306" s="3">
        <v>12818.04</v>
      </c>
      <c r="T306" s="4">
        <v>0.49530220744108799</v>
      </c>
      <c r="U306" s="11" t="s">
        <v>656</v>
      </c>
      <c r="V306" s="3">
        <v>12579.41604</v>
      </c>
      <c r="W306" s="11" t="s">
        <v>1438</v>
      </c>
      <c r="X306" t="str">
        <f>TEXT(Table1_1[[#This Row],[OrderDate]],"mm yyyy")</f>
        <v>07 2025</v>
      </c>
      <c r="Y306" s="13">
        <f>DATE(YEAR(Table1_1[[#This Row],[OrderDate]]),MONTH(B306),1)</f>
        <v>45839</v>
      </c>
      <c r="Z306" s="2">
        <f t="shared" si="4"/>
        <v>45231</v>
      </c>
      <c r="AA306">
        <f>(YEAR(Table1_1[[#This Row],[OrderMonth]])-YEAR(Table1_1[[#This Row],[Firstmonth]]))*12+(MONTH(Table1_1[[#This Row],[OrderMonth]])-MONTH(Table1_1[[#This Row],[Firstmonth]]))</f>
        <v>20</v>
      </c>
    </row>
    <row r="307" spans="1:27" x14ac:dyDescent="0.25">
      <c r="A307" s="11" t="s">
        <v>396</v>
      </c>
      <c r="B307" s="2">
        <v>45789</v>
      </c>
      <c r="C307" s="2">
        <v>45803</v>
      </c>
      <c r="D307" s="11" t="s">
        <v>1413</v>
      </c>
      <c r="E307">
        <v>14</v>
      </c>
      <c r="F307" s="11" t="s">
        <v>1476</v>
      </c>
      <c r="G307" s="11" t="s">
        <v>1453</v>
      </c>
      <c r="H307" s="11" t="s">
        <v>1480</v>
      </c>
      <c r="I307" s="11" t="s">
        <v>642</v>
      </c>
      <c r="J307" s="11" t="s">
        <v>650</v>
      </c>
      <c r="K307" s="11" t="s">
        <v>669</v>
      </c>
      <c r="L307" s="11" t="s">
        <v>1060</v>
      </c>
      <c r="M307" s="10">
        <v>8</v>
      </c>
      <c r="N307">
        <v>320.12</v>
      </c>
      <c r="O307" s="3">
        <v>594.41999999999996</v>
      </c>
      <c r="P307" s="11" t="s">
        <v>1468</v>
      </c>
      <c r="Q307" s="4">
        <v>0.104</v>
      </c>
      <c r="R307" s="3">
        <v>4260.8025600000001</v>
      </c>
      <c r="S307" s="3">
        <v>2560.96</v>
      </c>
      <c r="T307" s="4">
        <v>0.39894891538931099</v>
      </c>
      <c r="U307" s="11" t="s">
        <v>656</v>
      </c>
      <c r="V307" s="3">
        <v>1699.84256</v>
      </c>
      <c r="W307" s="11" t="s">
        <v>1431</v>
      </c>
      <c r="X307" t="str">
        <f>TEXT(Table1_1[[#This Row],[OrderDate]],"mm yyyy")</f>
        <v>05 2025</v>
      </c>
      <c r="Y307" s="13">
        <f>DATE(YEAR(Table1_1[[#This Row],[OrderDate]]),MONTH(B307),1)</f>
        <v>45778</v>
      </c>
      <c r="Z307" s="2">
        <f t="shared" si="4"/>
        <v>44927</v>
      </c>
      <c r="AA307">
        <f>(YEAR(Table1_1[[#This Row],[OrderMonth]])-YEAR(Table1_1[[#This Row],[Firstmonth]]))*12+(MONTH(Table1_1[[#This Row],[OrderMonth]])-MONTH(Table1_1[[#This Row],[Firstmonth]]))</f>
        <v>28</v>
      </c>
    </row>
    <row r="308" spans="1:27" x14ac:dyDescent="0.25">
      <c r="A308" s="11" t="s">
        <v>14</v>
      </c>
      <c r="B308" s="2">
        <v>45745</v>
      </c>
      <c r="C308" s="2">
        <v>45749</v>
      </c>
      <c r="D308" s="11" t="s">
        <v>1413</v>
      </c>
      <c r="E308">
        <v>4</v>
      </c>
      <c r="F308" s="11" t="s">
        <v>1485</v>
      </c>
      <c r="G308" s="11" t="s">
        <v>1450</v>
      </c>
      <c r="H308" s="11" t="s">
        <v>1514</v>
      </c>
      <c r="I308" s="11" t="s">
        <v>644</v>
      </c>
      <c r="J308" s="11" t="s">
        <v>650</v>
      </c>
      <c r="K308" s="11" t="s">
        <v>671</v>
      </c>
      <c r="L308" s="11" t="s">
        <v>678</v>
      </c>
      <c r="M308" s="10">
        <v>24</v>
      </c>
      <c r="N308">
        <v>259.93</v>
      </c>
      <c r="O308" s="3">
        <v>255.94</v>
      </c>
      <c r="P308" s="11" t="s">
        <v>1468</v>
      </c>
      <c r="Q308" s="4">
        <v>7.1999999999999995E-2</v>
      </c>
      <c r="R308" s="3">
        <v>5700.2956800000002</v>
      </c>
      <c r="S308" s="3">
        <v>6238.32</v>
      </c>
      <c r="T308" s="4">
        <v>-9.4385335463861297E-2</v>
      </c>
      <c r="U308" s="11" t="s">
        <v>656</v>
      </c>
      <c r="V308" s="3">
        <v>-538.02431999999953</v>
      </c>
      <c r="W308" s="11" t="s">
        <v>1434</v>
      </c>
      <c r="X308" t="str">
        <f>TEXT(Table1_1[[#This Row],[OrderDate]],"mm yyyy")</f>
        <v>03 2025</v>
      </c>
      <c r="Y308" s="13">
        <f>DATE(YEAR(Table1_1[[#This Row],[OrderDate]]),MONTH(B308),1)</f>
        <v>45717</v>
      </c>
      <c r="Z308" s="2">
        <f t="shared" si="4"/>
        <v>44927</v>
      </c>
      <c r="AA308">
        <f>(YEAR(Table1_1[[#This Row],[OrderMonth]])-YEAR(Table1_1[[#This Row],[Firstmonth]]))*12+(MONTH(Table1_1[[#This Row],[OrderMonth]])-MONTH(Table1_1[[#This Row],[Firstmonth]]))</f>
        <v>26</v>
      </c>
    </row>
    <row r="309" spans="1:27" x14ac:dyDescent="0.25">
      <c r="A309" s="11" t="s">
        <v>435</v>
      </c>
      <c r="B309" s="2">
        <v>45349</v>
      </c>
      <c r="C309" s="2">
        <v>45377</v>
      </c>
      <c r="D309" s="11" t="s">
        <v>1413</v>
      </c>
      <c r="E309">
        <v>28</v>
      </c>
      <c r="F309" s="11" t="s">
        <v>1476</v>
      </c>
      <c r="G309" s="11" t="s">
        <v>1453</v>
      </c>
      <c r="H309" s="11" t="s">
        <v>1493</v>
      </c>
      <c r="I309" s="11" t="s">
        <v>643</v>
      </c>
      <c r="J309" s="11" t="s">
        <v>650</v>
      </c>
      <c r="K309" s="11" t="s">
        <v>672</v>
      </c>
      <c r="L309" s="11" t="s">
        <v>1099</v>
      </c>
      <c r="M309" s="10">
        <v>8</v>
      </c>
      <c r="N309">
        <v>1035.19</v>
      </c>
      <c r="O309" s="3">
        <v>2322.6999999999998</v>
      </c>
      <c r="P309" s="11" t="s">
        <v>1471</v>
      </c>
      <c r="Q309" s="4">
        <v>0.17299999999999999</v>
      </c>
      <c r="R309" s="3">
        <v>15366.983199999999</v>
      </c>
      <c r="S309" s="3">
        <v>8281.52</v>
      </c>
      <c r="T309" s="4">
        <v>0.46108355217047398</v>
      </c>
      <c r="U309" s="11" t="s">
        <v>656</v>
      </c>
      <c r="V309" s="3">
        <v>7085.4631999999983</v>
      </c>
      <c r="W309" s="11" t="s">
        <v>1433</v>
      </c>
      <c r="X309" t="str">
        <f>TEXT(Table1_1[[#This Row],[OrderDate]],"mm yyyy")</f>
        <v>02 2024</v>
      </c>
      <c r="Y309" s="13">
        <f>DATE(YEAR(Table1_1[[#This Row],[OrderDate]]),MONTH(B309),1)</f>
        <v>45323</v>
      </c>
      <c r="Z309" s="2">
        <f t="shared" si="4"/>
        <v>44927</v>
      </c>
      <c r="AA309">
        <f>(YEAR(Table1_1[[#This Row],[OrderMonth]])-YEAR(Table1_1[[#This Row],[Firstmonth]]))*12+(MONTH(Table1_1[[#This Row],[OrderMonth]])-MONTH(Table1_1[[#This Row],[Firstmonth]]))</f>
        <v>13</v>
      </c>
    </row>
    <row r="310" spans="1:27" x14ac:dyDescent="0.25">
      <c r="A310" s="11" t="s">
        <v>208</v>
      </c>
      <c r="B310" s="2">
        <v>44956</v>
      </c>
      <c r="C310" s="2">
        <v>44978</v>
      </c>
      <c r="D310" s="11" t="s">
        <v>1413</v>
      </c>
      <c r="E310">
        <v>22</v>
      </c>
      <c r="F310" s="11" t="s">
        <v>1464</v>
      </c>
      <c r="G310" s="11" t="s">
        <v>1455</v>
      </c>
      <c r="H310" s="11" t="s">
        <v>1483</v>
      </c>
      <c r="I310" s="11" t="s">
        <v>646</v>
      </c>
      <c r="J310" s="11" t="s">
        <v>650</v>
      </c>
      <c r="K310" s="11" t="s">
        <v>670</v>
      </c>
      <c r="L310" s="11" t="s">
        <v>873</v>
      </c>
      <c r="M310" s="10">
        <v>28</v>
      </c>
      <c r="N310">
        <v>1142.8800000000001</v>
      </c>
      <c r="O310" s="3">
        <v>1465.29</v>
      </c>
      <c r="P310" s="11" t="s">
        <v>1466</v>
      </c>
      <c r="Q310" s="4">
        <v>0.186</v>
      </c>
      <c r="R310" s="3">
        <v>33396.88968</v>
      </c>
      <c r="S310" s="3">
        <v>32000.640000000003</v>
      </c>
      <c r="T310" s="4">
        <v>4.1807775915017401E-2</v>
      </c>
      <c r="U310" s="11" t="s">
        <v>656</v>
      </c>
      <c r="V310" s="3">
        <v>1396.2496799999972</v>
      </c>
      <c r="W310" s="11" t="s">
        <v>1432</v>
      </c>
      <c r="X310" t="str">
        <f>TEXT(Table1_1[[#This Row],[OrderDate]],"mm yyyy")</f>
        <v>01 2023</v>
      </c>
      <c r="Y310" s="13">
        <f>DATE(YEAR(Table1_1[[#This Row],[OrderDate]]),MONTH(B310),1)</f>
        <v>44927</v>
      </c>
      <c r="Z310" s="2">
        <f t="shared" si="4"/>
        <v>44927</v>
      </c>
      <c r="AA310">
        <f>(YEAR(Table1_1[[#This Row],[OrderMonth]])-YEAR(Table1_1[[#This Row],[Firstmonth]]))*12+(MONTH(Table1_1[[#This Row],[OrderMonth]])-MONTH(Table1_1[[#This Row],[Firstmonth]]))</f>
        <v>0</v>
      </c>
    </row>
    <row r="311" spans="1:27" x14ac:dyDescent="0.25">
      <c r="A311" s="11" t="s">
        <v>490</v>
      </c>
      <c r="B311" s="2">
        <v>45293</v>
      </c>
      <c r="C311" s="2">
        <v>45306</v>
      </c>
      <c r="D311" s="11" t="s">
        <v>1413</v>
      </c>
      <c r="E311">
        <v>13</v>
      </c>
      <c r="F311" s="11" t="s">
        <v>1476</v>
      </c>
      <c r="G311" s="11" t="s">
        <v>1451</v>
      </c>
      <c r="H311" s="11" t="s">
        <v>1484</v>
      </c>
      <c r="I311" s="11" t="s">
        <v>646</v>
      </c>
      <c r="J311" s="11" t="s">
        <v>650</v>
      </c>
      <c r="K311" s="11" t="s">
        <v>670</v>
      </c>
      <c r="L311" s="11" t="s">
        <v>1154</v>
      </c>
      <c r="M311" s="10">
        <v>14</v>
      </c>
      <c r="N311">
        <v>1219.06</v>
      </c>
      <c r="O311" s="3">
        <v>2738.69</v>
      </c>
      <c r="P311" s="11" t="s">
        <v>1471</v>
      </c>
      <c r="Q311" s="4">
        <v>7.5999999999999998E-2</v>
      </c>
      <c r="R311" s="3">
        <v>35427.693840000007</v>
      </c>
      <c r="S311" s="3">
        <v>17066.84</v>
      </c>
      <c r="T311" s="4">
        <v>0.51826274447673704</v>
      </c>
      <c r="U311" s="11" t="s">
        <v>656</v>
      </c>
      <c r="V311" s="3">
        <v>18360.853840000007</v>
      </c>
      <c r="W311" s="11" t="s">
        <v>1433</v>
      </c>
      <c r="X311" t="str">
        <f>TEXT(Table1_1[[#This Row],[OrderDate]],"mm yyyy")</f>
        <v>01 2024</v>
      </c>
      <c r="Y311" s="13">
        <f>DATE(YEAR(Table1_1[[#This Row],[OrderDate]]),MONTH(B311),1)</f>
        <v>45292</v>
      </c>
      <c r="Z311" s="2">
        <f t="shared" si="4"/>
        <v>44986</v>
      </c>
      <c r="AA311">
        <f>(YEAR(Table1_1[[#This Row],[OrderMonth]])-YEAR(Table1_1[[#This Row],[Firstmonth]]))*12+(MONTH(Table1_1[[#This Row],[OrderMonth]])-MONTH(Table1_1[[#This Row],[Firstmonth]]))</f>
        <v>10</v>
      </c>
    </row>
    <row r="312" spans="1:27" x14ac:dyDescent="0.25">
      <c r="A312" s="11" t="s">
        <v>624</v>
      </c>
      <c r="B312" s="2">
        <v>45137</v>
      </c>
      <c r="C312" s="2">
        <v>45157</v>
      </c>
      <c r="D312" s="11" t="s">
        <v>1413</v>
      </c>
      <c r="E312">
        <v>20</v>
      </c>
      <c r="F312" s="11" t="s">
        <v>1464</v>
      </c>
      <c r="G312" s="11" t="s">
        <v>1456</v>
      </c>
      <c r="H312" s="11" t="s">
        <v>1504</v>
      </c>
      <c r="I312" s="11" t="s">
        <v>647</v>
      </c>
      <c r="J312" s="11" t="s">
        <v>650</v>
      </c>
      <c r="K312" s="11" t="s">
        <v>670</v>
      </c>
      <c r="L312" s="11" t="s">
        <v>1287</v>
      </c>
      <c r="M312" s="10">
        <v>12</v>
      </c>
      <c r="N312">
        <v>1418.51</v>
      </c>
      <c r="O312" s="3">
        <v>2789.61</v>
      </c>
      <c r="P312" s="11" t="s">
        <v>1471</v>
      </c>
      <c r="Q312" s="4">
        <v>0.17100000000000001</v>
      </c>
      <c r="R312" s="3">
        <v>27751.040279999997</v>
      </c>
      <c r="S312" s="3">
        <v>17022.12</v>
      </c>
      <c r="T312" s="4">
        <v>0.386613264646957</v>
      </c>
      <c r="U312" s="11" t="s">
        <v>656</v>
      </c>
      <c r="V312" s="3">
        <v>10728.920279999998</v>
      </c>
      <c r="W312" s="11" t="s">
        <v>1430</v>
      </c>
      <c r="X312" t="str">
        <f>TEXT(Table1_1[[#This Row],[OrderDate]],"mm yyyy")</f>
        <v>07 2023</v>
      </c>
      <c r="Y312" s="13">
        <f>DATE(YEAR(Table1_1[[#This Row],[OrderDate]]),MONTH(B312),1)</f>
        <v>45108</v>
      </c>
      <c r="Z312" s="2">
        <f t="shared" si="4"/>
        <v>44958</v>
      </c>
      <c r="AA312">
        <f>(YEAR(Table1_1[[#This Row],[OrderMonth]])-YEAR(Table1_1[[#This Row],[Firstmonth]]))*12+(MONTH(Table1_1[[#This Row],[OrderMonth]])-MONTH(Table1_1[[#This Row],[Firstmonth]]))</f>
        <v>5</v>
      </c>
    </row>
    <row r="313" spans="1:27" x14ac:dyDescent="0.25">
      <c r="A313" s="11" t="s">
        <v>181</v>
      </c>
      <c r="B313" s="2">
        <v>45488</v>
      </c>
      <c r="C313" s="2">
        <v>45488</v>
      </c>
      <c r="D313" s="11" t="s">
        <v>1413</v>
      </c>
      <c r="E313">
        <v>0</v>
      </c>
      <c r="F313" s="11" t="s">
        <v>1476</v>
      </c>
      <c r="G313" s="11" t="s">
        <v>1451</v>
      </c>
      <c r="H313" s="11" t="s">
        <v>1510</v>
      </c>
      <c r="I313" s="11" t="s">
        <v>646</v>
      </c>
      <c r="J313" s="11" t="s">
        <v>650</v>
      </c>
      <c r="K313" s="11" t="s">
        <v>674</v>
      </c>
      <c r="L313" s="11" t="s">
        <v>845</v>
      </c>
      <c r="M313" s="10">
        <v>16</v>
      </c>
      <c r="N313">
        <v>801.77</v>
      </c>
      <c r="O313" s="3">
        <v>1218.92</v>
      </c>
      <c r="P313" s="11" t="s">
        <v>1466</v>
      </c>
      <c r="Q313" s="4">
        <v>0.254</v>
      </c>
      <c r="R313" s="3">
        <v>14549.029120000001</v>
      </c>
      <c r="S313" s="3">
        <v>12828.32</v>
      </c>
      <c r="T313" s="4">
        <v>0.118269686987883</v>
      </c>
      <c r="U313" s="11" t="s">
        <v>656</v>
      </c>
      <c r="V313" s="3">
        <v>1720.7091200000013</v>
      </c>
      <c r="W313" s="11" t="s">
        <v>1437</v>
      </c>
      <c r="X313" t="str">
        <f>TEXT(Table1_1[[#This Row],[OrderDate]],"mm yyyy")</f>
        <v>07 2024</v>
      </c>
      <c r="Y313" s="13">
        <f>DATE(YEAR(Table1_1[[#This Row],[OrderDate]]),MONTH(B313),1)</f>
        <v>45474</v>
      </c>
      <c r="Z313" s="2">
        <f t="shared" si="4"/>
        <v>44986</v>
      </c>
      <c r="AA313">
        <f>(YEAR(Table1_1[[#This Row],[OrderMonth]])-YEAR(Table1_1[[#This Row],[Firstmonth]]))*12+(MONTH(Table1_1[[#This Row],[OrderMonth]])-MONTH(Table1_1[[#This Row],[Firstmonth]]))</f>
        <v>16</v>
      </c>
    </row>
    <row r="314" spans="1:27" x14ac:dyDescent="0.25">
      <c r="A314" s="11" t="s">
        <v>395</v>
      </c>
      <c r="B314" s="2">
        <v>45066</v>
      </c>
      <c r="C314" s="2">
        <v>45096</v>
      </c>
      <c r="D314" s="11" t="s">
        <v>1413</v>
      </c>
      <c r="E314">
        <v>30</v>
      </c>
      <c r="F314" s="11" t="s">
        <v>1476</v>
      </c>
      <c r="G314" s="11" t="s">
        <v>1453</v>
      </c>
      <c r="H314" s="11" t="s">
        <v>1479</v>
      </c>
      <c r="I314" s="11" t="s">
        <v>644</v>
      </c>
      <c r="J314" s="11" t="s">
        <v>650</v>
      </c>
      <c r="K314" s="11" t="s">
        <v>672</v>
      </c>
      <c r="L314" s="11" t="s">
        <v>1059</v>
      </c>
      <c r="M314" s="10">
        <v>15</v>
      </c>
      <c r="N314">
        <v>1161.2</v>
      </c>
      <c r="O314" s="3">
        <v>878.73</v>
      </c>
      <c r="P314" s="11" t="s">
        <v>1466</v>
      </c>
      <c r="Q314" s="4">
        <v>0.19</v>
      </c>
      <c r="R314" s="3">
        <v>10676.569500000001</v>
      </c>
      <c r="S314" s="3">
        <v>17418</v>
      </c>
      <c r="T314" s="4">
        <v>-0.63142290227211995</v>
      </c>
      <c r="U314" s="11" t="s">
        <v>663</v>
      </c>
      <c r="V314" s="3">
        <v>-6741.4304999999986</v>
      </c>
      <c r="W314" s="11" t="s">
        <v>1435</v>
      </c>
      <c r="X314" t="str">
        <f>TEXT(Table1_1[[#This Row],[OrderDate]],"mm yyyy")</f>
        <v>05 2023</v>
      </c>
      <c r="Y314" s="13">
        <f>DATE(YEAR(Table1_1[[#This Row],[OrderDate]]),MONTH(B314),1)</f>
        <v>45047</v>
      </c>
      <c r="Z314" s="2">
        <f t="shared" si="4"/>
        <v>44927</v>
      </c>
      <c r="AA314">
        <f>(YEAR(Table1_1[[#This Row],[OrderMonth]])-YEAR(Table1_1[[#This Row],[Firstmonth]]))*12+(MONTH(Table1_1[[#This Row],[OrderMonth]])-MONTH(Table1_1[[#This Row],[Firstmonth]]))</f>
        <v>4</v>
      </c>
    </row>
    <row r="315" spans="1:27" x14ac:dyDescent="0.25">
      <c r="A315" s="11" t="s">
        <v>413</v>
      </c>
      <c r="B315" s="2">
        <v>45497</v>
      </c>
      <c r="C315" s="2">
        <v>45512</v>
      </c>
      <c r="D315" s="11" t="s">
        <v>1413</v>
      </c>
      <c r="E315">
        <v>15</v>
      </c>
      <c r="F315" s="11" t="s">
        <v>1464</v>
      </c>
      <c r="G315" s="11" t="s">
        <v>1456</v>
      </c>
      <c r="H315" s="11" t="s">
        <v>1472</v>
      </c>
      <c r="I315" s="11" t="s">
        <v>647</v>
      </c>
      <c r="J315" s="11" t="s">
        <v>650</v>
      </c>
      <c r="K315" s="11" t="s">
        <v>672</v>
      </c>
      <c r="L315" s="11" t="s">
        <v>1077</v>
      </c>
      <c r="M315" s="10">
        <v>27</v>
      </c>
      <c r="N315">
        <v>501.5</v>
      </c>
      <c r="O315" s="3">
        <v>1201.47</v>
      </c>
      <c r="P315" s="11" t="s">
        <v>1466</v>
      </c>
      <c r="Q315" s="4">
        <v>0.126</v>
      </c>
      <c r="R315" s="3">
        <v>28352.289060000003</v>
      </c>
      <c r="S315" s="3">
        <v>13540.5</v>
      </c>
      <c r="T315" s="4">
        <v>0.52241951359394101</v>
      </c>
      <c r="U315" s="11" t="s">
        <v>663</v>
      </c>
      <c r="V315" s="3">
        <v>14811.789060000003</v>
      </c>
      <c r="W315" s="11" t="s">
        <v>1437</v>
      </c>
      <c r="X315" t="str">
        <f>TEXT(Table1_1[[#This Row],[OrderDate]],"mm yyyy")</f>
        <v>07 2024</v>
      </c>
      <c r="Y315" s="13">
        <f>DATE(YEAR(Table1_1[[#This Row],[OrderDate]]),MONTH(B315),1)</f>
        <v>45474</v>
      </c>
      <c r="Z315" s="2">
        <f t="shared" si="4"/>
        <v>44958</v>
      </c>
      <c r="AA315">
        <f>(YEAR(Table1_1[[#This Row],[OrderMonth]])-YEAR(Table1_1[[#This Row],[Firstmonth]]))*12+(MONTH(Table1_1[[#This Row],[OrderMonth]])-MONTH(Table1_1[[#This Row],[Firstmonth]]))</f>
        <v>17</v>
      </c>
    </row>
    <row r="316" spans="1:27" x14ac:dyDescent="0.25">
      <c r="A316" s="11" t="s">
        <v>69</v>
      </c>
      <c r="B316" s="2">
        <v>45817</v>
      </c>
      <c r="C316" s="2">
        <v>45826</v>
      </c>
      <c r="D316" s="11" t="s">
        <v>1413</v>
      </c>
      <c r="E316">
        <v>9</v>
      </c>
      <c r="F316" s="11" t="s">
        <v>1464</v>
      </c>
      <c r="G316" s="11" t="s">
        <v>1456</v>
      </c>
      <c r="H316" s="11" t="s">
        <v>1472</v>
      </c>
      <c r="I316" s="11" t="s">
        <v>646</v>
      </c>
      <c r="J316" s="11" t="s">
        <v>650</v>
      </c>
      <c r="K316" s="11" t="s">
        <v>674</v>
      </c>
      <c r="L316" s="11" t="s">
        <v>733</v>
      </c>
      <c r="M316" s="10">
        <v>7</v>
      </c>
      <c r="N316">
        <v>1225.5</v>
      </c>
      <c r="O316" s="3">
        <v>5.27</v>
      </c>
      <c r="P316" s="11" t="s">
        <v>1468</v>
      </c>
      <c r="Q316" s="4">
        <v>7.4999999999999997E-2</v>
      </c>
      <c r="R316" s="3">
        <v>34.123249999999999</v>
      </c>
      <c r="S316" s="3">
        <v>8578.5</v>
      </c>
      <c r="T316" s="4">
        <v>-250.39750756449001</v>
      </c>
      <c r="U316" s="11" t="s">
        <v>663</v>
      </c>
      <c r="V316" s="3">
        <v>-8544.3767499999994</v>
      </c>
      <c r="W316" s="11" t="s">
        <v>1431</v>
      </c>
      <c r="X316" t="str">
        <f>TEXT(Table1_1[[#This Row],[OrderDate]],"mm yyyy")</f>
        <v>06 2025</v>
      </c>
      <c r="Y316" s="13">
        <f>DATE(YEAR(Table1_1[[#This Row],[OrderDate]]),MONTH(B316),1)</f>
        <v>45809</v>
      </c>
      <c r="Z316" s="2">
        <f t="shared" si="4"/>
        <v>44958</v>
      </c>
      <c r="AA316">
        <f>(YEAR(Table1_1[[#This Row],[OrderMonth]])-YEAR(Table1_1[[#This Row],[Firstmonth]]))*12+(MONTH(Table1_1[[#This Row],[OrderMonth]])-MONTH(Table1_1[[#This Row],[Firstmonth]]))</f>
        <v>28</v>
      </c>
    </row>
    <row r="317" spans="1:27" x14ac:dyDescent="0.25">
      <c r="A317" s="11" t="s">
        <v>594</v>
      </c>
      <c r="B317" s="2">
        <v>45507</v>
      </c>
      <c r="C317" s="2">
        <v>45513</v>
      </c>
      <c r="D317" s="11" t="s">
        <v>1413</v>
      </c>
      <c r="E317">
        <v>6</v>
      </c>
      <c r="F317" s="11" t="s">
        <v>1485</v>
      </c>
      <c r="G317" s="11" t="s">
        <v>1449</v>
      </c>
      <c r="H317" s="11" t="s">
        <v>1503</v>
      </c>
      <c r="I317" s="11" t="s">
        <v>645</v>
      </c>
      <c r="J317" s="11" t="s">
        <v>650</v>
      </c>
      <c r="K317" s="11" t="s">
        <v>672</v>
      </c>
      <c r="L317" s="11" t="s">
        <v>1257</v>
      </c>
      <c r="M317" s="10">
        <v>13</v>
      </c>
      <c r="N317">
        <v>643.21</v>
      </c>
      <c r="O317" s="3">
        <v>1112.81</v>
      </c>
      <c r="P317" s="11" t="s">
        <v>1466</v>
      </c>
      <c r="Q317" s="4">
        <v>0.14099999999999999</v>
      </c>
      <c r="R317" s="3">
        <v>12426.749269999998</v>
      </c>
      <c r="S317" s="3">
        <v>8361.73</v>
      </c>
      <c r="T317" s="4">
        <v>0.32711847496702601</v>
      </c>
      <c r="U317" s="11" t="s">
        <v>663</v>
      </c>
      <c r="V317" s="3">
        <v>4065.0192699999989</v>
      </c>
      <c r="W317" s="11" t="s">
        <v>1437</v>
      </c>
      <c r="X317" t="str">
        <f>TEXT(Table1_1[[#This Row],[OrderDate]],"mm yyyy")</f>
        <v>08 2024</v>
      </c>
      <c r="Y317" s="13">
        <f>DATE(YEAR(Table1_1[[#This Row],[OrderDate]]),MONTH(B317),1)</f>
        <v>45505</v>
      </c>
      <c r="Z317" s="2">
        <f t="shared" si="4"/>
        <v>44927</v>
      </c>
      <c r="AA317">
        <f>(YEAR(Table1_1[[#This Row],[OrderMonth]])-YEAR(Table1_1[[#This Row],[Firstmonth]]))*12+(MONTH(Table1_1[[#This Row],[OrderMonth]])-MONTH(Table1_1[[#This Row],[Firstmonth]]))</f>
        <v>19</v>
      </c>
    </row>
    <row r="318" spans="1:27" x14ac:dyDescent="0.25">
      <c r="A318" s="11" t="s">
        <v>431</v>
      </c>
      <c r="B318" s="2">
        <v>45713</v>
      </c>
      <c r="C318" s="2">
        <v>45733</v>
      </c>
      <c r="D318" s="11" t="s">
        <v>1413</v>
      </c>
      <c r="E318">
        <v>20</v>
      </c>
      <c r="F318" s="11" t="s">
        <v>1473</v>
      </c>
      <c r="G318" s="11" t="s">
        <v>1498</v>
      </c>
      <c r="H318" s="11" t="s">
        <v>1499</v>
      </c>
      <c r="I318" s="11" t="s">
        <v>644</v>
      </c>
      <c r="J318" s="11" t="s">
        <v>650</v>
      </c>
      <c r="K318" s="11" t="s">
        <v>671</v>
      </c>
      <c r="L318" s="11" t="s">
        <v>1095</v>
      </c>
      <c r="M318" s="10">
        <v>22</v>
      </c>
      <c r="N318">
        <v>1205.26</v>
      </c>
      <c r="O318" s="3">
        <v>1696.35</v>
      </c>
      <c r="P318" s="11" t="s">
        <v>1471</v>
      </c>
      <c r="Q318" s="4">
        <v>1.9E-2</v>
      </c>
      <c r="R318" s="3">
        <v>36610.625699999997</v>
      </c>
      <c r="S318" s="3">
        <v>26515.72</v>
      </c>
      <c r="T318" s="4">
        <v>0.27573704374028202</v>
      </c>
      <c r="U318" s="11" t="s">
        <v>663</v>
      </c>
      <c r="V318" s="3">
        <v>10094.905699999996</v>
      </c>
      <c r="W318" s="11" t="s">
        <v>1434</v>
      </c>
      <c r="X318" t="str">
        <f>TEXT(Table1_1[[#This Row],[OrderDate]],"mm yyyy")</f>
        <v>02 2025</v>
      </c>
      <c r="Y318" s="13">
        <f>DATE(YEAR(Table1_1[[#This Row],[OrderDate]]),MONTH(B318),1)</f>
        <v>45689</v>
      </c>
      <c r="Z318" s="2">
        <f t="shared" si="4"/>
        <v>44927</v>
      </c>
      <c r="AA318">
        <f>(YEAR(Table1_1[[#This Row],[OrderMonth]])-YEAR(Table1_1[[#This Row],[Firstmonth]]))*12+(MONTH(Table1_1[[#This Row],[OrderMonth]])-MONTH(Table1_1[[#This Row],[Firstmonth]]))</f>
        <v>25</v>
      </c>
    </row>
    <row r="319" spans="1:27" x14ac:dyDescent="0.25">
      <c r="A319" s="11" t="s">
        <v>344</v>
      </c>
      <c r="B319" s="2">
        <v>45774</v>
      </c>
      <c r="C319" s="2">
        <v>45804</v>
      </c>
      <c r="D319" s="11" t="s">
        <v>1413</v>
      </c>
      <c r="E319">
        <v>30</v>
      </c>
      <c r="F319" s="11" t="s">
        <v>1476</v>
      </c>
      <c r="G319" s="11" t="s">
        <v>1453</v>
      </c>
      <c r="H319" s="11" t="s">
        <v>1366</v>
      </c>
      <c r="I319" s="11" t="s">
        <v>647</v>
      </c>
      <c r="J319" s="11" t="s">
        <v>650</v>
      </c>
      <c r="K319" s="11" t="s">
        <v>671</v>
      </c>
      <c r="L319" s="11" t="s">
        <v>1009</v>
      </c>
      <c r="M319" s="10">
        <v>15</v>
      </c>
      <c r="N319">
        <v>481.32</v>
      </c>
      <c r="O319" s="3">
        <v>1135.99</v>
      </c>
      <c r="P319" s="11" t="s">
        <v>1466</v>
      </c>
      <c r="Q319" s="4">
        <v>0.14499999999999999</v>
      </c>
      <c r="R319" s="3">
        <v>14569.071749999999</v>
      </c>
      <c r="S319" s="3">
        <v>7219.8</v>
      </c>
      <c r="T319" s="4">
        <v>0.50444337677175599</v>
      </c>
      <c r="U319" s="11" t="s">
        <v>663</v>
      </c>
      <c r="V319" s="3">
        <v>7349.271749999999</v>
      </c>
      <c r="W319" s="11" t="s">
        <v>1431</v>
      </c>
      <c r="X319" t="str">
        <f>TEXT(Table1_1[[#This Row],[OrderDate]],"mm yyyy")</f>
        <v>04 2025</v>
      </c>
      <c r="Y319" s="13">
        <f>DATE(YEAR(Table1_1[[#This Row],[OrderDate]]),MONTH(B319),1)</f>
        <v>45748</v>
      </c>
      <c r="Z319" s="2">
        <f t="shared" si="4"/>
        <v>44927</v>
      </c>
      <c r="AA319">
        <f>(YEAR(Table1_1[[#This Row],[OrderMonth]])-YEAR(Table1_1[[#This Row],[Firstmonth]]))*12+(MONTH(Table1_1[[#This Row],[OrderMonth]])-MONTH(Table1_1[[#This Row],[Firstmonth]]))</f>
        <v>27</v>
      </c>
    </row>
    <row r="320" spans="1:27" x14ac:dyDescent="0.25">
      <c r="A320" s="11" t="s">
        <v>417</v>
      </c>
      <c r="B320" s="2">
        <v>45709</v>
      </c>
      <c r="C320" s="2">
        <v>45737</v>
      </c>
      <c r="D320" s="11" t="s">
        <v>1413</v>
      </c>
      <c r="E320">
        <v>28</v>
      </c>
      <c r="F320" s="11" t="s">
        <v>1485</v>
      </c>
      <c r="G320" s="11" t="s">
        <v>1450</v>
      </c>
      <c r="H320" s="11" t="s">
        <v>1508</v>
      </c>
      <c r="I320" s="11" t="s">
        <v>647</v>
      </c>
      <c r="J320" s="11" t="s">
        <v>650</v>
      </c>
      <c r="K320" s="11" t="s">
        <v>671</v>
      </c>
      <c r="L320" s="11" t="s">
        <v>1081</v>
      </c>
      <c r="M320" s="10">
        <v>13</v>
      </c>
      <c r="N320">
        <v>1437.39</v>
      </c>
      <c r="O320" s="3">
        <v>1388.31</v>
      </c>
      <c r="P320" s="11" t="s">
        <v>1466</v>
      </c>
      <c r="Q320" s="4">
        <v>0.13800000000000001</v>
      </c>
      <c r="R320" s="3">
        <v>15557.401859999998</v>
      </c>
      <c r="S320" s="3">
        <v>18686.07</v>
      </c>
      <c r="T320" s="4">
        <v>-0.201104796813419</v>
      </c>
      <c r="U320" s="11" t="s">
        <v>655</v>
      </c>
      <c r="V320" s="3">
        <v>-3128.6681400000016</v>
      </c>
      <c r="W320" s="11" t="s">
        <v>1434</v>
      </c>
      <c r="X320" t="str">
        <f>TEXT(Table1_1[[#This Row],[OrderDate]],"mm yyyy")</f>
        <v>02 2025</v>
      </c>
      <c r="Y320" s="13">
        <f>DATE(YEAR(Table1_1[[#This Row],[OrderDate]]),MONTH(B320),1)</f>
        <v>45689</v>
      </c>
      <c r="Z320" s="2">
        <f t="shared" si="4"/>
        <v>44927</v>
      </c>
      <c r="AA320">
        <f>(YEAR(Table1_1[[#This Row],[OrderMonth]])-YEAR(Table1_1[[#This Row],[Firstmonth]]))*12+(MONTH(Table1_1[[#This Row],[OrderMonth]])-MONTH(Table1_1[[#This Row],[Firstmonth]]))</f>
        <v>25</v>
      </c>
    </row>
    <row r="321" spans="1:27" x14ac:dyDescent="0.25">
      <c r="A321" s="11" t="s">
        <v>231</v>
      </c>
      <c r="B321" s="2">
        <v>45194</v>
      </c>
      <c r="C321" s="2">
        <v>45201</v>
      </c>
      <c r="D321" s="11" t="s">
        <v>1413</v>
      </c>
      <c r="E321">
        <v>7</v>
      </c>
      <c r="F321" s="11" t="s">
        <v>1473</v>
      </c>
      <c r="G321" s="11" t="s">
        <v>1516</v>
      </c>
      <c r="H321" s="11" t="s">
        <v>1517</v>
      </c>
      <c r="I321" s="11" t="s">
        <v>643</v>
      </c>
      <c r="J321" s="11" t="s">
        <v>650</v>
      </c>
      <c r="K321" s="11" t="s">
        <v>674</v>
      </c>
      <c r="L321" s="11" t="s">
        <v>896</v>
      </c>
      <c r="M321" s="10">
        <v>53</v>
      </c>
      <c r="N321">
        <v>145.58000000000001</v>
      </c>
      <c r="O321" s="3">
        <v>228.15</v>
      </c>
      <c r="P321" s="11" t="s">
        <v>1468</v>
      </c>
      <c r="Q321" s="4">
        <v>0.20399999999999999</v>
      </c>
      <c r="R321" s="3">
        <v>9625.1922000000013</v>
      </c>
      <c r="S321" s="3">
        <v>7715.7400000000007</v>
      </c>
      <c r="T321" s="4">
        <v>0.19838068272548401</v>
      </c>
      <c r="U321" s="11" t="s">
        <v>655</v>
      </c>
      <c r="V321" s="3">
        <v>1909.4522000000006</v>
      </c>
      <c r="W321" s="11" t="s">
        <v>1430</v>
      </c>
      <c r="X321" t="str">
        <f>TEXT(Table1_1[[#This Row],[OrderDate]],"mm yyyy")</f>
        <v>09 2023</v>
      </c>
      <c r="Y321" s="13">
        <f>DATE(YEAR(Table1_1[[#This Row],[OrderDate]]),MONTH(B321),1)</f>
        <v>45170</v>
      </c>
      <c r="Z321" s="2">
        <f t="shared" si="4"/>
        <v>44958</v>
      </c>
      <c r="AA321">
        <f>(YEAR(Table1_1[[#This Row],[OrderMonth]])-YEAR(Table1_1[[#This Row],[Firstmonth]]))*12+(MONTH(Table1_1[[#This Row],[OrderMonth]])-MONTH(Table1_1[[#This Row],[Firstmonth]]))</f>
        <v>7</v>
      </c>
    </row>
    <row r="322" spans="1:27" x14ac:dyDescent="0.25">
      <c r="A322" s="11" t="s">
        <v>263</v>
      </c>
      <c r="B322" s="2">
        <v>45502</v>
      </c>
      <c r="C322" s="2">
        <v>45504</v>
      </c>
      <c r="D322" s="11" t="s">
        <v>1413</v>
      </c>
      <c r="E322">
        <v>2</v>
      </c>
      <c r="F322" s="11" t="s">
        <v>1473</v>
      </c>
      <c r="G322" s="11" t="s">
        <v>1516</v>
      </c>
      <c r="H322" s="11" t="s">
        <v>1517</v>
      </c>
      <c r="I322" s="11" t="s">
        <v>643</v>
      </c>
      <c r="J322" s="11" t="s">
        <v>650</v>
      </c>
      <c r="K322" s="11" t="s">
        <v>669</v>
      </c>
      <c r="L322" s="11" t="s">
        <v>928</v>
      </c>
      <c r="M322" s="10">
        <v>10</v>
      </c>
      <c r="N322">
        <v>798.97</v>
      </c>
      <c r="O322" s="3">
        <v>1814.06</v>
      </c>
      <c r="P322" s="11" t="s">
        <v>1471</v>
      </c>
      <c r="Q322" s="4">
        <v>0.122</v>
      </c>
      <c r="R322" s="3">
        <v>15927.446799999998</v>
      </c>
      <c r="S322" s="3">
        <v>7989.7000000000007</v>
      </c>
      <c r="T322" s="4">
        <v>0.49836906691159</v>
      </c>
      <c r="U322" s="11" t="s">
        <v>655</v>
      </c>
      <c r="V322" s="3">
        <v>7937.7467999999972</v>
      </c>
      <c r="W322" s="11" t="s">
        <v>1437</v>
      </c>
      <c r="X322" t="str">
        <f>TEXT(Table1_1[[#This Row],[OrderDate]],"mm yyyy")</f>
        <v>07 2024</v>
      </c>
      <c r="Y322" s="13">
        <f>DATE(YEAR(Table1_1[[#This Row],[OrderDate]]),MONTH(B322),1)</f>
        <v>45474</v>
      </c>
      <c r="Z322" s="2">
        <f t="shared" ref="Z322:Z385" si="5">_xlfn.MINIFS(Y322:Y953,G322:G953,G322)</f>
        <v>44958</v>
      </c>
      <c r="AA322">
        <f>(YEAR(Table1_1[[#This Row],[OrderMonth]])-YEAR(Table1_1[[#This Row],[Firstmonth]]))*12+(MONTH(Table1_1[[#This Row],[OrderMonth]])-MONTH(Table1_1[[#This Row],[Firstmonth]]))</f>
        <v>17</v>
      </c>
    </row>
    <row r="323" spans="1:27" x14ac:dyDescent="0.25">
      <c r="A323" s="11" t="s">
        <v>540</v>
      </c>
      <c r="B323" s="2">
        <v>45316</v>
      </c>
      <c r="C323" s="2">
        <v>45330</v>
      </c>
      <c r="D323" s="11" t="s">
        <v>1413</v>
      </c>
      <c r="E323">
        <v>14</v>
      </c>
      <c r="F323" s="11" t="s">
        <v>1476</v>
      </c>
      <c r="G323" s="11" t="s">
        <v>1451</v>
      </c>
      <c r="H323" s="11" t="s">
        <v>1487</v>
      </c>
      <c r="I323" s="11" t="s">
        <v>645</v>
      </c>
      <c r="J323" s="11" t="s">
        <v>650</v>
      </c>
      <c r="K323" s="11" t="s">
        <v>670</v>
      </c>
      <c r="L323" s="11" t="s">
        <v>1204</v>
      </c>
      <c r="M323" s="10">
        <v>22</v>
      </c>
      <c r="N323">
        <v>937.16</v>
      </c>
      <c r="O323" s="3">
        <v>1069.77</v>
      </c>
      <c r="P323" s="11" t="s">
        <v>1466</v>
      </c>
      <c r="Q323" s="4">
        <v>3.7999999999999999E-2</v>
      </c>
      <c r="R323" s="3">
        <v>22640.612279999998</v>
      </c>
      <c r="S323" s="3">
        <v>20617.52</v>
      </c>
      <c r="T323" s="4">
        <v>8.9356783066645795E-2</v>
      </c>
      <c r="U323" s="11" t="s">
        <v>655</v>
      </c>
      <c r="V323" s="3">
        <v>2023.0922799999971</v>
      </c>
      <c r="W323" s="11" t="s">
        <v>1433</v>
      </c>
      <c r="X323" t="str">
        <f>TEXT(Table1_1[[#This Row],[OrderDate]],"mm yyyy")</f>
        <v>01 2024</v>
      </c>
      <c r="Y323" s="13">
        <f>DATE(YEAR(Table1_1[[#This Row],[OrderDate]]),MONTH(B323),1)</f>
        <v>45292</v>
      </c>
      <c r="Z323" s="2">
        <f t="shared" si="5"/>
        <v>44986</v>
      </c>
      <c r="AA323">
        <f>(YEAR(Table1_1[[#This Row],[OrderMonth]])-YEAR(Table1_1[[#This Row],[Firstmonth]]))*12+(MONTH(Table1_1[[#This Row],[OrderMonth]])-MONTH(Table1_1[[#This Row],[Firstmonth]]))</f>
        <v>10</v>
      </c>
    </row>
    <row r="324" spans="1:27" x14ac:dyDescent="0.25">
      <c r="A324" s="11" t="s">
        <v>73</v>
      </c>
      <c r="B324" s="2">
        <v>45774</v>
      </c>
      <c r="C324" s="2">
        <v>45802</v>
      </c>
      <c r="D324" s="11" t="s">
        <v>1413</v>
      </c>
      <c r="E324">
        <v>28</v>
      </c>
      <c r="F324" s="11" t="s">
        <v>1464</v>
      </c>
      <c r="G324" s="11" t="s">
        <v>1456</v>
      </c>
      <c r="H324" s="11" t="s">
        <v>1504</v>
      </c>
      <c r="I324" s="11" t="s">
        <v>646</v>
      </c>
      <c r="J324" s="11" t="s">
        <v>650</v>
      </c>
      <c r="K324" s="11" t="s">
        <v>671</v>
      </c>
      <c r="L324" s="11" t="s">
        <v>737</v>
      </c>
      <c r="M324" s="10">
        <v>14</v>
      </c>
      <c r="N324">
        <v>603.45000000000005</v>
      </c>
      <c r="O324" s="3">
        <v>1244.08</v>
      </c>
      <c r="P324" s="11" t="s">
        <v>1466</v>
      </c>
      <c r="Q324" s="4">
        <v>0.2</v>
      </c>
      <c r="R324" s="3">
        <v>13933.696</v>
      </c>
      <c r="S324" s="3">
        <v>8448.3000000000011</v>
      </c>
      <c r="T324" s="4">
        <v>0.39367846119220601</v>
      </c>
      <c r="U324" s="11" t="s">
        <v>655</v>
      </c>
      <c r="V324" s="3">
        <v>5485.3959999999988</v>
      </c>
      <c r="W324" s="11" t="s">
        <v>1431</v>
      </c>
      <c r="X324" t="str">
        <f>TEXT(Table1_1[[#This Row],[OrderDate]],"mm yyyy")</f>
        <v>04 2025</v>
      </c>
      <c r="Y324" s="13">
        <f>DATE(YEAR(Table1_1[[#This Row],[OrderDate]]),MONTH(B324),1)</f>
        <v>45748</v>
      </c>
      <c r="Z324" s="2">
        <f t="shared" si="5"/>
        <v>44958</v>
      </c>
      <c r="AA324">
        <f>(YEAR(Table1_1[[#This Row],[OrderMonth]])-YEAR(Table1_1[[#This Row],[Firstmonth]]))*12+(MONTH(Table1_1[[#This Row],[OrderMonth]])-MONTH(Table1_1[[#This Row],[Firstmonth]]))</f>
        <v>26</v>
      </c>
    </row>
    <row r="325" spans="1:27" x14ac:dyDescent="0.25">
      <c r="A325" s="11" t="s">
        <v>459</v>
      </c>
      <c r="B325" s="2">
        <v>45454</v>
      </c>
      <c r="C325" s="2">
        <v>45482</v>
      </c>
      <c r="D325" s="11" t="s">
        <v>1413</v>
      </c>
      <c r="E325">
        <v>28</v>
      </c>
      <c r="F325" s="11" t="s">
        <v>1485</v>
      </c>
      <c r="G325" s="11" t="s">
        <v>1495</v>
      </c>
      <c r="H325" s="11" t="s">
        <v>1496</v>
      </c>
      <c r="I325" s="11" t="s">
        <v>642</v>
      </c>
      <c r="J325" s="11" t="s">
        <v>650</v>
      </c>
      <c r="K325" s="11" t="s">
        <v>671</v>
      </c>
      <c r="L325" s="11" t="s">
        <v>1123</v>
      </c>
      <c r="M325" s="10">
        <v>13</v>
      </c>
      <c r="N325">
        <v>895.54</v>
      </c>
      <c r="O325" s="3">
        <v>1045</v>
      </c>
      <c r="P325" s="11" t="s">
        <v>1466</v>
      </c>
      <c r="Q325" s="4">
        <v>0.216</v>
      </c>
      <c r="R325" s="3">
        <v>10650.640000000001</v>
      </c>
      <c r="S325" s="3">
        <v>11642.02</v>
      </c>
      <c r="T325" s="4">
        <v>-9.3081730299775303E-2</v>
      </c>
      <c r="U325" s="11" t="s">
        <v>655</v>
      </c>
      <c r="V325" s="3">
        <v>-991.3799999999992</v>
      </c>
      <c r="W325" s="11" t="s">
        <v>1436</v>
      </c>
      <c r="X325" t="str">
        <f>TEXT(Table1_1[[#This Row],[OrderDate]],"mm yyyy")</f>
        <v>06 2024</v>
      </c>
      <c r="Y325" s="13">
        <f>DATE(YEAR(Table1_1[[#This Row],[OrderDate]]),MONTH(B325),1)</f>
        <v>45444</v>
      </c>
      <c r="Z325" s="2">
        <f t="shared" si="5"/>
        <v>45047</v>
      </c>
      <c r="AA325">
        <f>(YEAR(Table1_1[[#This Row],[OrderMonth]])-YEAR(Table1_1[[#This Row],[Firstmonth]]))*12+(MONTH(Table1_1[[#This Row],[OrderMonth]])-MONTH(Table1_1[[#This Row],[Firstmonth]]))</f>
        <v>13</v>
      </c>
    </row>
    <row r="326" spans="1:27" x14ac:dyDescent="0.25">
      <c r="A326" s="11" t="s">
        <v>255</v>
      </c>
      <c r="B326" s="2">
        <v>45357</v>
      </c>
      <c r="C326" s="2">
        <v>45377</v>
      </c>
      <c r="D326" s="11" t="s">
        <v>1413</v>
      </c>
      <c r="E326">
        <v>20</v>
      </c>
      <c r="F326" s="11" t="s">
        <v>1485</v>
      </c>
      <c r="G326" s="11" t="s">
        <v>1495</v>
      </c>
      <c r="H326" s="11" t="s">
        <v>1496</v>
      </c>
      <c r="I326" s="11" t="s">
        <v>645</v>
      </c>
      <c r="J326" s="11" t="s">
        <v>650</v>
      </c>
      <c r="K326" s="11" t="s">
        <v>671</v>
      </c>
      <c r="L326" s="11" t="s">
        <v>920</v>
      </c>
      <c r="M326" s="10">
        <v>11</v>
      </c>
      <c r="N326">
        <v>65.64</v>
      </c>
      <c r="O326" s="3">
        <v>151.88</v>
      </c>
      <c r="P326" s="11" t="s">
        <v>1468</v>
      </c>
      <c r="Q326" s="4">
        <v>0.16700000000000001</v>
      </c>
      <c r="R326" s="3">
        <v>1391.6764399999997</v>
      </c>
      <c r="S326" s="3">
        <v>722.04</v>
      </c>
      <c r="T326" s="4">
        <v>0.48117250587356403</v>
      </c>
      <c r="U326" s="11" t="s">
        <v>655</v>
      </c>
      <c r="V326" s="3">
        <v>669.63643999999977</v>
      </c>
      <c r="W326" s="11" t="s">
        <v>1433</v>
      </c>
      <c r="X326" t="str">
        <f>TEXT(Table1_1[[#This Row],[OrderDate]],"mm yyyy")</f>
        <v>03 2024</v>
      </c>
      <c r="Y326" s="13">
        <f>DATE(YEAR(Table1_1[[#This Row],[OrderDate]]),MONTH(B326),1)</f>
        <v>45352</v>
      </c>
      <c r="Z326" s="2">
        <f t="shared" si="5"/>
        <v>45047</v>
      </c>
      <c r="AA326">
        <f>(YEAR(Table1_1[[#This Row],[OrderMonth]])-YEAR(Table1_1[[#This Row],[Firstmonth]]))*12+(MONTH(Table1_1[[#This Row],[OrderMonth]])-MONTH(Table1_1[[#This Row],[Firstmonth]]))</f>
        <v>10</v>
      </c>
    </row>
    <row r="327" spans="1:27" x14ac:dyDescent="0.25">
      <c r="A327" s="11" t="s">
        <v>339</v>
      </c>
      <c r="B327" s="2">
        <v>45221</v>
      </c>
      <c r="C327" s="2">
        <v>45246</v>
      </c>
      <c r="D327" s="11" t="s">
        <v>1413</v>
      </c>
      <c r="E327">
        <v>25</v>
      </c>
      <c r="F327" s="11" t="s">
        <v>1473</v>
      </c>
      <c r="G327" s="11" t="s">
        <v>1452</v>
      </c>
      <c r="H327" s="11" t="s">
        <v>1474</v>
      </c>
      <c r="I327" s="11" t="s">
        <v>646</v>
      </c>
      <c r="J327" s="11" t="s">
        <v>650</v>
      </c>
      <c r="K327" s="11" t="s">
        <v>672</v>
      </c>
      <c r="L327" s="11" t="s">
        <v>1004</v>
      </c>
      <c r="M327" s="10">
        <v>12</v>
      </c>
      <c r="N327">
        <v>1373.31</v>
      </c>
      <c r="O327" s="3">
        <v>3154.14</v>
      </c>
      <c r="P327" s="11" t="s">
        <v>1471</v>
      </c>
      <c r="Q327" s="4">
        <v>0.2</v>
      </c>
      <c r="R327" s="3">
        <v>30279.744000000002</v>
      </c>
      <c r="S327" s="3">
        <v>16479.72</v>
      </c>
      <c r="T327" s="4">
        <v>0.45575101295440301</v>
      </c>
      <c r="U327" s="11" t="s">
        <v>655</v>
      </c>
      <c r="V327" s="3">
        <v>13800.024000000001</v>
      </c>
      <c r="W327" s="11" t="s">
        <v>1439</v>
      </c>
      <c r="X327" t="str">
        <f>TEXT(Table1_1[[#This Row],[OrderDate]],"mm yyyy")</f>
        <v>10 2023</v>
      </c>
      <c r="Y327" s="13">
        <f>DATE(YEAR(Table1_1[[#This Row],[OrderDate]]),MONTH(B327),1)</f>
        <v>45200</v>
      </c>
      <c r="Z327" s="2">
        <f t="shared" si="5"/>
        <v>44958</v>
      </c>
      <c r="AA327">
        <f>(YEAR(Table1_1[[#This Row],[OrderMonth]])-YEAR(Table1_1[[#This Row],[Firstmonth]]))*12+(MONTH(Table1_1[[#This Row],[OrderMonth]])-MONTH(Table1_1[[#This Row],[Firstmonth]]))</f>
        <v>8</v>
      </c>
    </row>
    <row r="328" spans="1:27" x14ac:dyDescent="0.25">
      <c r="A328" s="11" t="s">
        <v>379</v>
      </c>
      <c r="B328" s="2">
        <v>45832</v>
      </c>
      <c r="C328" s="2">
        <v>45861</v>
      </c>
      <c r="D328" s="11" t="s">
        <v>1413</v>
      </c>
      <c r="E328">
        <v>29</v>
      </c>
      <c r="F328" s="11" t="s">
        <v>1473</v>
      </c>
      <c r="G328" s="11" t="s">
        <v>1452</v>
      </c>
      <c r="H328" s="11" t="s">
        <v>1475</v>
      </c>
      <c r="I328" s="11" t="s">
        <v>644</v>
      </c>
      <c r="J328" s="11" t="s">
        <v>650</v>
      </c>
      <c r="K328" s="11" t="s">
        <v>669</v>
      </c>
      <c r="L328" s="11" t="s">
        <v>1044</v>
      </c>
      <c r="M328" s="10">
        <v>4</v>
      </c>
      <c r="N328">
        <v>255.4</v>
      </c>
      <c r="O328" s="3">
        <v>322.70999999999998</v>
      </c>
      <c r="P328" s="11" t="s">
        <v>1468</v>
      </c>
      <c r="Q328" s="4">
        <v>0.115</v>
      </c>
      <c r="R328" s="3">
        <v>1142.3933999999999</v>
      </c>
      <c r="S328" s="3">
        <v>1021.6</v>
      </c>
      <c r="T328" s="4">
        <v>0.105737130484122</v>
      </c>
      <c r="U328" s="11" t="s">
        <v>655</v>
      </c>
      <c r="V328" s="3">
        <v>120.79339999999991</v>
      </c>
      <c r="W328" s="11" t="s">
        <v>1431</v>
      </c>
      <c r="X328" t="str">
        <f>TEXT(Table1_1[[#This Row],[OrderDate]],"mm yyyy")</f>
        <v>06 2025</v>
      </c>
      <c r="Y328" s="13">
        <f>DATE(YEAR(Table1_1[[#This Row],[OrderDate]]),MONTH(B328),1)</f>
        <v>45809</v>
      </c>
      <c r="Z328" s="2">
        <f t="shared" si="5"/>
        <v>44958</v>
      </c>
      <c r="AA328">
        <f>(YEAR(Table1_1[[#This Row],[OrderMonth]])-YEAR(Table1_1[[#This Row],[Firstmonth]]))*12+(MONTH(Table1_1[[#This Row],[OrderMonth]])-MONTH(Table1_1[[#This Row],[Firstmonth]]))</f>
        <v>28</v>
      </c>
    </row>
    <row r="329" spans="1:27" x14ac:dyDescent="0.25">
      <c r="A329" s="11" t="s">
        <v>357</v>
      </c>
      <c r="B329" s="2">
        <v>45050</v>
      </c>
      <c r="C329" s="2">
        <v>45062</v>
      </c>
      <c r="D329" s="11" t="s">
        <v>1413</v>
      </c>
      <c r="E329">
        <v>12</v>
      </c>
      <c r="F329" s="11" t="s">
        <v>1485</v>
      </c>
      <c r="G329" s="11" t="s">
        <v>1450</v>
      </c>
      <c r="H329" s="11" t="s">
        <v>1508</v>
      </c>
      <c r="I329" s="11" t="s">
        <v>646</v>
      </c>
      <c r="J329" s="11" t="s">
        <v>650</v>
      </c>
      <c r="K329" s="11" t="s">
        <v>671</v>
      </c>
      <c r="L329" s="11" t="s">
        <v>1022</v>
      </c>
      <c r="M329" s="10">
        <v>3</v>
      </c>
      <c r="N329">
        <v>77.739999999999995</v>
      </c>
      <c r="O329" s="3">
        <v>147.12</v>
      </c>
      <c r="P329" s="11" t="s">
        <v>1468</v>
      </c>
      <c r="Q329" s="4">
        <v>0</v>
      </c>
      <c r="R329" s="3">
        <v>441.36</v>
      </c>
      <c r="S329" s="3">
        <v>233.21999999999997</v>
      </c>
      <c r="T329" s="4">
        <v>0.47158781946710199</v>
      </c>
      <c r="U329" s="11" t="s">
        <v>654</v>
      </c>
      <c r="V329" s="3">
        <v>208.14000000000004</v>
      </c>
      <c r="W329" s="11" t="s">
        <v>1435</v>
      </c>
      <c r="X329" t="str">
        <f>TEXT(Table1_1[[#This Row],[OrderDate]],"mm yyyy")</f>
        <v>05 2023</v>
      </c>
      <c r="Y329" s="13">
        <f>DATE(YEAR(Table1_1[[#This Row],[OrderDate]]),MONTH(B329),1)</f>
        <v>45047</v>
      </c>
      <c r="Z329" s="2">
        <f t="shared" si="5"/>
        <v>44927</v>
      </c>
      <c r="AA329">
        <f>(YEAR(Table1_1[[#This Row],[OrderMonth]])-YEAR(Table1_1[[#This Row],[Firstmonth]]))*12+(MONTH(Table1_1[[#This Row],[OrderMonth]])-MONTH(Table1_1[[#This Row],[Firstmonth]]))</f>
        <v>4</v>
      </c>
    </row>
    <row r="330" spans="1:27" x14ac:dyDescent="0.25">
      <c r="A330" s="11" t="s">
        <v>46</v>
      </c>
      <c r="B330" s="2">
        <v>45012</v>
      </c>
      <c r="C330" s="2">
        <v>45038</v>
      </c>
      <c r="D330" s="11" t="s">
        <v>1413</v>
      </c>
      <c r="E330">
        <v>26</v>
      </c>
      <c r="F330" s="11" t="s">
        <v>1476</v>
      </c>
      <c r="G330" s="11" t="s">
        <v>1453</v>
      </c>
      <c r="H330" s="11" t="s">
        <v>1479</v>
      </c>
      <c r="I330" s="11" t="s">
        <v>644</v>
      </c>
      <c r="J330" s="11" t="s">
        <v>650</v>
      </c>
      <c r="K330" s="11" t="s">
        <v>669</v>
      </c>
      <c r="L330" s="11" t="s">
        <v>710</v>
      </c>
      <c r="M330" s="10">
        <v>10</v>
      </c>
      <c r="N330">
        <v>178.53</v>
      </c>
      <c r="O330" s="3">
        <v>199.37</v>
      </c>
      <c r="P330" s="11" t="s">
        <v>1468</v>
      </c>
      <c r="Q330" s="4">
        <v>0.10100000000000001</v>
      </c>
      <c r="R330" s="3">
        <v>1792.3363000000002</v>
      </c>
      <c r="S330" s="3">
        <v>1785.3</v>
      </c>
      <c r="T330" s="4">
        <v>3.9257699573457304E-3</v>
      </c>
      <c r="U330" s="11" t="s">
        <v>654</v>
      </c>
      <c r="V330" s="3">
        <v>7.0363000000002103</v>
      </c>
      <c r="W330" s="11" t="s">
        <v>1432</v>
      </c>
      <c r="X330" t="str">
        <f>TEXT(Table1_1[[#This Row],[OrderDate]],"mm yyyy")</f>
        <v>03 2023</v>
      </c>
      <c r="Y330" s="13">
        <f>DATE(YEAR(Table1_1[[#This Row],[OrderDate]]),MONTH(B330),1)</f>
        <v>44986</v>
      </c>
      <c r="Z330" s="2">
        <f t="shared" si="5"/>
        <v>44927</v>
      </c>
      <c r="AA330">
        <f>(YEAR(Table1_1[[#This Row],[OrderMonth]])-YEAR(Table1_1[[#This Row],[Firstmonth]]))*12+(MONTH(Table1_1[[#This Row],[OrderMonth]])-MONTH(Table1_1[[#This Row],[Firstmonth]]))</f>
        <v>2</v>
      </c>
    </row>
    <row r="331" spans="1:27" x14ac:dyDescent="0.25">
      <c r="A331" s="11" t="s">
        <v>457</v>
      </c>
      <c r="B331" s="2">
        <v>45746</v>
      </c>
      <c r="C331" s="2">
        <v>45776</v>
      </c>
      <c r="D331" s="11" t="s">
        <v>1413</v>
      </c>
      <c r="E331">
        <v>30</v>
      </c>
      <c r="F331" s="11" t="s">
        <v>1485</v>
      </c>
      <c r="G331" s="11" t="s">
        <v>1490</v>
      </c>
      <c r="H331" s="11" t="s">
        <v>1515</v>
      </c>
      <c r="I331" s="11" t="s">
        <v>645</v>
      </c>
      <c r="J331" s="11" t="s">
        <v>650</v>
      </c>
      <c r="K331" s="11" t="s">
        <v>673</v>
      </c>
      <c r="L331" s="11" t="s">
        <v>1121</v>
      </c>
      <c r="M331" s="10">
        <v>11</v>
      </c>
      <c r="N331">
        <v>194.6</v>
      </c>
      <c r="O331" s="3">
        <v>314.87</v>
      </c>
      <c r="P331" s="11" t="s">
        <v>1468</v>
      </c>
      <c r="Q331" s="4">
        <v>0.29299999999999998</v>
      </c>
      <c r="R331" s="3">
        <v>2448.7439900000004</v>
      </c>
      <c r="S331" s="3">
        <v>2140.6</v>
      </c>
      <c r="T331" s="4">
        <v>0.12583756867127599</v>
      </c>
      <c r="U331" s="11" t="s">
        <v>654</v>
      </c>
      <c r="V331" s="3">
        <v>308.14399000000049</v>
      </c>
      <c r="W331" s="11" t="s">
        <v>1434</v>
      </c>
      <c r="X331" t="str">
        <f>TEXT(Table1_1[[#This Row],[OrderDate]],"mm yyyy")</f>
        <v>03 2025</v>
      </c>
      <c r="Y331" s="13">
        <f>DATE(YEAR(Table1_1[[#This Row],[OrderDate]]),MONTH(B331),1)</f>
        <v>45717</v>
      </c>
      <c r="Z331" s="2">
        <f t="shared" si="5"/>
        <v>44958</v>
      </c>
      <c r="AA331">
        <f>(YEAR(Table1_1[[#This Row],[OrderMonth]])-YEAR(Table1_1[[#This Row],[Firstmonth]]))*12+(MONTH(Table1_1[[#This Row],[OrderMonth]])-MONTH(Table1_1[[#This Row],[Firstmonth]]))</f>
        <v>25</v>
      </c>
    </row>
    <row r="332" spans="1:27" x14ac:dyDescent="0.25">
      <c r="A332" s="11" t="s">
        <v>544</v>
      </c>
      <c r="B332" s="2">
        <v>45832</v>
      </c>
      <c r="C332" s="2">
        <v>45852</v>
      </c>
      <c r="D332" s="11" t="s">
        <v>1413</v>
      </c>
      <c r="E332">
        <v>20</v>
      </c>
      <c r="F332" s="11" t="s">
        <v>1485</v>
      </c>
      <c r="G332" s="11" t="s">
        <v>1490</v>
      </c>
      <c r="H332" s="11" t="s">
        <v>1491</v>
      </c>
      <c r="I332" s="11" t="s">
        <v>647</v>
      </c>
      <c r="J332" s="11" t="s">
        <v>650</v>
      </c>
      <c r="K332" s="11" t="s">
        <v>672</v>
      </c>
      <c r="L332" s="11" t="s">
        <v>1208</v>
      </c>
      <c r="M332" s="10">
        <v>12</v>
      </c>
      <c r="N332">
        <v>1151.06</v>
      </c>
      <c r="O332" s="3">
        <v>2821.36</v>
      </c>
      <c r="P332" s="11" t="s">
        <v>1471</v>
      </c>
      <c r="Q332" s="4">
        <v>0.248</v>
      </c>
      <c r="R332" s="3">
        <v>25459.95264</v>
      </c>
      <c r="S332" s="3">
        <v>13812.72</v>
      </c>
      <c r="T332" s="4">
        <v>0.45747267501594202</v>
      </c>
      <c r="U332" s="11" t="s">
        <v>654</v>
      </c>
      <c r="V332" s="3">
        <v>11647.23264</v>
      </c>
      <c r="W332" s="11" t="s">
        <v>1431</v>
      </c>
      <c r="X332" t="str">
        <f>TEXT(Table1_1[[#This Row],[OrderDate]],"mm yyyy")</f>
        <v>06 2025</v>
      </c>
      <c r="Y332" s="13">
        <f>DATE(YEAR(Table1_1[[#This Row],[OrderDate]]),MONTH(B332),1)</f>
        <v>45809</v>
      </c>
      <c r="Z332" s="2">
        <f t="shared" si="5"/>
        <v>44958</v>
      </c>
      <c r="AA332">
        <f>(YEAR(Table1_1[[#This Row],[OrderMonth]])-YEAR(Table1_1[[#This Row],[Firstmonth]]))*12+(MONTH(Table1_1[[#This Row],[OrderMonth]])-MONTH(Table1_1[[#This Row],[Firstmonth]]))</f>
        <v>28</v>
      </c>
    </row>
    <row r="333" spans="1:27" x14ac:dyDescent="0.25">
      <c r="A333" s="11" t="s">
        <v>492</v>
      </c>
      <c r="B333" s="2">
        <v>45899</v>
      </c>
      <c r="C333" s="2">
        <v>45903</v>
      </c>
      <c r="D333" s="11" t="s">
        <v>1413</v>
      </c>
      <c r="E333">
        <v>4</v>
      </c>
      <c r="F333" s="11" t="s">
        <v>1464</v>
      </c>
      <c r="G333" s="11" t="s">
        <v>1456</v>
      </c>
      <c r="H333" s="11" t="s">
        <v>1472</v>
      </c>
      <c r="I333" s="11" t="s">
        <v>646</v>
      </c>
      <c r="J333" s="11" t="s">
        <v>650</v>
      </c>
      <c r="K333" s="11" t="s">
        <v>672</v>
      </c>
      <c r="L333" s="11" t="s">
        <v>1156</v>
      </c>
      <c r="M333" s="10">
        <v>13</v>
      </c>
      <c r="N333">
        <v>1286.56</v>
      </c>
      <c r="O333" s="3">
        <v>2777.35</v>
      </c>
      <c r="P333" s="11" t="s">
        <v>1471</v>
      </c>
      <c r="Q333" s="4">
        <v>0.13200000000000001</v>
      </c>
      <c r="R333" s="3">
        <v>31339.617399999996</v>
      </c>
      <c r="S333" s="3">
        <v>16725.28</v>
      </c>
      <c r="T333" s="4">
        <v>0.46632150014696699</v>
      </c>
      <c r="U333" s="11" t="s">
        <v>654</v>
      </c>
      <c r="V333" s="3">
        <v>14614.337399999997</v>
      </c>
      <c r="W333" s="11" t="s">
        <v>1438</v>
      </c>
      <c r="X333" t="str">
        <f>TEXT(Table1_1[[#This Row],[OrderDate]],"mm yyyy")</f>
        <v>08 2025</v>
      </c>
      <c r="Y333" s="13">
        <f>DATE(YEAR(Table1_1[[#This Row],[OrderDate]]),MONTH(B333),1)</f>
        <v>45870</v>
      </c>
      <c r="Z333" s="2">
        <f t="shared" si="5"/>
        <v>44958</v>
      </c>
      <c r="AA333">
        <f>(YEAR(Table1_1[[#This Row],[OrderMonth]])-YEAR(Table1_1[[#This Row],[Firstmonth]]))*12+(MONTH(Table1_1[[#This Row],[OrderMonth]])-MONTH(Table1_1[[#This Row],[Firstmonth]]))</f>
        <v>30</v>
      </c>
    </row>
    <row r="334" spans="1:27" x14ac:dyDescent="0.25">
      <c r="A334" s="11" t="s">
        <v>112</v>
      </c>
      <c r="B334" s="2">
        <v>45304</v>
      </c>
      <c r="C334" s="2">
        <v>45313</v>
      </c>
      <c r="D334" s="11" t="s">
        <v>1413</v>
      </c>
      <c r="E334">
        <v>9</v>
      </c>
      <c r="F334" s="11" t="s">
        <v>1476</v>
      </c>
      <c r="G334" s="11" t="s">
        <v>1453</v>
      </c>
      <c r="H334" s="11" t="s">
        <v>1493</v>
      </c>
      <c r="I334" s="11" t="s">
        <v>647</v>
      </c>
      <c r="J334" s="11" t="s">
        <v>650</v>
      </c>
      <c r="K334" s="11" t="s">
        <v>668</v>
      </c>
      <c r="L334" s="11" t="s">
        <v>776</v>
      </c>
      <c r="M334" s="10">
        <v>4</v>
      </c>
      <c r="N334">
        <v>313.60000000000002</v>
      </c>
      <c r="O334" s="3">
        <v>334.28</v>
      </c>
      <c r="P334" s="11" t="s">
        <v>1468</v>
      </c>
      <c r="Q334" s="4">
        <v>0.14000000000000001</v>
      </c>
      <c r="R334" s="3">
        <v>1149.9232</v>
      </c>
      <c r="S334" s="3">
        <v>1254.4000000000001</v>
      </c>
      <c r="T334" s="4">
        <v>-9.0855458868905503E-2</v>
      </c>
      <c r="U334" s="11" t="s">
        <v>654</v>
      </c>
      <c r="V334" s="3">
        <v>-104.47680000000014</v>
      </c>
      <c r="W334" s="11" t="s">
        <v>1433</v>
      </c>
      <c r="X334" t="str">
        <f>TEXT(Table1_1[[#This Row],[OrderDate]],"mm yyyy")</f>
        <v>01 2024</v>
      </c>
      <c r="Y334" s="13">
        <f>DATE(YEAR(Table1_1[[#This Row],[OrderDate]]),MONTH(B334),1)</f>
        <v>45292</v>
      </c>
      <c r="Z334" s="2">
        <f t="shared" si="5"/>
        <v>44927</v>
      </c>
      <c r="AA334">
        <f>(YEAR(Table1_1[[#This Row],[OrderMonth]])-YEAR(Table1_1[[#This Row],[Firstmonth]]))*12+(MONTH(Table1_1[[#This Row],[OrderMonth]])-MONTH(Table1_1[[#This Row],[Firstmonth]]))</f>
        <v>12</v>
      </c>
    </row>
    <row r="335" spans="1:27" x14ac:dyDescent="0.25">
      <c r="A335" s="11" t="s">
        <v>582</v>
      </c>
      <c r="B335" s="2">
        <v>45740</v>
      </c>
      <c r="C335" s="2">
        <v>45751</v>
      </c>
      <c r="D335" s="11" t="s">
        <v>1413</v>
      </c>
      <c r="E335">
        <v>11</v>
      </c>
      <c r="F335" s="11" t="s">
        <v>1476</v>
      </c>
      <c r="G335" s="11" t="s">
        <v>1453</v>
      </c>
      <c r="H335" s="11" t="s">
        <v>1493</v>
      </c>
      <c r="I335" s="11" t="s">
        <v>643</v>
      </c>
      <c r="J335" s="11" t="s">
        <v>650</v>
      </c>
      <c r="K335" s="11" t="s">
        <v>671</v>
      </c>
      <c r="L335" s="11" t="s">
        <v>1245</v>
      </c>
      <c r="M335" s="10">
        <v>5</v>
      </c>
      <c r="N335">
        <v>23.83</v>
      </c>
      <c r="O335" s="3">
        <v>47.29</v>
      </c>
      <c r="P335" s="11" t="s">
        <v>1468</v>
      </c>
      <c r="Q335" s="4">
        <v>6.4000000000000001E-2</v>
      </c>
      <c r="R335" s="3">
        <v>221.31719999999999</v>
      </c>
      <c r="S335" s="3">
        <v>119.14999999999999</v>
      </c>
      <c r="T335" s="4">
        <v>0.46163244429262601</v>
      </c>
      <c r="U335" s="11" t="s">
        <v>654</v>
      </c>
      <c r="V335" s="3">
        <v>102.16719999999999</v>
      </c>
      <c r="W335" s="11" t="s">
        <v>1434</v>
      </c>
      <c r="X335" t="str">
        <f>TEXT(Table1_1[[#This Row],[OrderDate]],"mm yyyy")</f>
        <v>03 2025</v>
      </c>
      <c r="Y335" s="13">
        <f>DATE(YEAR(Table1_1[[#This Row],[OrderDate]]),MONTH(B335),1)</f>
        <v>45717</v>
      </c>
      <c r="Z335" s="2">
        <f t="shared" si="5"/>
        <v>44927</v>
      </c>
      <c r="AA335">
        <f>(YEAR(Table1_1[[#This Row],[OrderMonth]])-YEAR(Table1_1[[#This Row],[Firstmonth]]))*12+(MONTH(Table1_1[[#This Row],[OrderMonth]])-MONTH(Table1_1[[#This Row],[Firstmonth]]))</f>
        <v>26</v>
      </c>
    </row>
    <row r="336" spans="1:27" x14ac:dyDescent="0.25">
      <c r="A336" s="11" t="s">
        <v>295</v>
      </c>
      <c r="B336" s="2">
        <v>45101</v>
      </c>
      <c r="C336" s="2">
        <v>45128</v>
      </c>
      <c r="D336" s="11" t="s">
        <v>1413</v>
      </c>
      <c r="E336">
        <v>27</v>
      </c>
      <c r="F336" s="11" t="s">
        <v>1476</v>
      </c>
      <c r="G336" s="11" t="s">
        <v>1451</v>
      </c>
      <c r="H336" s="11" t="s">
        <v>1484</v>
      </c>
      <c r="I336" s="11" t="s">
        <v>645</v>
      </c>
      <c r="J336" s="11" t="s">
        <v>650</v>
      </c>
      <c r="K336" s="11" t="s">
        <v>671</v>
      </c>
      <c r="L336" s="11" t="s">
        <v>960</v>
      </c>
      <c r="M336" s="10">
        <v>5</v>
      </c>
      <c r="N336">
        <v>554.76</v>
      </c>
      <c r="O336" s="3">
        <v>728.69</v>
      </c>
      <c r="P336" s="11" t="s">
        <v>1468</v>
      </c>
      <c r="Q336" s="4">
        <v>0.22</v>
      </c>
      <c r="R336" s="3">
        <v>2841.8910000000005</v>
      </c>
      <c r="S336" s="3">
        <v>2773.8</v>
      </c>
      <c r="T336" s="4">
        <v>2.39597507434312E-2</v>
      </c>
      <c r="U336" s="11" t="s">
        <v>654</v>
      </c>
      <c r="V336" s="3">
        <v>68.091000000000349</v>
      </c>
      <c r="W336" s="11" t="s">
        <v>1435</v>
      </c>
      <c r="X336" t="str">
        <f>TEXT(Table1_1[[#This Row],[OrderDate]],"mm yyyy")</f>
        <v>06 2023</v>
      </c>
      <c r="Y336" s="13">
        <f>DATE(YEAR(Table1_1[[#This Row],[OrderDate]]),MONTH(B336),1)</f>
        <v>45078</v>
      </c>
      <c r="Z336" s="2">
        <f t="shared" si="5"/>
        <v>44986</v>
      </c>
      <c r="AA336">
        <f>(YEAR(Table1_1[[#This Row],[OrderMonth]])-YEAR(Table1_1[[#This Row],[Firstmonth]]))*12+(MONTH(Table1_1[[#This Row],[OrderMonth]])-MONTH(Table1_1[[#This Row],[Firstmonth]]))</f>
        <v>3</v>
      </c>
    </row>
    <row r="337" spans="1:27" x14ac:dyDescent="0.25">
      <c r="A337" s="11" t="s">
        <v>378</v>
      </c>
      <c r="B337" s="2">
        <v>45194</v>
      </c>
      <c r="C337" s="2">
        <v>45208</v>
      </c>
      <c r="D337" s="11" t="s">
        <v>1413</v>
      </c>
      <c r="E337">
        <v>14</v>
      </c>
      <c r="F337" s="11" t="s">
        <v>1473</v>
      </c>
      <c r="G337" s="11" t="s">
        <v>1516</v>
      </c>
      <c r="H337" s="11" t="s">
        <v>1517</v>
      </c>
      <c r="I337" s="11" t="s">
        <v>646</v>
      </c>
      <c r="J337" s="11" t="s">
        <v>650</v>
      </c>
      <c r="K337" s="11" t="s">
        <v>672</v>
      </c>
      <c r="L337" s="11" t="s">
        <v>1043</v>
      </c>
      <c r="M337" s="10">
        <v>7</v>
      </c>
      <c r="N337">
        <v>1279.56</v>
      </c>
      <c r="O337" s="3">
        <v>3083.8</v>
      </c>
      <c r="P337" s="11" t="s">
        <v>1471</v>
      </c>
      <c r="Q337" s="4">
        <v>0.106</v>
      </c>
      <c r="R337" s="3">
        <v>19298.420400000003</v>
      </c>
      <c r="S337" s="3">
        <v>8956.92</v>
      </c>
      <c r="T337" s="4">
        <v>0.53587289455047804</v>
      </c>
      <c r="U337" s="11" t="s">
        <v>654</v>
      </c>
      <c r="V337" s="3">
        <v>10341.500400000003</v>
      </c>
      <c r="W337" s="11" t="s">
        <v>1430</v>
      </c>
      <c r="X337" t="str">
        <f>TEXT(Table1_1[[#This Row],[OrderDate]],"mm yyyy")</f>
        <v>09 2023</v>
      </c>
      <c r="Y337" s="13">
        <f>DATE(YEAR(Table1_1[[#This Row],[OrderDate]]),MONTH(B337),1)</f>
        <v>45170</v>
      </c>
      <c r="Z337" s="2">
        <f t="shared" si="5"/>
        <v>44958</v>
      </c>
      <c r="AA337">
        <f>(YEAR(Table1_1[[#This Row],[OrderMonth]])-YEAR(Table1_1[[#This Row],[Firstmonth]]))*12+(MONTH(Table1_1[[#This Row],[OrderMonth]])-MONTH(Table1_1[[#This Row],[Firstmonth]]))</f>
        <v>7</v>
      </c>
    </row>
    <row r="338" spans="1:27" x14ac:dyDescent="0.25">
      <c r="A338" s="11" t="s">
        <v>631</v>
      </c>
      <c r="B338" s="2">
        <v>45764</v>
      </c>
      <c r="C338" s="2">
        <v>45780</v>
      </c>
      <c r="D338" s="11" t="s">
        <v>1413</v>
      </c>
      <c r="E338">
        <v>16</v>
      </c>
      <c r="F338" s="11" t="s">
        <v>1473</v>
      </c>
      <c r="G338" s="11" t="s">
        <v>1505</v>
      </c>
      <c r="H338" s="11" t="s">
        <v>1506</v>
      </c>
      <c r="I338" s="11" t="s">
        <v>645</v>
      </c>
      <c r="J338" s="11" t="s">
        <v>650</v>
      </c>
      <c r="K338" s="11" t="s">
        <v>670</v>
      </c>
      <c r="L338" s="11" t="s">
        <v>1294</v>
      </c>
      <c r="M338" s="10">
        <v>22</v>
      </c>
      <c r="N338">
        <v>168.68</v>
      </c>
      <c r="O338" s="3">
        <v>413.34</v>
      </c>
      <c r="P338" s="11" t="s">
        <v>1468</v>
      </c>
      <c r="Q338" s="4">
        <v>0.186</v>
      </c>
      <c r="R338" s="3">
        <v>7402.0927200000006</v>
      </c>
      <c r="S338" s="3">
        <v>3710.96</v>
      </c>
      <c r="T338" s="4">
        <v>0.49866069767361698</v>
      </c>
      <c r="U338" s="11" t="s">
        <v>654</v>
      </c>
      <c r="V338" s="3">
        <v>3691.1327200000005</v>
      </c>
      <c r="W338" s="11" t="s">
        <v>1431</v>
      </c>
      <c r="X338" t="str">
        <f>TEXT(Table1_1[[#This Row],[OrderDate]],"mm yyyy")</f>
        <v>04 2025</v>
      </c>
      <c r="Y338" s="13">
        <f>DATE(YEAR(Table1_1[[#This Row],[OrderDate]]),MONTH(B338),1)</f>
        <v>45748</v>
      </c>
      <c r="Z338" s="2">
        <f t="shared" si="5"/>
        <v>45047</v>
      </c>
      <c r="AA338">
        <f>(YEAR(Table1_1[[#This Row],[OrderMonth]])-YEAR(Table1_1[[#This Row],[Firstmonth]]))*12+(MONTH(Table1_1[[#This Row],[OrderMonth]])-MONTH(Table1_1[[#This Row],[Firstmonth]]))</f>
        <v>23</v>
      </c>
    </row>
    <row r="339" spans="1:27" x14ac:dyDescent="0.25">
      <c r="A339" s="11" t="s">
        <v>474</v>
      </c>
      <c r="B339" s="2">
        <v>45865</v>
      </c>
      <c r="C339" s="2">
        <v>45884</v>
      </c>
      <c r="D339" s="11" t="s">
        <v>1413</v>
      </c>
      <c r="E339">
        <v>19</v>
      </c>
      <c r="F339" s="11" t="s">
        <v>1476</v>
      </c>
      <c r="G339" s="11" t="s">
        <v>1451</v>
      </c>
      <c r="H339" s="11" t="s">
        <v>1510</v>
      </c>
      <c r="I339" s="11" t="s">
        <v>646</v>
      </c>
      <c r="J339" s="11" t="s">
        <v>650</v>
      </c>
      <c r="K339" s="11" t="s">
        <v>668</v>
      </c>
      <c r="L339" s="11" t="s">
        <v>1138</v>
      </c>
      <c r="M339" s="10">
        <v>37</v>
      </c>
      <c r="N339">
        <v>275.43</v>
      </c>
      <c r="O339" s="3">
        <v>608.36</v>
      </c>
      <c r="P339" s="11" t="s">
        <v>1468</v>
      </c>
      <c r="Q339" s="4">
        <v>0.25700000000000001</v>
      </c>
      <c r="R339" s="3">
        <v>16724.424759999998</v>
      </c>
      <c r="S339" s="3">
        <v>10190.91</v>
      </c>
      <c r="T339" s="4">
        <v>0.39065706915231402</v>
      </c>
      <c r="U339" s="11" t="s">
        <v>654</v>
      </c>
      <c r="V339" s="3">
        <v>6533.5147599999982</v>
      </c>
      <c r="W339" s="11" t="s">
        <v>1438</v>
      </c>
      <c r="X339" t="str">
        <f>TEXT(Table1_1[[#This Row],[OrderDate]],"mm yyyy")</f>
        <v>07 2025</v>
      </c>
      <c r="Y339" s="13">
        <f>DATE(YEAR(Table1_1[[#This Row],[OrderDate]]),MONTH(B339),1)</f>
        <v>45839</v>
      </c>
      <c r="Z339" s="2">
        <f t="shared" si="5"/>
        <v>44986</v>
      </c>
      <c r="AA339">
        <f>(YEAR(Table1_1[[#This Row],[OrderMonth]])-YEAR(Table1_1[[#This Row],[Firstmonth]]))*12+(MONTH(Table1_1[[#This Row],[OrderMonth]])-MONTH(Table1_1[[#This Row],[Firstmonth]]))</f>
        <v>28</v>
      </c>
    </row>
    <row r="340" spans="1:27" x14ac:dyDescent="0.25">
      <c r="A340" s="11" t="s">
        <v>382</v>
      </c>
      <c r="B340" s="2">
        <v>45022</v>
      </c>
      <c r="C340" s="2">
        <v>45024</v>
      </c>
      <c r="D340" s="11" t="s">
        <v>1413</v>
      </c>
      <c r="E340">
        <v>2</v>
      </c>
      <c r="F340" s="11" t="s">
        <v>1485</v>
      </c>
      <c r="G340" s="11" t="s">
        <v>1450</v>
      </c>
      <c r="H340" s="11" t="s">
        <v>1508</v>
      </c>
      <c r="I340" s="11" t="s">
        <v>646</v>
      </c>
      <c r="J340" s="11" t="s">
        <v>650</v>
      </c>
      <c r="K340" s="11" t="s">
        <v>673</v>
      </c>
      <c r="L340" s="11" t="s">
        <v>1047</v>
      </c>
      <c r="M340" s="10">
        <v>9</v>
      </c>
      <c r="N340">
        <v>720.35</v>
      </c>
      <c r="O340" s="3">
        <v>1571.66</v>
      </c>
      <c r="P340" s="11" t="s">
        <v>1466</v>
      </c>
      <c r="Q340" s="4">
        <v>0.107</v>
      </c>
      <c r="R340" s="3">
        <v>12631.431420000001</v>
      </c>
      <c r="S340" s="3">
        <v>6483.1500000000005</v>
      </c>
      <c r="T340" s="4">
        <v>0.486744630562226</v>
      </c>
      <c r="U340" s="11" t="s">
        <v>664</v>
      </c>
      <c r="V340" s="3">
        <v>6148.2814200000003</v>
      </c>
      <c r="W340" s="11" t="s">
        <v>1435</v>
      </c>
      <c r="X340" t="str">
        <f>TEXT(Table1_1[[#This Row],[OrderDate]],"mm yyyy")</f>
        <v>04 2023</v>
      </c>
      <c r="Y340" s="13">
        <f>DATE(YEAR(Table1_1[[#This Row],[OrderDate]]),MONTH(B340),1)</f>
        <v>45017</v>
      </c>
      <c r="Z340" s="2">
        <f t="shared" si="5"/>
        <v>44927</v>
      </c>
      <c r="AA340">
        <f>(YEAR(Table1_1[[#This Row],[OrderMonth]])-YEAR(Table1_1[[#This Row],[Firstmonth]]))*12+(MONTH(Table1_1[[#This Row],[OrderMonth]])-MONTH(Table1_1[[#This Row],[Firstmonth]]))</f>
        <v>3</v>
      </c>
    </row>
    <row r="341" spans="1:27" x14ac:dyDescent="0.25">
      <c r="A341" s="11" t="s">
        <v>186</v>
      </c>
      <c r="B341" s="2">
        <v>45761</v>
      </c>
      <c r="C341" s="2">
        <v>45781</v>
      </c>
      <c r="D341" s="11" t="s">
        <v>1413</v>
      </c>
      <c r="E341">
        <v>20</v>
      </c>
      <c r="F341" s="11" t="s">
        <v>1464</v>
      </c>
      <c r="G341" s="11" t="s">
        <v>1469</v>
      </c>
      <c r="H341" s="11" t="s">
        <v>1507</v>
      </c>
      <c r="I341" s="11" t="s">
        <v>647</v>
      </c>
      <c r="J341" s="11" t="s">
        <v>650</v>
      </c>
      <c r="K341" s="11" t="s">
        <v>673</v>
      </c>
      <c r="L341" s="11" t="s">
        <v>850</v>
      </c>
      <c r="M341" s="10">
        <v>28</v>
      </c>
      <c r="N341">
        <v>1413.87</v>
      </c>
      <c r="O341" s="3">
        <v>3275</v>
      </c>
      <c r="P341" s="11" t="s">
        <v>1471</v>
      </c>
      <c r="Q341" s="4">
        <v>0.255</v>
      </c>
      <c r="R341" s="3">
        <v>68316.5</v>
      </c>
      <c r="S341" s="3">
        <v>39588.36</v>
      </c>
      <c r="T341" s="4">
        <v>0.42051539525590398</v>
      </c>
      <c r="U341" s="11" t="s">
        <v>664</v>
      </c>
      <c r="V341" s="3">
        <v>28728.14</v>
      </c>
      <c r="W341" s="11" t="s">
        <v>1431</v>
      </c>
      <c r="X341" t="str">
        <f>TEXT(Table1_1[[#This Row],[OrderDate]],"mm yyyy")</f>
        <v>04 2025</v>
      </c>
      <c r="Y341" s="13">
        <f>DATE(YEAR(Table1_1[[#This Row],[OrderDate]]),MONTH(B341),1)</f>
        <v>45748</v>
      </c>
      <c r="Z341" s="2">
        <f t="shared" si="5"/>
        <v>44927</v>
      </c>
      <c r="AA341">
        <f>(YEAR(Table1_1[[#This Row],[OrderMonth]])-YEAR(Table1_1[[#This Row],[Firstmonth]]))*12+(MONTH(Table1_1[[#This Row],[OrderMonth]])-MONTH(Table1_1[[#This Row],[Firstmonth]]))</f>
        <v>27</v>
      </c>
    </row>
    <row r="342" spans="1:27" x14ac:dyDescent="0.25">
      <c r="A342" s="11" t="s">
        <v>151</v>
      </c>
      <c r="B342" s="2">
        <v>45048</v>
      </c>
      <c r="C342" s="2">
        <v>45064</v>
      </c>
      <c r="D342" s="11" t="s">
        <v>1413</v>
      </c>
      <c r="E342">
        <v>16</v>
      </c>
      <c r="F342" s="11" t="s">
        <v>1476</v>
      </c>
      <c r="G342" s="11" t="s">
        <v>1453</v>
      </c>
      <c r="H342" s="11" t="s">
        <v>1479</v>
      </c>
      <c r="I342" s="11" t="s">
        <v>646</v>
      </c>
      <c r="J342" s="11" t="s">
        <v>650</v>
      </c>
      <c r="K342" s="11" t="s">
        <v>673</v>
      </c>
      <c r="L342" s="11" t="s">
        <v>815</v>
      </c>
      <c r="M342" s="10">
        <v>24</v>
      </c>
      <c r="N342">
        <v>1463.92</v>
      </c>
      <c r="O342" s="3">
        <v>2252.2399999999998</v>
      </c>
      <c r="P342" s="11" t="s">
        <v>1471</v>
      </c>
      <c r="Q342" s="4">
        <v>0.11799999999999999</v>
      </c>
      <c r="R342" s="3">
        <v>47675.416319999997</v>
      </c>
      <c r="S342" s="3">
        <v>35134.080000000002</v>
      </c>
      <c r="T342" s="4">
        <v>0.263056671300401</v>
      </c>
      <c r="U342" s="11" t="s">
        <v>664</v>
      </c>
      <c r="V342" s="3">
        <v>12541.336319999995</v>
      </c>
      <c r="W342" s="11" t="s">
        <v>1435</v>
      </c>
      <c r="X342" t="str">
        <f>TEXT(Table1_1[[#This Row],[OrderDate]],"mm yyyy")</f>
        <v>05 2023</v>
      </c>
      <c r="Y342" s="13">
        <f>DATE(YEAR(Table1_1[[#This Row],[OrderDate]]),MONTH(B342),1)</f>
        <v>45047</v>
      </c>
      <c r="Z342" s="2">
        <f t="shared" si="5"/>
        <v>44927</v>
      </c>
      <c r="AA342">
        <f>(YEAR(Table1_1[[#This Row],[OrderMonth]])-YEAR(Table1_1[[#This Row],[Firstmonth]]))*12+(MONTH(Table1_1[[#This Row],[OrderMonth]])-MONTH(Table1_1[[#This Row],[Firstmonth]]))</f>
        <v>4</v>
      </c>
    </row>
    <row r="343" spans="1:27" x14ac:dyDescent="0.25">
      <c r="A343" s="11" t="s">
        <v>542</v>
      </c>
      <c r="B343" s="2">
        <v>45769</v>
      </c>
      <c r="C343" s="2">
        <v>45789</v>
      </c>
      <c r="D343" s="11" t="s">
        <v>1413</v>
      </c>
      <c r="E343">
        <v>20</v>
      </c>
      <c r="F343" s="11" t="s">
        <v>1464</v>
      </c>
      <c r="G343" s="11" t="s">
        <v>1456</v>
      </c>
      <c r="H343" s="11" t="s">
        <v>1481</v>
      </c>
      <c r="I343" s="11" t="s">
        <v>647</v>
      </c>
      <c r="J343" s="11" t="s">
        <v>650</v>
      </c>
      <c r="K343" s="11" t="s">
        <v>673</v>
      </c>
      <c r="L343" s="11" t="s">
        <v>1206</v>
      </c>
      <c r="M343" s="10">
        <v>22</v>
      </c>
      <c r="N343">
        <v>59.51</v>
      </c>
      <c r="O343" s="3">
        <v>67.040000000000006</v>
      </c>
      <c r="P343" s="11" t="s">
        <v>1468</v>
      </c>
      <c r="Q343" s="4">
        <v>0.114</v>
      </c>
      <c r="R343" s="3">
        <v>1306.74368</v>
      </c>
      <c r="S343" s="3">
        <v>1309.22</v>
      </c>
      <c r="T343" s="4">
        <v>-1.89503116632635E-3</v>
      </c>
      <c r="U343" s="11" t="s">
        <v>664</v>
      </c>
      <c r="V343" s="3">
        <v>-2.476319999999987</v>
      </c>
      <c r="W343" s="11" t="s">
        <v>1431</v>
      </c>
      <c r="X343" t="str">
        <f>TEXT(Table1_1[[#This Row],[OrderDate]],"mm yyyy")</f>
        <v>04 2025</v>
      </c>
      <c r="Y343" s="13">
        <f>DATE(YEAR(Table1_1[[#This Row],[OrderDate]]),MONTH(B343),1)</f>
        <v>45748</v>
      </c>
      <c r="Z343" s="2">
        <f t="shared" si="5"/>
        <v>44958</v>
      </c>
      <c r="AA343">
        <f>(YEAR(Table1_1[[#This Row],[OrderMonth]])-YEAR(Table1_1[[#This Row],[Firstmonth]]))*12+(MONTH(Table1_1[[#This Row],[OrderMonth]])-MONTH(Table1_1[[#This Row],[Firstmonth]]))</f>
        <v>26</v>
      </c>
    </row>
    <row r="344" spans="1:27" x14ac:dyDescent="0.25">
      <c r="A344" s="11" t="s">
        <v>498</v>
      </c>
      <c r="B344" s="2">
        <v>45424</v>
      </c>
      <c r="C344" s="2">
        <v>45436</v>
      </c>
      <c r="D344" s="11" t="s">
        <v>1413</v>
      </c>
      <c r="E344">
        <v>12</v>
      </c>
      <c r="F344" s="11" t="s">
        <v>1464</v>
      </c>
      <c r="G344" s="11" t="s">
        <v>1469</v>
      </c>
      <c r="H344" s="11" t="s">
        <v>1482</v>
      </c>
      <c r="I344" s="11" t="s">
        <v>643</v>
      </c>
      <c r="J344" s="11" t="s">
        <v>650</v>
      </c>
      <c r="K344" s="11" t="s">
        <v>669</v>
      </c>
      <c r="L344" s="11" t="s">
        <v>1162</v>
      </c>
      <c r="M344" s="10">
        <v>11</v>
      </c>
      <c r="N344">
        <v>111.02</v>
      </c>
      <c r="O344" s="3">
        <v>172.88</v>
      </c>
      <c r="P344" s="11" t="s">
        <v>1468</v>
      </c>
      <c r="Q344" s="4">
        <v>0.19700000000000001</v>
      </c>
      <c r="R344" s="3">
        <v>1527.0490399999996</v>
      </c>
      <c r="S344" s="3">
        <v>1221.22</v>
      </c>
      <c r="T344" s="4">
        <v>0.20027453735212</v>
      </c>
      <c r="U344" s="11" t="s">
        <v>664</v>
      </c>
      <c r="V344" s="3">
        <v>305.82903999999962</v>
      </c>
      <c r="W344" s="11" t="s">
        <v>1436</v>
      </c>
      <c r="X344" t="str">
        <f>TEXT(Table1_1[[#This Row],[OrderDate]],"mm yyyy")</f>
        <v>05 2024</v>
      </c>
      <c r="Y344" s="13">
        <f>DATE(YEAR(Table1_1[[#This Row],[OrderDate]]),MONTH(B344),1)</f>
        <v>45413</v>
      </c>
      <c r="Z344" s="2">
        <f t="shared" si="5"/>
        <v>44927</v>
      </c>
      <c r="AA344">
        <f>(YEAR(Table1_1[[#This Row],[OrderMonth]])-YEAR(Table1_1[[#This Row],[Firstmonth]]))*12+(MONTH(Table1_1[[#This Row],[OrderMonth]])-MONTH(Table1_1[[#This Row],[Firstmonth]]))</f>
        <v>16</v>
      </c>
    </row>
    <row r="345" spans="1:27" x14ac:dyDescent="0.25">
      <c r="A345" s="11" t="s">
        <v>93</v>
      </c>
      <c r="B345" s="2">
        <v>45791</v>
      </c>
      <c r="C345" s="2">
        <v>45801</v>
      </c>
      <c r="D345" s="11" t="s">
        <v>1413</v>
      </c>
      <c r="E345">
        <v>10</v>
      </c>
      <c r="F345" s="11" t="s">
        <v>1464</v>
      </c>
      <c r="G345" s="11" t="s">
        <v>1456</v>
      </c>
      <c r="H345" s="11" t="s">
        <v>1504</v>
      </c>
      <c r="I345" s="11" t="s">
        <v>646</v>
      </c>
      <c r="J345" s="11" t="s">
        <v>650</v>
      </c>
      <c r="K345" s="11" t="s">
        <v>668</v>
      </c>
      <c r="L345" s="11" t="s">
        <v>757</v>
      </c>
      <c r="M345" s="10">
        <v>6</v>
      </c>
      <c r="N345">
        <v>170.39</v>
      </c>
      <c r="O345" s="3">
        <v>388.04</v>
      </c>
      <c r="P345" s="11" t="s">
        <v>1468</v>
      </c>
      <c r="Q345" s="4">
        <v>8.4000000000000005E-2</v>
      </c>
      <c r="R345" s="3">
        <v>2132.6678400000005</v>
      </c>
      <c r="S345" s="3">
        <v>1022.3399999999999</v>
      </c>
      <c r="T345" s="4">
        <v>0.52062858508711796</v>
      </c>
      <c r="U345" s="11" t="s">
        <v>664</v>
      </c>
      <c r="V345" s="3">
        <v>1110.3278400000006</v>
      </c>
      <c r="W345" s="11" t="s">
        <v>1431</v>
      </c>
      <c r="X345" t="str">
        <f>TEXT(Table1_1[[#This Row],[OrderDate]],"mm yyyy")</f>
        <v>05 2025</v>
      </c>
      <c r="Y345" s="13">
        <f>DATE(YEAR(Table1_1[[#This Row],[OrderDate]]),MONTH(B345),1)</f>
        <v>45778</v>
      </c>
      <c r="Z345" s="2">
        <f t="shared" si="5"/>
        <v>44958</v>
      </c>
      <c r="AA345">
        <f>(YEAR(Table1_1[[#This Row],[OrderMonth]])-YEAR(Table1_1[[#This Row],[Firstmonth]]))*12+(MONTH(Table1_1[[#This Row],[OrderMonth]])-MONTH(Table1_1[[#This Row],[Firstmonth]]))</f>
        <v>27</v>
      </c>
    </row>
    <row r="346" spans="1:27" x14ac:dyDescent="0.25">
      <c r="A346" s="11" t="s">
        <v>626</v>
      </c>
      <c r="B346" s="2">
        <v>45208</v>
      </c>
      <c r="C346" s="2">
        <v>45210</v>
      </c>
      <c r="D346" s="11" t="s">
        <v>1413</v>
      </c>
      <c r="E346">
        <v>2</v>
      </c>
      <c r="F346" s="11" t="s">
        <v>1485</v>
      </c>
      <c r="G346" s="11" t="s">
        <v>1495</v>
      </c>
      <c r="H346" s="11" t="s">
        <v>1496</v>
      </c>
      <c r="I346" s="11" t="s">
        <v>643</v>
      </c>
      <c r="J346" s="11" t="s">
        <v>650</v>
      </c>
      <c r="K346" s="11" t="s">
        <v>670</v>
      </c>
      <c r="L346" s="11" t="s">
        <v>1289</v>
      </c>
      <c r="M346" s="10">
        <v>14</v>
      </c>
      <c r="N346">
        <v>391.16</v>
      </c>
      <c r="O346" s="3">
        <v>902.47</v>
      </c>
      <c r="P346" s="11" t="s">
        <v>1466</v>
      </c>
      <c r="Q346" s="4">
        <v>4.0000000000000001E-3</v>
      </c>
      <c r="R346" s="3">
        <v>12584.04168</v>
      </c>
      <c r="S346" s="3">
        <v>5476.2400000000007</v>
      </c>
      <c r="T346" s="4">
        <v>0.56482661618139196</v>
      </c>
      <c r="U346" s="11" t="s">
        <v>664</v>
      </c>
      <c r="V346" s="3">
        <v>7107.8016799999996</v>
      </c>
      <c r="W346" s="11" t="s">
        <v>1439</v>
      </c>
      <c r="X346" t="str">
        <f>TEXT(Table1_1[[#This Row],[OrderDate]],"mm yyyy")</f>
        <v>10 2023</v>
      </c>
      <c r="Y346" s="13">
        <f>DATE(YEAR(Table1_1[[#This Row],[OrderDate]]),MONTH(B346),1)</f>
        <v>45200</v>
      </c>
      <c r="Z346" s="2">
        <f t="shared" si="5"/>
        <v>45047</v>
      </c>
      <c r="AA346">
        <f>(YEAR(Table1_1[[#This Row],[OrderMonth]])-YEAR(Table1_1[[#This Row],[Firstmonth]]))*12+(MONTH(Table1_1[[#This Row],[OrderMonth]])-MONTH(Table1_1[[#This Row],[Firstmonth]]))</f>
        <v>5</v>
      </c>
    </row>
    <row r="347" spans="1:27" x14ac:dyDescent="0.25">
      <c r="A347" s="11" t="s">
        <v>238</v>
      </c>
      <c r="B347" s="2">
        <v>45879</v>
      </c>
      <c r="C347" s="2">
        <v>45899</v>
      </c>
      <c r="D347" s="11" t="s">
        <v>1413</v>
      </c>
      <c r="E347">
        <v>20</v>
      </c>
      <c r="F347" s="11" t="s">
        <v>1473</v>
      </c>
      <c r="G347" s="11" t="s">
        <v>1498</v>
      </c>
      <c r="H347" s="11" t="s">
        <v>1499</v>
      </c>
      <c r="I347" s="11" t="s">
        <v>642</v>
      </c>
      <c r="J347" s="11" t="s">
        <v>650</v>
      </c>
      <c r="K347" s="11" t="s">
        <v>669</v>
      </c>
      <c r="L347" s="11" t="s">
        <v>903</v>
      </c>
      <c r="M347" s="10">
        <v>5</v>
      </c>
      <c r="N347">
        <v>933.29</v>
      </c>
      <c r="O347" s="3">
        <v>1456.81</v>
      </c>
      <c r="P347" s="11" t="s">
        <v>1466</v>
      </c>
      <c r="Q347" s="4">
        <v>0.123</v>
      </c>
      <c r="R347" s="3">
        <v>6388.1118499999993</v>
      </c>
      <c r="S347" s="3">
        <v>4666.45</v>
      </c>
      <c r="T347" s="4">
        <v>0.26951028573489999</v>
      </c>
      <c r="U347" s="11" t="s">
        <v>664</v>
      </c>
      <c r="V347" s="3">
        <v>1721.6618499999995</v>
      </c>
      <c r="W347" s="11" t="s">
        <v>1438</v>
      </c>
      <c r="X347" t="str">
        <f>TEXT(Table1_1[[#This Row],[OrderDate]],"mm yyyy")</f>
        <v>08 2025</v>
      </c>
      <c r="Y347" s="13">
        <f>DATE(YEAR(Table1_1[[#This Row],[OrderDate]]),MONTH(B347),1)</f>
        <v>45870</v>
      </c>
      <c r="Z347" s="2">
        <f t="shared" si="5"/>
        <v>44927</v>
      </c>
      <c r="AA347">
        <f>(YEAR(Table1_1[[#This Row],[OrderMonth]])-YEAR(Table1_1[[#This Row],[Firstmonth]]))*12+(MONTH(Table1_1[[#This Row],[OrderMonth]])-MONTH(Table1_1[[#This Row],[Firstmonth]]))</f>
        <v>31</v>
      </c>
    </row>
    <row r="348" spans="1:27" x14ac:dyDescent="0.25">
      <c r="A348" s="11" t="s">
        <v>55</v>
      </c>
      <c r="B348" s="2">
        <v>45432</v>
      </c>
      <c r="C348" s="2">
        <v>45445</v>
      </c>
      <c r="D348" s="11" t="s">
        <v>1413</v>
      </c>
      <c r="E348">
        <v>13</v>
      </c>
      <c r="F348" s="11" t="s">
        <v>1473</v>
      </c>
      <c r="G348" s="11" t="s">
        <v>1452</v>
      </c>
      <c r="H348" s="11" t="s">
        <v>1475</v>
      </c>
      <c r="I348" s="11" t="s">
        <v>647</v>
      </c>
      <c r="J348" s="11" t="s">
        <v>650</v>
      </c>
      <c r="K348" s="11" t="s">
        <v>668</v>
      </c>
      <c r="L348" s="11" t="s">
        <v>719</v>
      </c>
      <c r="M348" s="10">
        <v>43</v>
      </c>
      <c r="N348">
        <v>675.43</v>
      </c>
      <c r="O348" s="3">
        <v>996.36</v>
      </c>
      <c r="P348" s="11" t="s">
        <v>1466</v>
      </c>
      <c r="Q348" s="4">
        <v>0.182</v>
      </c>
      <c r="R348" s="3">
        <v>35045.966640000006</v>
      </c>
      <c r="S348" s="3">
        <v>29043.489999999998</v>
      </c>
      <c r="T348" s="4">
        <v>0.171274392333326</v>
      </c>
      <c r="U348" s="11" t="s">
        <v>664</v>
      </c>
      <c r="V348" s="3">
        <v>6002.476640000008</v>
      </c>
      <c r="W348" s="11" t="s">
        <v>1436</v>
      </c>
      <c r="X348" t="str">
        <f>TEXT(Table1_1[[#This Row],[OrderDate]],"mm yyyy")</f>
        <v>05 2024</v>
      </c>
      <c r="Y348" s="13">
        <f>DATE(YEAR(Table1_1[[#This Row],[OrderDate]]),MONTH(B348),1)</f>
        <v>45413</v>
      </c>
      <c r="Z348" s="2">
        <f t="shared" si="5"/>
        <v>44958</v>
      </c>
      <c r="AA348">
        <f>(YEAR(Table1_1[[#This Row],[OrderMonth]])-YEAR(Table1_1[[#This Row],[Firstmonth]]))*12+(MONTH(Table1_1[[#This Row],[OrderMonth]])-MONTH(Table1_1[[#This Row],[Firstmonth]]))</f>
        <v>15</v>
      </c>
    </row>
    <row r="349" spans="1:27" x14ac:dyDescent="0.25">
      <c r="A349" s="11" t="s">
        <v>358</v>
      </c>
      <c r="B349" s="2">
        <v>45281</v>
      </c>
      <c r="C349" s="2">
        <v>45297</v>
      </c>
      <c r="D349" s="11" t="s">
        <v>1413</v>
      </c>
      <c r="E349">
        <v>16</v>
      </c>
      <c r="F349" s="11" t="s">
        <v>1485</v>
      </c>
      <c r="G349" s="11" t="s">
        <v>1450</v>
      </c>
      <c r="H349" s="11" t="s">
        <v>1366</v>
      </c>
      <c r="I349" s="11" t="s">
        <v>642</v>
      </c>
      <c r="J349" s="11" t="s">
        <v>650</v>
      </c>
      <c r="K349" s="11" t="s">
        <v>668</v>
      </c>
      <c r="L349" s="11" t="s">
        <v>1023</v>
      </c>
      <c r="M349" s="10">
        <v>15</v>
      </c>
      <c r="N349">
        <v>932.61</v>
      </c>
      <c r="O349" s="3">
        <v>1982.98</v>
      </c>
      <c r="P349" s="11" t="s">
        <v>1471</v>
      </c>
      <c r="Q349" s="4">
        <v>0.14399999999999999</v>
      </c>
      <c r="R349" s="3">
        <v>25461.463199999998</v>
      </c>
      <c r="S349" s="3">
        <v>13989.15</v>
      </c>
      <c r="T349" s="4">
        <v>0.45057556629345602</v>
      </c>
      <c r="U349" s="11" t="s">
        <v>664</v>
      </c>
      <c r="V349" s="3">
        <v>11472.313199999999</v>
      </c>
      <c r="W349" s="11" t="s">
        <v>1439</v>
      </c>
      <c r="X349" t="str">
        <f>TEXT(Table1_1[[#This Row],[OrderDate]],"mm yyyy")</f>
        <v>12 2023</v>
      </c>
      <c r="Y349" s="13">
        <f>DATE(YEAR(Table1_1[[#This Row],[OrderDate]]),MONTH(B349),1)</f>
        <v>45261</v>
      </c>
      <c r="Z349" s="2">
        <f t="shared" si="5"/>
        <v>44927</v>
      </c>
      <c r="AA349">
        <f>(YEAR(Table1_1[[#This Row],[OrderMonth]])-YEAR(Table1_1[[#This Row],[Firstmonth]]))*12+(MONTH(Table1_1[[#This Row],[OrderMonth]])-MONTH(Table1_1[[#This Row],[Firstmonth]]))</f>
        <v>11</v>
      </c>
    </row>
    <row r="350" spans="1:27" x14ac:dyDescent="0.25">
      <c r="A350" s="11" t="s">
        <v>423</v>
      </c>
      <c r="B350" s="2">
        <v>45163</v>
      </c>
      <c r="C350" s="2">
        <v>45185</v>
      </c>
      <c r="D350" s="11" t="s">
        <v>1413</v>
      </c>
      <c r="E350">
        <v>22</v>
      </c>
      <c r="F350" s="11" t="s">
        <v>1485</v>
      </c>
      <c r="G350" s="11" t="s">
        <v>1450</v>
      </c>
      <c r="H350" s="11" t="s">
        <v>1508</v>
      </c>
      <c r="I350" s="11" t="s">
        <v>642</v>
      </c>
      <c r="J350" s="11" t="s">
        <v>650</v>
      </c>
      <c r="K350" s="11" t="s">
        <v>671</v>
      </c>
      <c r="L350" s="11" t="s">
        <v>1087</v>
      </c>
      <c r="M350" s="10">
        <v>16</v>
      </c>
      <c r="N350">
        <v>1196.83</v>
      </c>
      <c r="O350" s="3">
        <v>2513.5100000000002</v>
      </c>
      <c r="P350" s="11" t="s">
        <v>1471</v>
      </c>
      <c r="Q350" s="4">
        <v>8.3000000000000004E-2</v>
      </c>
      <c r="R350" s="3">
        <v>36878.218720000004</v>
      </c>
      <c r="S350" s="3">
        <v>19149.28</v>
      </c>
      <c r="T350" s="4">
        <v>0.48074281609445402</v>
      </c>
      <c r="U350" s="11" t="s">
        <v>657</v>
      </c>
      <c r="V350" s="3">
        <v>17728.938720000006</v>
      </c>
      <c r="W350" s="11" t="s">
        <v>1430</v>
      </c>
      <c r="X350" t="str">
        <f>TEXT(Table1_1[[#This Row],[OrderDate]],"mm yyyy")</f>
        <v>08 2023</v>
      </c>
      <c r="Y350" s="13">
        <f>DATE(YEAR(Table1_1[[#This Row],[OrderDate]]),MONTH(B350),1)</f>
        <v>45139</v>
      </c>
      <c r="Z350" s="2">
        <f t="shared" si="5"/>
        <v>44927</v>
      </c>
      <c r="AA350">
        <f>(YEAR(Table1_1[[#This Row],[OrderMonth]])-YEAR(Table1_1[[#This Row],[Firstmonth]]))*12+(MONTH(Table1_1[[#This Row],[OrderMonth]])-MONTH(Table1_1[[#This Row],[Firstmonth]]))</f>
        <v>7</v>
      </c>
    </row>
    <row r="351" spans="1:27" x14ac:dyDescent="0.25">
      <c r="A351" s="11" t="s">
        <v>370</v>
      </c>
      <c r="B351" s="2">
        <v>45466</v>
      </c>
      <c r="C351" s="2">
        <v>45468</v>
      </c>
      <c r="D351" s="11" t="s">
        <v>1413</v>
      </c>
      <c r="E351">
        <v>2</v>
      </c>
      <c r="F351" s="11" t="s">
        <v>1464</v>
      </c>
      <c r="G351" s="11" t="s">
        <v>1469</v>
      </c>
      <c r="H351" s="11" t="s">
        <v>1507</v>
      </c>
      <c r="I351" s="11" t="s">
        <v>646</v>
      </c>
      <c r="J351" s="11" t="s">
        <v>650</v>
      </c>
      <c r="K351" s="11" t="s">
        <v>674</v>
      </c>
      <c r="L351" s="11" t="s">
        <v>1035</v>
      </c>
      <c r="M351" s="10">
        <v>6</v>
      </c>
      <c r="N351">
        <v>951.44</v>
      </c>
      <c r="O351" s="3">
        <v>1646.43</v>
      </c>
      <c r="P351" s="11" t="s">
        <v>1471</v>
      </c>
      <c r="Q351" s="4">
        <v>0.11</v>
      </c>
      <c r="R351" s="3">
        <v>8791.9362000000001</v>
      </c>
      <c r="S351" s="3">
        <v>5708.64</v>
      </c>
      <c r="T351" s="4">
        <v>0.35069592520473503</v>
      </c>
      <c r="U351" s="11" t="s">
        <v>657</v>
      </c>
      <c r="V351" s="3">
        <v>3083.2961999999998</v>
      </c>
      <c r="W351" s="11" t="s">
        <v>1436</v>
      </c>
      <c r="X351" t="str">
        <f>TEXT(Table1_1[[#This Row],[OrderDate]],"mm yyyy")</f>
        <v>06 2024</v>
      </c>
      <c r="Y351" s="13">
        <f>DATE(YEAR(Table1_1[[#This Row],[OrderDate]]),MONTH(B351),1)</f>
        <v>45444</v>
      </c>
      <c r="Z351" s="2">
        <f t="shared" si="5"/>
        <v>44927</v>
      </c>
      <c r="AA351">
        <f>(YEAR(Table1_1[[#This Row],[OrderMonth]])-YEAR(Table1_1[[#This Row],[Firstmonth]]))*12+(MONTH(Table1_1[[#This Row],[OrderMonth]])-MONTH(Table1_1[[#This Row],[Firstmonth]]))</f>
        <v>17</v>
      </c>
    </row>
    <row r="352" spans="1:27" x14ac:dyDescent="0.25">
      <c r="A352" s="11" t="s">
        <v>224</v>
      </c>
      <c r="B352" s="2">
        <v>45240</v>
      </c>
      <c r="C352" s="2">
        <v>45258</v>
      </c>
      <c r="D352" s="11" t="s">
        <v>1413</v>
      </c>
      <c r="E352">
        <v>18</v>
      </c>
      <c r="F352" s="11" t="s">
        <v>1473</v>
      </c>
      <c r="G352" s="11" t="s">
        <v>1454</v>
      </c>
      <c r="H352" s="11" t="s">
        <v>1478</v>
      </c>
      <c r="I352" s="11" t="s">
        <v>643</v>
      </c>
      <c r="J352" s="11" t="s">
        <v>650</v>
      </c>
      <c r="K352" s="11" t="s">
        <v>674</v>
      </c>
      <c r="L352" s="11" t="s">
        <v>889</v>
      </c>
      <c r="M352" s="10">
        <v>11</v>
      </c>
      <c r="N352">
        <v>388.51</v>
      </c>
      <c r="O352" s="3">
        <v>776.46</v>
      </c>
      <c r="P352" s="11" t="s">
        <v>1468</v>
      </c>
      <c r="Q352" s="4">
        <v>0.157</v>
      </c>
      <c r="R352" s="3">
        <v>7200.1135800000011</v>
      </c>
      <c r="S352" s="3">
        <v>4273.6099999999997</v>
      </c>
      <c r="T352" s="4">
        <v>0.40645241876865001</v>
      </c>
      <c r="U352" s="11" t="s">
        <v>657</v>
      </c>
      <c r="V352" s="3">
        <v>2926.5035800000014</v>
      </c>
      <c r="W352" s="11" t="s">
        <v>1439</v>
      </c>
      <c r="X352" t="str">
        <f>TEXT(Table1_1[[#This Row],[OrderDate]],"mm yyyy")</f>
        <v>11 2023</v>
      </c>
      <c r="Y352" s="13">
        <f>DATE(YEAR(Table1_1[[#This Row],[OrderDate]]),MONTH(B352),1)</f>
        <v>45231</v>
      </c>
      <c r="Z352" s="2">
        <f t="shared" si="5"/>
        <v>45231</v>
      </c>
      <c r="AA352">
        <f>(YEAR(Table1_1[[#This Row],[OrderMonth]])-YEAR(Table1_1[[#This Row],[Firstmonth]]))*12+(MONTH(Table1_1[[#This Row],[OrderMonth]])-MONTH(Table1_1[[#This Row],[Firstmonth]]))</f>
        <v>0</v>
      </c>
    </row>
    <row r="353" spans="1:27" x14ac:dyDescent="0.25">
      <c r="A353" s="11" t="s">
        <v>342</v>
      </c>
      <c r="B353" s="2">
        <v>45168</v>
      </c>
      <c r="C353" s="2">
        <v>45172</v>
      </c>
      <c r="D353" s="11" t="s">
        <v>1413</v>
      </c>
      <c r="E353">
        <v>4</v>
      </c>
      <c r="F353" s="11" t="s">
        <v>1476</v>
      </c>
      <c r="G353" s="11" t="s">
        <v>1453</v>
      </c>
      <c r="H353" s="11" t="s">
        <v>1479</v>
      </c>
      <c r="I353" s="11" t="s">
        <v>646</v>
      </c>
      <c r="J353" s="11" t="s">
        <v>650</v>
      </c>
      <c r="K353" s="11" t="s">
        <v>674</v>
      </c>
      <c r="L353" s="11" t="s">
        <v>1007</v>
      </c>
      <c r="M353" s="10">
        <v>17</v>
      </c>
      <c r="N353">
        <v>1082.25</v>
      </c>
      <c r="O353" s="3">
        <v>2433.34</v>
      </c>
      <c r="P353" s="11" t="s">
        <v>1471</v>
      </c>
      <c r="Q353" s="4">
        <v>0.27</v>
      </c>
      <c r="R353" s="3">
        <v>30197.749399999997</v>
      </c>
      <c r="S353" s="3">
        <v>18398.25</v>
      </c>
      <c r="T353" s="4">
        <v>0.39074101992514698</v>
      </c>
      <c r="U353" s="11" t="s">
        <v>657</v>
      </c>
      <c r="V353" s="3">
        <v>11799.499399999997</v>
      </c>
      <c r="W353" s="11" t="s">
        <v>1430</v>
      </c>
      <c r="X353" t="str">
        <f>TEXT(Table1_1[[#This Row],[OrderDate]],"mm yyyy")</f>
        <v>08 2023</v>
      </c>
      <c r="Y353" s="13">
        <f>DATE(YEAR(Table1_1[[#This Row],[OrderDate]]),MONTH(B353),1)</f>
        <v>45139</v>
      </c>
      <c r="Z353" s="2">
        <f t="shared" si="5"/>
        <v>44927</v>
      </c>
      <c r="AA353">
        <f>(YEAR(Table1_1[[#This Row],[OrderMonth]])-YEAR(Table1_1[[#This Row],[Firstmonth]]))*12+(MONTH(Table1_1[[#This Row],[OrderMonth]])-MONTH(Table1_1[[#This Row],[Firstmonth]]))</f>
        <v>7</v>
      </c>
    </row>
    <row r="354" spans="1:27" x14ac:dyDescent="0.25">
      <c r="A354" s="11" t="s">
        <v>248</v>
      </c>
      <c r="B354" s="2">
        <v>45258</v>
      </c>
      <c r="C354" s="2">
        <v>45267</v>
      </c>
      <c r="D354" s="11" t="s">
        <v>1413</v>
      </c>
      <c r="E354">
        <v>9</v>
      </c>
      <c r="F354" s="11" t="s">
        <v>1476</v>
      </c>
      <c r="G354" s="11" t="s">
        <v>1453</v>
      </c>
      <c r="H354" s="11" t="s">
        <v>1479</v>
      </c>
      <c r="I354" s="11" t="s">
        <v>647</v>
      </c>
      <c r="J354" s="11" t="s">
        <v>650</v>
      </c>
      <c r="K354" s="11" t="s">
        <v>671</v>
      </c>
      <c r="L354" s="11" t="s">
        <v>913</v>
      </c>
      <c r="M354" s="10">
        <v>19</v>
      </c>
      <c r="N354">
        <v>699.33</v>
      </c>
      <c r="O354" s="3">
        <v>873.75</v>
      </c>
      <c r="P354" s="11" t="s">
        <v>1466</v>
      </c>
      <c r="Q354" s="4">
        <v>0.23499999999999999</v>
      </c>
      <c r="R354" s="3">
        <v>12699.956250000001</v>
      </c>
      <c r="S354" s="3">
        <v>13287.27</v>
      </c>
      <c r="T354" s="4">
        <v>-4.62453364750764E-2</v>
      </c>
      <c r="U354" s="11" t="s">
        <v>657</v>
      </c>
      <c r="V354" s="3">
        <v>-587.31374999999935</v>
      </c>
      <c r="W354" s="11" t="s">
        <v>1439</v>
      </c>
      <c r="X354" t="str">
        <f>TEXT(Table1_1[[#This Row],[OrderDate]],"mm yyyy")</f>
        <v>11 2023</v>
      </c>
      <c r="Y354" s="13">
        <f>DATE(YEAR(Table1_1[[#This Row],[OrderDate]]),MONTH(B354),1)</f>
        <v>45231</v>
      </c>
      <c r="Z354" s="2">
        <f t="shared" si="5"/>
        <v>44927</v>
      </c>
      <c r="AA354">
        <f>(YEAR(Table1_1[[#This Row],[OrderMonth]])-YEAR(Table1_1[[#This Row],[Firstmonth]]))*12+(MONTH(Table1_1[[#This Row],[OrderMonth]])-MONTH(Table1_1[[#This Row],[Firstmonth]]))</f>
        <v>10</v>
      </c>
    </row>
    <row r="355" spans="1:27" x14ac:dyDescent="0.25">
      <c r="A355" s="11" t="s">
        <v>359</v>
      </c>
      <c r="B355" s="2">
        <v>45825</v>
      </c>
      <c r="C355" s="2">
        <v>45843</v>
      </c>
      <c r="D355" s="11" t="s">
        <v>1413</v>
      </c>
      <c r="E355">
        <v>18</v>
      </c>
      <c r="F355" s="11" t="s">
        <v>1476</v>
      </c>
      <c r="G355" s="11" t="s">
        <v>1453</v>
      </c>
      <c r="H355" s="11" t="s">
        <v>1479</v>
      </c>
      <c r="I355" s="11" t="s">
        <v>645</v>
      </c>
      <c r="J355" s="11" t="s">
        <v>650</v>
      </c>
      <c r="K355" s="11" t="s">
        <v>672</v>
      </c>
      <c r="L355" s="11" t="s">
        <v>1024</v>
      </c>
      <c r="M355" s="10">
        <v>20</v>
      </c>
      <c r="N355">
        <v>982.93</v>
      </c>
      <c r="O355" s="3">
        <v>2299.3000000000002</v>
      </c>
      <c r="P355" s="11" t="s">
        <v>1471</v>
      </c>
      <c r="Q355" s="4">
        <v>0.113</v>
      </c>
      <c r="R355" s="3">
        <v>40789.582000000002</v>
      </c>
      <c r="S355" s="3">
        <v>19658.599999999999</v>
      </c>
      <c r="T355" s="4">
        <v>0.51804850562087201</v>
      </c>
      <c r="U355" s="11" t="s">
        <v>657</v>
      </c>
      <c r="V355" s="3">
        <v>21130.982000000004</v>
      </c>
      <c r="W355" s="11" t="s">
        <v>1431</v>
      </c>
      <c r="X355" t="str">
        <f>TEXT(Table1_1[[#This Row],[OrderDate]],"mm yyyy")</f>
        <v>06 2025</v>
      </c>
      <c r="Y355" s="13">
        <f>DATE(YEAR(Table1_1[[#This Row],[OrderDate]]),MONTH(B355),1)</f>
        <v>45809</v>
      </c>
      <c r="Z355" s="2">
        <f t="shared" si="5"/>
        <v>44927</v>
      </c>
      <c r="AA355">
        <f>(YEAR(Table1_1[[#This Row],[OrderMonth]])-YEAR(Table1_1[[#This Row],[Firstmonth]]))*12+(MONTH(Table1_1[[#This Row],[OrderMonth]])-MONTH(Table1_1[[#This Row],[Firstmonth]]))</f>
        <v>29</v>
      </c>
    </row>
    <row r="356" spans="1:27" x14ac:dyDescent="0.25">
      <c r="A356" s="11" t="s">
        <v>169</v>
      </c>
      <c r="B356" s="2">
        <v>45703</v>
      </c>
      <c r="C356" s="2">
        <v>45703</v>
      </c>
      <c r="D356" s="11" t="s">
        <v>1413</v>
      </c>
      <c r="E356">
        <v>0</v>
      </c>
      <c r="F356" s="11" t="s">
        <v>1464</v>
      </c>
      <c r="G356" s="11" t="s">
        <v>1455</v>
      </c>
      <c r="H356" s="11" t="s">
        <v>1467</v>
      </c>
      <c r="I356" s="11" t="s">
        <v>646</v>
      </c>
      <c r="J356" s="11" t="s">
        <v>650</v>
      </c>
      <c r="K356" s="11" t="s">
        <v>674</v>
      </c>
      <c r="L356" s="11" t="s">
        <v>833</v>
      </c>
      <c r="M356" s="10">
        <v>10</v>
      </c>
      <c r="N356">
        <v>815.83</v>
      </c>
      <c r="O356" s="3">
        <v>1982.18</v>
      </c>
      <c r="P356" s="11" t="s">
        <v>1471</v>
      </c>
      <c r="Q356" s="4">
        <v>0.127</v>
      </c>
      <c r="R356" s="3">
        <v>17304.431399999998</v>
      </c>
      <c r="S356" s="3">
        <v>8158.3</v>
      </c>
      <c r="T356" s="4">
        <v>0.52854272923408496</v>
      </c>
      <c r="U356" s="11" t="s">
        <v>657</v>
      </c>
      <c r="V356" s="3">
        <v>9146.1313999999984</v>
      </c>
      <c r="W356" s="11" t="s">
        <v>1434</v>
      </c>
      <c r="X356" t="str">
        <f>TEXT(Table1_1[[#This Row],[OrderDate]],"mm yyyy")</f>
        <v>02 2025</v>
      </c>
      <c r="Y356" s="13">
        <f>DATE(YEAR(Table1_1[[#This Row],[OrderDate]]),MONTH(B356),1)</f>
        <v>45689</v>
      </c>
      <c r="Z356" s="2">
        <f t="shared" si="5"/>
        <v>44927</v>
      </c>
      <c r="AA356">
        <f>(YEAR(Table1_1[[#This Row],[OrderMonth]])-YEAR(Table1_1[[#This Row],[Firstmonth]]))*12+(MONTH(Table1_1[[#This Row],[OrderMonth]])-MONTH(Table1_1[[#This Row],[Firstmonth]]))</f>
        <v>25</v>
      </c>
    </row>
    <row r="357" spans="1:27" x14ac:dyDescent="0.25">
      <c r="A357" s="11" t="s">
        <v>574</v>
      </c>
      <c r="B357" s="2">
        <v>45692</v>
      </c>
      <c r="C357" s="2">
        <v>45696</v>
      </c>
      <c r="D357" s="11" t="s">
        <v>1413</v>
      </c>
      <c r="E357">
        <v>4</v>
      </c>
      <c r="F357" s="11" t="s">
        <v>1464</v>
      </c>
      <c r="G357" s="11" t="s">
        <v>1469</v>
      </c>
      <c r="H357" s="11" t="s">
        <v>1482</v>
      </c>
      <c r="I357" s="11" t="s">
        <v>647</v>
      </c>
      <c r="J357" s="11" t="s">
        <v>650</v>
      </c>
      <c r="K357" s="11" t="s">
        <v>670</v>
      </c>
      <c r="L357" s="11" t="s">
        <v>1237</v>
      </c>
      <c r="M357" s="10">
        <v>21</v>
      </c>
      <c r="N357">
        <v>586.21</v>
      </c>
      <c r="O357" s="3">
        <v>727.22</v>
      </c>
      <c r="P357" s="11" t="s">
        <v>1468</v>
      </c>
      <c r="Q357" s="4">
        <v>6.8000000000000005E-2</v>
      </c>
      <c r="R357" s="3">
        <v>14233.14984</v>
      </c>
      <c r="S357" s="3">
        <v>12310.41</v>
      </c>
      <c r="T357" s="4">
        <v>0.13508884973559701</v>
      </c>
      <c r="U357" s="11" t="s">
        <v>657</v>
      </c>
      <c r="V357" s="3">
        <v>1922.7398400000002</v>
      </c>
      <c r="W357" s="11" t="s">
        <v>1434</v>
      </c>
      <c r="X357" t="str">
        <f>TEXT(Table1_1[[#This Row],[OrderDate]],"mm yyyy")</f>
        <v>02 2025</v>
      </c>
      <c r="Y357" s="13">
        <f>DATE(YEAR(Table1_1[[#This Row],[OrderDate]]),MONTH(B357),1)</f>
        <v>45689</v>
      </c>
      <c r="Z357" s="2">
        <f t="shared" si="5"/>
        <v>44927</v>
      </c>
      <c r="AA357">
        <f>(YEAR(Table1_1[[#This Row],[OrderMonth]])-YEAR(Table1_1[[#This Row],[Firstmonth]]))*12+(MONTH(Table1_1[[#This Row],[OrderMonth]])-MONTH(Table1_1[[#This Row],[Firstmonth]]))</f>
        <v>25</v>
      </c>
    </row>
    <row r="358" spans="1:27" x14ac:dyDescent="0.25">
      <c r="A358" s="11" t="s">
        <v>448</v>
      </c>
      <c r="B358" s="2">
        <v>45290</v>
      </c>
      <c r="C358" s="2">
        <v>45299</v>
      </c>
      <c r="D358" s="11" t="s">
        <v>1413</v>
      </c>
      <c r="E358">
        <v>9</v>
      </c>
      <c r="F358" s="11" t="s">
        <v>1464</v>
      </c>
      <c r="G358" s="11" t="s">
        <v>1456</v>
      </c>
      <c r="H358" s="11" t="s">
        <v>1472</v>
      </c>
      <c r="I358" s="11" t="s">
        <v>645</v>
      </c>
      <c r="J358" s="11" t="s">
        <v>650</v>
      </c>
      <c r="K358" s="11" t="s">
        <v>674</v>
      </c>
      <c r="L358" s="11" t="s">
        <v>1112</v>
      </c>
      <c r="M358" s="10">
        <v>18</v>
      </c>
      <c r="N358">
        <v>861.1</v>
      </c>
      <c r="O358" s="3">
        <v>1224.72</v>
      </c>
      <c r="P358" s="11" t="s">
        <v>1466</v>
      </c>
      <c r="Q358" s="4">
        <v>0.17399999999999999</v>
      </c>
      <c r="R358" s="3">
        <v>18209.13696</v>
      </c>
      <c r="S358" s="3">
        <v>15499.800000000001</v>
      </c>
      <c r="T358" s="4">
        <v>0.14878997098827901</v>
      </c>
      <c r="U358" s="11" t="s">
        <v>657</v>
      </c>
      <c r="V358" s="3">
        <v>2709.3369599999987</v>
      </c>
      <c r="W358" s="11" t="s">
        <v>1439</v>
      </c>
      <c r="X358" t="str">
        <f>TEXT(Table1_1[[#This Row],[OrderDate]],"mm yyyy")</f>
        <v>12 2023</v>
      </c>
      <c r="Y358" s="13">
        <f>DATE(YEAR(Table1_1[[#This Row],[OrderDate]]),MONTH(B358),1)</f>
        <v>45261</v>
      </c>
      <c r="Z358" s="2">
        <f t="shared" si="5"/>
        <v>44958</v>
      </c>
      <c r="AA358">
        <f>(YEAR(Table1_1[[#This Row],[OrderMonth]])-YEAR(Table1_1[[#This Row],[Firstmonth]]))*12+(MONTH(Table1_1[[#This Row],[OrderMonth]])-MONTH(Table1_1[[#This Row],[Firstmonth]]))</f>
        <v>10</v>
      </c>
    </row>
    <row r="359" spans="1:27" x14ac:dyDescent="0.25">
      <c r="A359" s="11" t="s">
        <v>226</v>
      </c>
      <c r="B359" s="2">
        <v>45280</v>
      </c>
      <c r="C359" s="2">
        <v>45305</v>
      </c>
      <c r="D359" s="11" t="s">
        <v>1413</v>
      </c>
      <c r="E359">
        <v>25</v>
      </c>
      <c r="F359" s="11" t="s">
        <v>1476</v>
      </c>
      <c r="G359" s="11" t="s">
        <v>1453</v>
      </c>
      <c r="H359" s="11" t="s">
        <v>1493</v>
      </c>
      <c r="I359" s="11" t="s">
        <v>644</v>
      </c>
      <c r="J359" s="11" t="s">
        <v>650</v>
      </c>
      <c r="K359" s="11" t="s">
        <v>673</v>
      </c>
      <c r="L359" s="11" t="s">
        <v>891</v>
      </c>
      <c r="M359" s="10">
        <v>27</v>
      </c>
      <c r="N359">
        <v>1085.6099999999999</v>
      </c>
      <c r="O359" s="3">
        <v>1246.4100000000001</v>
      </c>
      <c r="P359" s="11" t="s">
        <v>1466</v>
      </c>
      <c r="Q359" s="4">
        <v>0.113</v>
      </c>
      <c r="R359" s="3">
        <v>29850.273089999999</v>
      </c>
      <c r="S359" s="3">
        <v>29311.469999999998</v>
      </c>
      <c r="T359" s="4">
        <v>1.8050189637310299E-2</v>
      </c>
      <c r="U359" s="11" t="s">
        <v>657</v>
      </c>
      <c r="V359" s="3">
        <v>538.80309000000125</v>
      </c>
      <c r="W359" s="11" t="s">
        <v>1439</v>
      </c>
      <c r="X359" t="str">
        <f>TEXT(Table1_1[[#This Row],[OrderDate]],"mm yyyy")</f>
        <v>12 2023</v>
      </c>
      <c r="Y359" s="13">
        <f>DATE(YEAR(Table1_1[[#This Row],[OrderDate]]),MONTH(B359),1)</f>
        <v>45261</v>
      </c>
      <c r="Z359" s="2">
        <f t="shared" si="5"/>
        <v>44927</v>
      </c>
      <c r="AA359">
        <f>(YEAR(Table1_1[[#This Row],[OrderMonth]])-YEAR(Table1_1[[#This Row],[Firstmonth]]))*12+(MONTH(Table1_1[[#This Row],[OrderMonth]])-MONTH(Table1_1[[#This Row],[Firstmonth]]))</f>
        <v>11</v>
      </c>
    </row>
    <row r="360" spans="1:27" x14ac:dyDescent="0.25">
      <c r="A360" s="11" t="s">
        <v>596</v>
      </c>
      <c r="B360" s="2">
        <v>45049</v>
      </c>
      <c r="C360" s="2">
        <v>45062</v>
      </c>
      <c r="D360" s="11" t="s">
        <v>1413</v>
      </c>
      <c r="E360">
        <v>13</v>
      </c>
      <c r="F360" s="11" t="s">
        <v>1473</v>
      </c>
      <c r="G360" s="11" t="s">
        <v>1516</v>
      </c>
      <c r="H360" s="11" t="s">
        <v>1517</v>
      </c>
      <c r="I360" s="11" t="s">
        <v>642</v>
      </c>
      <c r="J360" s="11" t="s">
        <v>650</v>
      </c>
      <c r="K360" s="11" t="s">
        <v>671</v>
      </c>
      <c r="L360" s="11" t="s">
        <v>1259</v>
      </c>
      <c r="M360" s="10">
        <v>5</v>
      </c>
      <c r="N360">
        <v>64.5</v>
      </c>
      <c r="O360" s="3">
        <v>123.62</v>
      </c>
      <c r="P360" s="11" t="s">
        <v>1468</v>
      </c>
      <c r="Q360" s="4">
        <v>0</v>
      </c>
      <c r="R360" s="3">
        <v>618.1</v>
      </c>
      <c r="S360" s="3">
        <v>322.5</v>
      </c>
      <c r="T360" s="4">
        <v>0.47823976702798898</v>
      </c>
      <c r="U360" s="11" t="s">
        <v>657</v>
      </c>
      <c r="V360" s="3">
        <v>295.60000000000002</v>
      </c>
      <c r="W360" s="11" t="s">
        <v>1435</v>
      </c>
      <c r="X360" t="str">
        <f>TEXT(Table1_1[[#This Row],[OrderDate]],"mm yyyy")</f>
        <v>05 2023</v>
      </c>
      <c r="Y360" s="13">
        <f>DATE(YEAR(Table1_1[[#This Row],[OrderDate]]),MONTH(B360),1)</f>
        <v>45047</v>
      </c>
      <c r="Z360" s="2">
        <f t="shared" si="5"/>
        <v>44958</v>
      </c>
      <c r="AA360">
        <f>(YEAR(Table1_1[[#This Row],[OrderMonth]])-YEAR(Table1_1[[#This Row],[Firstmonth]]))*12+(MONTH(Table1_1[[#This Row],[OrderMonth]])-MONTH(Table1_1[[#This Row],[Firstmonth]]))</f>
        <v>3</v>
      </c>
    </row>
    <row r="361" spans="1:27" x14ac:dyDescent="0.25">
      <c r="A361" s="11" t="s">
        <v>386</v>
      </c>
      <c r="B361" s="2">
        <v>45835</v>
      </c>
      <c r="C361" s="2">
        <v>45849</v>
      </c>
      <c r="D361" s="11" t="s">
        <v>1413</v>
      </c>
      <c r="E361">
        <v>14</v>
      </c>
      <c r="F361" s="11" t="s">
        <v>1476</v>
      </c>
      <c r="G361" s="11" t="s">
        <v>1457</v>
      </c>
      <c r="H361" s="11" t="s">
        <v>1511</v>
      </c>
      <c r="I361" s="11" t="s">
        <v>646</v>
      </c>
      <c r="J361" s="11" t="s">
        <v>650</v>
      </c>
      <c r="K361" s="11" t="s">
        <v>670</v>
      </c>
      <c r="L361" s="11" t="s">
        <v>1051</v>
      </c>
      <c r="M361" s="10">
        <v>13</v>
      </c>
      <c r="N361">
        <v>1227.7</v>
      </c>
      <c r="O361" s="3">
        <v>2197.23</v>
      </c>
      <c r="P361" s="11" t="s">
        <v>1471</v>
      </c>
      <c r="Q361" s="4">
        <v>9.9000000000000005E-2</v>
      </c>
      <c r="R361" s="3">
        <v>25736.154990000003</v>
      </c>
      <c r="S361" s="3">
        <v>15960.1</v>
      </c>
      <c r="T361" s="4">
        <v>0.37985685871873898</v>
      </c>
      <c r="U361" s="11" t="s">
        <v>657</v>
      </c>
      <c r="V361" s="3">
        <v>9776.0549900000024</v>
      </c>
      <c r="W361" s="11" t="s">
        <v>1431</v>
      </c>
      <c r="X361" t="str">
        <f>TEXT(Table1_1[[#This Row],[OrderDate]],"mm yyyy")</f>
        <v>06 2025</v>
      </c>
      <c r="Y361" s="13">
        <f>DATE(YEAR(Table1_1[[#This Row],[OrderDate]]),MONTH(B361),1)</f>
        <v>45809</v>
      </c>
      <c r="Z361" s="2">
        <f t="shared" si="5"/>
        <v>44927</v>
      </c>
      <c r="AA361">
        <f>(YEAR(Table1_1[[#This Row],[OrderMonth]])-YEAR(Table1_1[[#This Row],[Firstmonth]]))*12+(MONTH(Table1_1[[#This Row],[OrderMonth]])-MONTH(Table1_1[[#This Row],[Firstmonth]]))</f>
        <v>29</v>
      </c>
    </row>
    <row r="362" spans="1:27" x14ac:dyDescent="0.25">
      <c r="A362" s="11" t="s">
        <v>137</v>
      </c>
      <c r="B362" s="2">
        <v>45450</v>
      </c>
      <c r="C362" s="2">
        <v>45469</v>
      </c>
      <c r="D362" s="11" t="s">
        <v>1413</v>
      </c>
      <c r="E362">
        <v>19</v>
      </c>
      <c r="F362" s="11" t="s">
        <v>1464</v>
      </c>
      <c r="G362" s="11" t="s">
        <v>1455</v>
      </c>
      <c r="H362" s="11" t="s">
        <v>1465</v>
      </c>
      <c r="I362" s="11" t="s">
        <v>644</v>
      </c>
      <c r="J362" s="11" t="s">
        <v>650</v>
      </c>
      <c r="K362" s="11" t="s">
        <v>668</v>
      </c>
      <c r="L362" s="11" t="s">
        <v>801</v>
      </c>
      <c r="M362" s="10">
        <v>24</v>
      </c>
      <c r="N362">
        <v>1064.32</v>
      </c>
      <c r="O362" s="3">
        <v>1848.39</v>
      </c>
      <c r="P362" s="11" t="s">
        <v>1471</v>
      </c>
      <c r="Q362" s="4">
        <v>7.2999999999999995E-2</v>
      </c>
      <c r="R362" s="3">
        <v>41122.98072</v>
      </c>
      <c r="S362" s="3">
        <v>25543.68</v>
      </c>
      <c r="T362" s="4">
        <v>0.37884658279216299</v>
      </c>
      <c r="U362" s="11" t="s">
        <v>665</v>
      </c>
      <c r="V362" s="3">
        <v>15579.300719999999</v>
      </c>
      <c r="W362" s="11" t="s">
        <v>1436</v>
      </c>
      <c r="X362" t="str">
        <f>TEXT(Table1_1[[#This Row],[OrderDate]],"mm yyyy")</f>
        <v>06 2024</v>
      </c>
      <c r="Y362" s="13">
        <f>DATE(YEAR(Table1_1[[#This Row],[OrderDate]]),MONTH(B362),1)</f>
        <v>45444</v>
      </c>
      <c r="Z362" s="2">
        <f t="shared" si="5"/>
        <v>44927</v>
      </c>
      <c r="AA362">
        <f>(YEAR(Table1_1[[#This Row],[OrderMonth]])-YEAR(Table1_1[[#This Row],[Firstmonth]]))*12+(MONTH(Table1_1[[#This Row],[OrderMonth]])-MONTH(Table1_1[[#This Row],[Firstmonth]]))</f>
        <v>17</v>
      </c>
    </row>
    <row r="363" spans="1:27" x14ac:dyDescent="0.25">
      <c r="A363" s="11" t="s">
        <v>122</v>
      </c>
      <c r="B363" s="2">
        <v>45453</v>
      </c>
      <c r="C363" s="2">
        <v>45454</v>
      </c>
      <c r="D363" s="11" t="s">
        <v>1413</v>
      </c>
      <c r="E363">
        <v>1</v>
      </c>
      <c r="F363" s="11" t="s">
        <v>1464</v>
      </c>
      <c r="G363" s="11" t="s">
        <v>1469</v>
      </c>
      <c r="H363" s="11" t="s">
        <v>1507</v>
      </c>
      <c r="I363" s="11" t="s">
        <v>646</v>
      </c>
      <c r="J363" s="11" t="s">
        <v>650</v>
      </c>
      <c r="K363" s="11" t="s">
        <v>672</v>
      </c>
      <c r="L363" s="11" t="s">
        <v>786</v>
      </c>
      <c r="M363" s="10">
        <v>13</v>
      </c>
      <c r="N363">
        <v>1187.1300000000001</v>
      </c>
      <c r="O363" s="3">
        <v>1795.17</v>
      </c>
      <c r="P363" s="11" t="s">
        <v>1471</v>
      </c>
      <c r="Q363" s="4">
        <v>1.2E-2</v>
      </c>
      <c r="R363" s="3">
        <v>23057.163479999999</v>
      </c>
      <c r="S363" s="3">
        <v>15432.690000000002</v>
      </c>
      <c r="T363" s="4">
        <v>0.33067699271046702</v>
      </c>
      <c r="U363" s="11" t="s">
        <v>665</v>
      </c>
      <c r="V363" s="3">
        <v>7624.4734799999969</v>
      </c>
      <c r="W363" s="11" t="s">
        <v>1436</v>
      </c>
      <c r="X363" t="str">
        <f>TEXT(Table1_1[[#This Row],[OrderDate]],"mm yyyy")</f>
        <v>06 2024</v>
      </c>
      <c r="Y363" s="13">
        <f>DATE(YEAR(Table1_1[[#This Row],[OrderDate]]),MONTH(B363),1)</f>
        <v>45444</v>
      </c>
      <c r="Z363" s="2">
        <f t="shared" si="5"/>
        <v>44927</v>
      </c>
      <c r="AA363">
        <f>(YEAR(Table1_1[[#This Row],[OrderMonth]])-YEAR(Table1_1[[#This Row],[Firstmonth]]))*12+(MONTH(Table1_1[[#This Row],[OrderMonth]])-MONTH(Table1_1[[#This Row],[Firstmonth]]))</f>
        <v>17</v>
      </c>
    </row>
    <row r="364" spans="1:27" x14ac:dyDescent="0.25">
      <c r="A364" s="11" t="s">
        <v>539</v>
      </c>
      <c r="B364" s="2">
        <v>45162</v>
      </c>
      <c r="C364" s="2">
        <v>45189</v>
      </c>
      <c r="D364" s="11" t="s">
        <v>1413</v>
      </c>
      <c r="E364">
        <v>27</v>
      </c>
      <c r="F364" s="11" t="s">
        <v>1485</v>
      </c>
      <c r="G364" s="11" t="s">
        <v>1490</v>
      </c>
      <c r="H364" s="11" t="s">
        <v>1515</v>
      </c>
      <c r="I364" s="11" t="s">
        <v>646</v>
      </c>
      <c r="J364" s="11" t="s">
        <v>650</v>
      </c>
      <c r="K364" s="11" t="s">
        <v>669</v>
      </c>
      <c r="L364" s="11" t="s">
        <v>1203</v>
      </c>
      <c r="M364" s="10">
        <v>47</v>
      </c>
      <c r="N364">
        <v>1399.64</v>
      </c>
      <c r="O364" s="3">
        <v>3342.11</v>
      </c>
      <c r="P364" s="11" t="s">
        <v>1471</v>
      </c>
      <c r="Q364" s="4">
        <v>0</v>
      </c>
      <c r="R364" s="3">
        <v>157079.17000000001</v>
      </c>
      <c r="S364" s="3">
        <v>65783.08</v>
      </c>
      <c r="T364" s="4">
        <v>0.58121067229983503</v>
      </c>
      <c r="U364" s="11" t="s">
        <v>665</v>
      </c>
      <c r="V364" s="3">
        <v>91296.090000000011</v>
      </c>
      <c r="W364" s="11" t="s">
        <v>1430</v>
      </c>
      <c r="X364" t="str">
        <f>TEXT(Table1_1[[#This Row],[OrderDate]],"mm yyyy")</f>
        <v>08 2023</v>
      </c>
      <c r="Y364" s="13">
        <f>DATE(YEAR(Table1_1[[#This Row],[OrderDate]]),MONTH(B364),1)</f>
        <v>45139</v>
      </c>
      <c r="Z364" s="2">
        <f t="shared" si="5"/>
        <v>44958</v>
      </c>
      <c r="AA364">
        <f>(YEAR(Table1_1[[#This Row],[OrderMonth]])-YEAR(Table1_1[[#This Row],[Firstmonth]]))*12+(MONTH(Table1_1[[#This Row],[OrderMonth]])-MONTH(Table1_1[[#This Row],[Firstmonth]]))</f>
        <v>6</v>
      </c>
    </row>
    <row r="365" spans="1:27" x14ac:dyDescent="0.25">
      <c r="A365" s="11" t="s">
        <v>600</v>
      </c>
      <c r="B365" s="2">
        <v>45019</v>
      </c>
      <c r="C365" s="2">
        <v>45032</v>
      </c>
      <c r="D365" s="11" t="s">
        <v>1413</v>
      </c>
      <c r="E365">
        <v>13</v>
      </c>
      <c r="F365" s="11" t="s">
        <v>1464</v>
      </c>
      <c r="G365" s="11" t="s">
        <v>1456</v>
      </c>
      <c r="H365" s="11" t="s">
        <v>1472</v>
      </c>
      <c r="I365" s="11" t="s">
        <v>644</v>
      </c>
      <c r="J365" s="11" t="s">
        <v>650</v>
      </c>
      <c r="K365" s="11" t="s">
        <v>674</v>
      </c>
      <c r="L365" s="11" t="s">
        <v>1263</v>
      </c>
      <c r="M365" s="10">
        <v>9</v>
      </c>
      <c r="N365">
        <v>790.54</v>
      </c>
      <c r="O365" s="3">
        <v>601.49</v>
      </c>
      <c r="P365" s="11" t="s">
        <v>1468</v>
      </c>
      <c r="Q365" s="4">
        <v>0</v>
      </c>
      <c r="R365" s="3">
        <v>5413.41</v>
      </c>
      <c r="S365" s="3">
        <v>7114.86</v>
      </c>
      <c r="T365" s="4">
        <v>-0.31430281467688598</v>
      </c>
      <c r="U365" s="11" t="s">
        <v>665</v>
      </c>
      <c r="V365" s="3">
        <v>-1701.4499999999998</v>
      </c>
      <c r="W365" s="11" t="s">
        <v>1435</v>
      </c>
      <c r="X365" t="str">
        <f>TEXT(Table1_1[[#This Row],[OrderDate]],"mm yyyy")</f>
        <v>04 2023</v>
      </c>
      <c r="Y365" s="13">
        <f>DATE(YEAR(Table1_1[[#This Row],[OrderDate]]),MONTH(B365),1)</f>
        <v>45017</v>
      </c>
      <c r="Z365" s="2">
        <f t="shared" si="5"/>
        <v>44958</v>
      </c>
      <c r="AA365">
        <f>(YEAR(Table1_1[[#This Row],[OrderMonth]])-YEAR(Table1_1[[#This Row],[Firstmonth]]))*12+(MONTH(Table1_1[[#This Row],[OrderMonth]])-MONTH(Table1_1[[#This Row],[Firstmonth]]))</f>
        <v>2</v>
      </c>
    </row>
    <row r="366" spans="1:27" x14ac:dyDescent="0.25">
      <c r="A366" s="11" t="s">
        <v>39</v>
      </c>
      <c r="B366" s="2">
        <v>45030</v>
      </c>
      <c r="C366" s="2">
        <v>45060</v>
      </c>
      <c r="D366" s="11" t="s">
        <v>1413</v>
      </c>
      <c r="E366">
        <v>30</v>
      </c>
      <c r="F366" s="11" t="s">
        <v>1485</v>
      </c>
      <c r="G366" s="11" t="s">
        <v>1449</v>
      </c>
      <c r="H366" s="11" t="s">
        <v>1494</v>
      </c>
      <c r="I366" s="11" t="s">
        <v>645</v>
      </c>
      <c r="J366" s="11" t="s">
        <v>650</v>
      </c>
      <c r="K366" s="11" t="s">
        <v>671</v>
      </c>
      <c r="L366" s="11" t="s">
        <v>703</v>
      </c>
      <c r="M366" s="10">
        <v>19</v>
      </c>
      <c r="N366">
        <v>209.25</v>
      </c>
      <c r="O366" s="3">
        <v>434.8</v>
      </c>
      <c r="P366" s="11" t="s">
        <v>1468</v>
      </c>
      <c r="Q366" s="4">
        <v>0</v>
      </c>
      <c r="R366" s="3">
        <v>8261.2000000000007</v>
      </c>
      <c r="S366" s="3">
        <v>3975.75</v>
      </c>
      <c r="T366" s="4">
        <v>0.51874425022999104</v>
      </c>
      <c r="U366" s="11" t="s">
        <v>665</v>
      </c>
      <c r="V366" s="3">
        <v>4285.4500000000007</v>
      </c>
      <c r="W366" s="11" t="s">
        <v>1435</v>
      </c>
      <c r="X366" t="str">
        <f>TEXT(Table1_1[[#This Row],[OrderDate]],"mm yyyy")</f>
        <v>04 2023</v>
      </c>
      <c r="Y366" s="13">
        <f>DATE(YEAR(Table1_1[[#This Row],[OrderDate]]),MONTH(B366),1)</f>
        <v>45017</v>
      </c>
      <c r="Z366" s="2">
        <f t="shared" si="5"/>
        <v>44927</v>
      </c>
      <c r="AA366">
        <f>(YEAR(Table1_1[[#This Row],[OrderMonth]])-YEAR(Table1_1[[#This Row],[Firstmonth]]))*12+(MONTH(Table1_1[[#This Row],[OrderMonth]])-MONTH(Table1_1[[#This Row],[Firstmonth]]))</f>
        <v>3</v>
      </c>
    </row>
    <row r="367" spans="1:27" x14ac:dyDescent="0.25">
      <c r="A367" s="11" t="s">
        <v>258</v>
      </c>
      <c r="B367" s="2">
        <v>45604</v>
      </c>
      <c r="C367" s="2">
        <v>45604</v>
      </c>
      <c r="D367" s="11" t="s">
        <v>1413</v>
      </c>
      <c r="E367">
        <v>0</v>
      </c>
      <c r="F367" s="11" t="s">
        <v>1485</v>
      </c>
      <c r="G367" s="11" t="s">
        <v>1449</v>
      </c>
      <c r="H367" s="11" t="s">
        <v>1494</v>
      </c>
      <c r="I367" s="11" t="s">
        <v>647</v>
      </c>
      <c r="J367" s="11" t="s">
        <v>650</v>
      </c>
      <c r="K367" s="11" t="s">
        <v>670</v>
      </c>
      <c r="L367" s="11" t="s">
        <v>923</v>
      </c>
      <c r="M367" s="10">
        <v>18</v>
      </c>
      <c r="N367">
        <v>803.28</v>
      </c>
      <c r="O367" s="3">
        <v>1009</v>
      </c>
      <c r="P367" s="11" t="s">
        <v>1466</v>
      </c>
      <c r="Q367" s="4">
        <v>0.11</v>
      </c>
      <c r="R367" s="3">
        <v>16164.18</v>
      </c>
      <c r="S367" s="3">
        <v>14459.039999999999</v>
      </c>
      <c r="T367" s="4">
        <v>0.105488803020011</v>
      </c>
      <c r="U367" s="11" t="s">
        <v>665</v>
      </c>
      <c r="V367" s="3">
        <v>1705.1400000000012</v>
      </c>
      <c r="W367" s="11" t="s">
        <v>1440</v>
      </c>
      <c r="X367" t="str">
        <f>TEXT(Table1_1[[#This Row],[OrderDate]],"mm yyyy")</f>
        <v>11 2024</v>
      </c>
      <c r="Y367" s="13">
        <f>DATE(YEAR(Table1_1[[#This Row],[OrderDate]]),MONTH(B367),1)</f>
        <v>45597</v>
      </c>
      <c r="Z367" s="2">
        <f t="shared" si="5"/>
        <v>44927</v>
      </c>
      <c r="AA367">
        <f>(YEAR(Table1_1[[#This Row],[OrderMonth]])-YEAR(Table1_1[[#This Row],[Firstmonth]]))*12+(MONTH(Table1_1[[#This Row],[OrderMonth]])-MONTH(Table1_1[[#This Row],[Firstmonth]]))</f>
        <v>22</v>
      </c>
    </row>
    <row r="368" spans="1:27" x14ac:dyDescent="0.25">
      <c r="A368" s="11" t="s">
        <v>33</v>
      </c>
      <c r="B368" s="2">
        <v>45822</v>
      </c>
      <c r="C368" s="2">
        <v>45837</v>
      </c>
      <c r="D368" s="11" t="s">
        <v>1413</v>
      </c>
      <c r="E368">
        <v>15</v>
      </c>
      <c r="F368" s="11" t="s">
        <v>1485</v>
      </c>
      <c r="G368" s="11" t="s">
        <v>1495</v>
      </c>
      <c r="H368" s="11" t="s">
        <v>1496</v>
      </c>
      <c r="I368" s="11" t="s">
        <v>645</v>
      </c>
      <c r="J368" s="11" t="s">
        <v>650</v>
      </c>
      <c r="K368" s="11" t="s">
        <v>674</v>
      </c>
      <c r="L368" s="11" t="s">
        <v>697</v>
      </c>
      <c r="M368" s="10">
        <v>8</v>
      </c>
      <c r="N368">
        <v>730.99</v>
      </c>
      <c r="O368" s="3">
        <v>1242.8399999999999</v>
      </c>
      <c r="P368" s="11" t="s">
        <v>1466</v>
      </c>
      <c r="Q368" s="4">
        <v>0.12</v>
      </c>
      <c r="R368" s="3">
        <v>8749.5936000000002</v>
      </c>
      <c r="S368" s="3">
        <v>5847.92</v>
      </c>
      <c r="T368" s="4">
        <v>0.33163524303574499</v>
      </c>
      <c r="U368" s="11" t="s">
        <v>665</v>
      </c>
      <c r="V368" s="3">
        <v>2901.6736000000001</v>
      </c>
      <c r="W368" s="11" t="s">
        <v>1431</v>
      </c>
      <c r="X368" t="str">
        <f>TEXT(Table1_1[[#This Row],[OrderDate]],"mm yyyy")</f>
        <v>06 2025</v>
      </c>
      <c r="Y368" s="13">
        <f>DATE(YEAR(Table1_1[[#This Row],[OrderDate]]),MONTH(B368),1)</f>
        <v>45809</v>
      </c>
      <c r="Z368" s="2">
        <f t="shared" si="5"/>
        <v>45047</v>
      </c>
      <c r="AA368">
        <f>(YEAR(Table1_1[[#This Row],[OrderMonth]])-YEAR(Table1_1[[#This Row],[Firstmonth]]))*12+(MONTH(Table1_1[[#This Row],[OrderMonth]])-MONTH(Table1_1[[#This Row],[Firstmonth]]))</f>
        <v>25</v>
      </c>
    </row>
    <row r="369" spans="1:27" x14ac:dyDescent="0.25">
      <c r="A369" s="11" t="s">
        <v>559</v>
      </c>
      <c r="B369" s="2">
        <v>45486</v>
      </c>
      <c r="C369" s="2">
        <v>45507</v>
      </c>
      <c r="D369" s="11" t="s">
        <v>1413</v>
      </c>
      <c r="E369">
        <v>21</v>
      </c>
      <c r="F369" s="11" t="s">
        <v>1473</v>
      </c>
      <c r="G369" s="11" t="s">
        <v>1505</v>
      </c>
      <c r="H369" s="11" t="s">
        <v>1506</v>
      </c>
      <c r="I369" s="11" t="s">
        <v>642</v>
      </c>
      <c r="J369" s="11" t="s">
        <v>650</v>
      </c>
      <c r="K369" s="11" t="s">
        <v>673</v>
      </c>
      <c r="L369" s="11" t="s">
        <v>1222</v>
      </c>
      <c r="M369" s="10">
        <v>9</v>
      </c>
      <c r="N369">
        <v>702.98</v>
      </c>
      <c r="O369" s="3">
        <v>1104.8</v>
      </c>
      <c r="P369" s="11" t="s">
        <v>1466</v>
      </c>
      <c r="Q369" s="4">
        <v>0.17499999999999999</v>
      </c>
      <c r="R369" s="3">
        <v>8203.14</v>
      </c>
      <c r="S369" s="3">
        <v>6326.82</v>
      </c>
      <c r="T369" s="4">
        <v>0.228731924604481</v>
      </c>
      <c r="U369" s="11" t="s">
        <v>665</v>
      </c>
      <c r="V369" s="3">
        <v>1876.3199999999997</v>
      </c>
      <c r="W369" s="11" t="s">
        <v>1437</v>
      </c>
      <c r="X369" t="str">
        <f>TEXT(Table1_1[[#This Row],[OrderDate]],"mm yyyy")</f>
        <v>07 2024</v>
      </c>
      <c r="Y369" s="13">
        <f>DATE(YEAR(Table1_1[[#This Row],[OrderDate]]),MONTH(B369),1)</f>
        <v>45474</v>
      </c>
      <c r="Z369" s="2">
        <f t="shared" si="5"/>
        <v>45047</v>
      </c>
      <c r="AA369">
        <f>(YEAR(Table1_1[[#This Row],[OrderMonth]])-YEAR(Table1_1[[#This Row],[Firstmonth]]))*12+(MONTH(Table1_1[[#This Row],[OrderMonth]])-MONTH(Table1_1[[#This Row],[Firstmonth]]))</f>
        <v>14</v>
      </c>
    </row>
    <row r="370" spans="1:27" x14ac:dyDescent="0.25">
      <c r="A370" s="11" t="s">
        <v>145</v>
      </c>
      <c r="B370" s="2">
        <v>45647</v>
      </c>
      <c r="C370" s="2">
        <v>45652</v>
      </c>
      <c r="D370" s="11" t="s">
        <v>1413</v>
      </c>
      <c r="E370">
        <v>5</v>
      </c>
      <c r="F370" s="11" t="s">
        <v>1473</v>
      </c>
      <c r="G370" s="11" t="s">
        <v>1498</v>
      </c>
      <c r="H370" s="11" t="s">
        <v>1499</v>
      </c>
      <c r="I370" s="11" t="s">
        <v>645</v>
      </c>
      <c r="J370" s="11" t="s">
        <v>650</v>
      </c>
      <c r="K370" s="11" t="s">
        <v>669</v>
      </c>
      <c r="L370" s="11" t="s">
        <v>809</v>
      </c>
      <c r="M370" s="10">
        <v>5</v>
      </c>
      <c r="N370">
        <v>699.57</v>
      </c>
      <c r="O370" s="3">
        <v>572.71</v>
      </c>
      <c r="P370" s="11" t="s">
        <v>1468</v>
      </c>
      <c r="Q370" s="4">
        <v>0.192</v>
      </c>
      <c r="R370" s="3">
        <v>2313.7484000000004</v>
      </c>
      <c r="S370" s="3">
        <v>3497.8500000000004</v>
      </c>
      <c r="T370" s="4">
        <v>-0.51176765805651103</v>
      </c>
      <c r="U370" s="11" t="s">
        <v>665</v>
      </c>
      <c r="V370" s="3">
        <v>-1184.1016</v>
      </c>
      <c r="W370" s="11" t="s">
        <v>1440</v>
      </c>
      <c r="X370" t="str">
        <f>TEXT(Table1_1[[#This Row],[OrderDate]],"mm yyyy")</f>
        <v>12 2024</v>
      </c>
      <c r="Y370" s="13">
        <f>DATE(YEAR(Table1_1[[#This Row],[OrderDate]]),MONTH(B370),1)</f>
        <v>45627</v>
      </c>
      <c r="Z370" s="2">
        <f t="shared" si="5"/>
        <v>44927</v>
      </c>
      <c r="AA370">
        <f>(YEAR(Table1_1[[#This Row],[OrderMonth]])-YEAR(Table1_1[[#This Row],[Firstmonth]]))*12+(MONTH(Table1_1[[#This Row],[OrderMonth]])-MONTH(Table1_1[[#This Row],[Firstmonth]]))</f>
        <v>23</v>
      </c>
    </row>
    <row r="371" spans="1:27" x14ac:dyDescent="0.25">
      <c r="A371" s="11" t="s">
        <v>109</v>
      </c>
      <c r="B371" s="2">
        <v>45860</v>
      </c>
      <c r="C371" s="2">
        <v>45887</v>
      </c>
      <c r="D371" s="11" t="s">
        <v>1413</v>
      </c>
      <c r="E371">
        <v>27</v>
      </c>
      <c r="F371" s="11" t="s">
        <v>1476</v>
      </c>
      <c r="G371" s="11" t="s">
        <v>1457</v>
      </c>
      <c r="H371" s="11" t="s">
        <v>1513</v>
      </c>
      <c r="I371" s="11" t="s">
        <v>644</v>
      </c>
      <c r="J371" s="11" t="s">
        <v>650</v>
      </c>
      <c r="K371" s="11" t="s">
        <v>670</v>
      </c>
      <c r="L371" s="11" t="s">
        <v>773</v>
      </c>
      <c r="M371" s="10">
        <v>16</v>
      </c>
      <c r="N371">
        <v>547.32000000000005</v>
      </c>
      <c r="O371" s="3">
        <v>419.17</v>
      </c>
      <c r="P371" s="11" t="s">
        <v>1468</v>
      </c>
      <c r="Q371" s="4">
        <v>9.1999999999999998E-2</v>
      </c>
      <c r="R371" s="3">
        <v>6089.7017600000008</v>
      </c>
      <c r="S371" s="3">
        <v>8757.1200000000008</v>
      </c>
      <c r="T371" s="4">
        <v>-0.43802116181137901</v>
      </c>
      <c r="U371" s="11" t="s">
        <v>665</v>
      </c>
      <c r="V371" s="3">
        <v>-2667.41824</v>
      </c>
      <c r="W371" s="11" t="s">
        <v>1438</v>
      </c>
      <c r="X371" t="str">
        <f>TEXT(Table1_1[[#This Row],[OrderDate]],"mm yyyy")</f>
        <v>07 2025</v>
      </c>
      <c r="Y371" s="13">
        <f>DATE(YEAR(Table1_1[[#This Row],[OrderDate]]),MONTH(B371),1)</f>
        <v>45839</v>
      </c>
      <c r="Z371" s="2">
        <f t="shared" si="5"/>
        <v>44927</v>
      </c>
      <c r="AA371">
        <f>(YEAR(Table1_1[[#This Row],[OrderMonth]])-YEAR(Table1_1[[#This Row],[Firstmonth]]))*12+(MONTH(Table1_1[[#This Row],[OrderMonth]])-MONTH(Table1_1[[#This Row],[Firstmonth]]))</f>
        <v>30</v>
      </c>
    </row>
    <row r="372" spans="1:27" x14ac:dyDescent="0.25">
      <c r="A372" s="11" t="s">
        <v>187</v>
      </c>
      <c r="B372" s="2">
        <v>45165</v>
      </c>
      <c r="C372" s="2">
        <v>45180</v>
      </c>
      <c r="D372" s="11" t="s">
        <v>1413</v>
      </c>
      <c r="E372">
        <v>15</v>
      </c>
      <c r="F372" s="11" t="s">
        <v>1464</v>
      </c>
      <c r="G372" s="11" t="s">
        <v>1469</v>
      </c>
      <c r="H372" s="11" t="s">
        <v>1470</v>
      </c>
      <c r="I372" s="11" t="s">
        <v>645</v>
      </c>
      <c r="J372" s="11" t="s">
        <v>650</v>
      </c>
      <c r="K372" s="11" t="s">
        <v>669</v>
      </c>
      <c r="L372" s="11" t="s">
        <v>851</v>
      </c>
      <c r="M372" s="10">
        <v>6</v>
      </c>
      <c r="N372">
        <v>943.79</v>
      </c>
      <c r="O372" s="3">
        <v>1913.76</v>
      </c>
      <c r="P372" s="11" t="s">
        <v>1471</v>
      </c>
      <c r="Q372" s="4">
        <v>9.0999999999999998E-2</v>
      </c>
      <c r="R372" s="3">
        <v>10437.64704</v>
      </c>
      <c r="S372" s="3">
        <v>5662.74</v>
      </c>
      <c r="T372" s="4">
        <v>0.45746967891338097</v>
      </c>
      <c r="U372" s="11" t="s">
        <v>666</v>
      </c>
      <c r="V372" s="3">
        <v>4774.9070400000001</v>
      </c>
      <c r="W372" s="11" t="s">
        <v>1430</v>
      </c>
      <c r="X372" t="str">
        <f>TEXT(Table1_1[[#This Row],[OrderDate]],"mm yyyy")</f>
        <v>08 2023</v>
      </c>
      <c r="Y372" s="13">
        <f>DATE(YEAR(Table1_1[[#This Row],[OrderDate]]),MONTH(B372),1)</f>
        <v>45139</v>
      </c>
      <c r="Z372" s="2">
        <f t="shared" si="5"/>
        <v>44927</v>
      </c>
      <c r="AA372">
        <f>(YEAR(Table1_1[[#This Row],[OrderMonth]])-YEAR(Table1_1[[#This Row],[Firstmonth]]))*12+(MONTH(Table1_1[[#This Row],[OrderMonth]])-MONTH(Table1_1[[#This Row],[Firstmonth]]))</f>
        <v>7</v>
      </c>
    </row>
    <row r="373" spans="1:27" x14ac:dyDescent="0.25">
      <c r="A373" s="11" t="s">
        <v>285</v>
      </c>
      <c r="B373" s="2">
        <v>45316</v>
      </c>
      <c r="C373" s="2">
        <v>45318</v>
      </c>
      <c r="D373" s="11" t="s">
        <v>1413</v>
      </c>
      <c r="E373">
        <v>2</v>
      </c>
      <c r="F373" s="11" t="s">
        <v>1473</v>
      </c>
      <c r="G373" s="11" t="s">
        <v>1488</v>
      </c>
      <c r="H373" s="11" t="s">
        <v>1489</v>
      </c>
      <c r="I373" s="11" t="s">
        <v>644</v>
      </c>
      <c r="J373" s="11" t="s">
        <v>650</v>
      </c>
      <c r="K373" s="11" t="s">
        <v>672</v>
      </c>
      <c r="L373" s="11" t="s">
        <v>950</v>
      </c>
      <c r="M373" s="10">
        <v>11</v>
      </c>
      <c r="N373">
        <v>1410.97</v>
      </c>
      <c r="O373" s="3">
        <v>1650.75</v>
      </c>
      <c r="P373" s="11" t="s">
        <v>1471</v>
      </c>
      <c r="Q373" s="4">
        <v>0.13500000000000001</v>
      </c>
      <c r="R373" s="3">
        <v>15706.88625</v>
      </c>
      <c r="S373" s="3">
        <v>15520.67</v>
      </c>
      <c r="T373" s="4">
        <v>1.1855707556295499E-2</v>
      </c>
      <c r="U373" s="11" t="s">
        <v>666</v>
      </c>
      <c r="V373" s="3">
        <v>186.21624999999949</v>
      </c>
      <c r="W373" s="11" t="s">
        <v>1433</v>
      </c>
      <c r="X373" t="str">
        <f>TEXT(Table1_1[[#This Row],[OrderDate]],"mm yyyy")</f>
        <v>01 2024</v>
      </c>
      <c r="Y373" s="13">
        <f>DATE(YEAR(Table1_1[[#This Row],[OrderDate]]),MONTH(B373),1)</f>
        <v>45292</v>
      </c>
      <c r="Z373" s="2">
        <f t="shared" si="5"/>
        <v>44958</v>
      </c>
      <c r="AA373">
        <f>(YEAR(Table1_1[[#This Row],[OrderMonth]])-YEAR(Table1_1[[#This Row],[Firstmonth]]))*12+(MONTH(Table1_1[[#This Row],[OrderMonth]])-MONTH(Table1_1[[#This Row],[Firstmonth]]))</f>
        <v>11</v>
      </c>
    </row>
    <row r="374" spans="1:27" x14ac:dyDescent="0.25">
      <c r="A374" s="11" t="s">
        <v>19</v>
      </c>
      <c r="B374" s="2">
        <v>45416</v>
      </c>
      <c r="C374" s="2">
        <v>45441</v>
      </c>
      <c r="D374" s="11" t="s">
        <v>1413</v>
      </c>
      <c r="E374">
        <v>25</v>
      </c>
      <c r="F374" s="11" t="s">
        <v>1485</v>
      </c>
      <c r="G374" s="11" t="s">
        <v>1450</v>
      </c>
      <c r="H374" s="11" t="s">
        <v>1508</v>
      </c>
      <c r="I374" s="11" t="s">
        <v>644</v>
      </c>
      <c r="J374" s="11" t="s">
        <v>650</v>
      </c>
      <c r="K374" s="11" t="s">
        <v>673</v>
      </c>
      <c r="L374" s="11" t="s">
        <v>683</v>
      </c>
      <c r="M374" s="10">
        <v>23</v>
      </c>
      <c r="N374">
        <v>1295.3399999999999</v>
      </c>
      <c r="O374" s="3">
        <v>2530.81</v>
      </c>
      <c r="P374" s="11" t="s">
        <v>1471</v>
      </c>
      <c r="Q374" s="4">
        <v>3.1E-2</v>
      </c>
      <c r="R374" s="3">
        <v>56404.162469999996</v>
      </c>
      <c r="S374" s="3">
        <v>29792.82</v>
      </c>
      <c r="T374" s="4">
        <v>0.47179749338808002</v>
      </c>
      <c r="U374" s="11" t="s">
        <v>660</v>
      </c>
      <c r="V374" s="3">
        <v>26611.342469999996</v>
      </c>
      <c r="W374" s="11" t="s">
        <v>1436</v>
      </c>
      <c r="X374" t="str">
        <f>TEXT(Table1_1[[#This Row],[OrderDate]],"mm yyyy")</f>
        <v>05 2024</v>
      </c>
      <c r="Y374" s="13">
        <f>DATE(YEAR(Table1_1[[#This Row],[OrderDate]]),MONTH(B374),1)</f>
        <v>45413</v>
      </c>
      <c r="Z374" s="2">
        <f t="shared" si="5"/>
        <v>44927</v>
      </c>
      <c r="AA374">
        <f>(YEAR(Table1_1[[#This Row],[OrderMonth]])-YEAR(Table1_1[[#This Row],[Firstmonth]]))*12+(MONTH(Table1_1[[#This Row],[OrderMonth]])-MONTH(Table1_1[[#This Row],[Firstmonth]]))</f>
        <v>16</v>
      </c>
    </row>
    <row r="375" spans="1:27" x14ac:dyDescent="0.25">
      <c r="A375" s="11" t="s">
        <v>434</v>
      </c>
      <c r="B375" s="2">
        <v>45341</v>
      </c>
      <c r="C375" s="2">
        <v>45357</v>
      </c>
      <c r="D375" s="11" t="s">
        <v>1413</v>
      </c>
      <c r="E375">
        <v>16</v>
      </c>
      <c r="F375" s="11" t="s">
        <v>1476</v>
      </c>
      <c r="G375" s="11" t="s">
        <v>1457</v>
      </c>
      <c r="H375" s="11" t="s">
        <v>1477</v>
      </c>
      <c r="I375" s="11" t="s">
        <v>643</v>
      </c>
      <c r="J375" s="11" t="s">
        <v>650</v>
      </c>
      <c r="K375" s="11" t="s">
        <v>669</v>
      </c>
      <c r="L375" s="11" t="s">
        <v>1098</v>
      </c>
      <c r="M375" s="10">
        <v>17</v>
      </c>
      <c r="N375">
        <v>1477.84</v>
      </c>
      <c r="O375" s="3">
        <v>3197.47</v>
      </c>
      <c r="P375" s="11" t="s">
        <v>1471</v>
      </c>
      <c r="Q375" s="4">
        <v>0.24299999999999999</v>
      </c>
      <c r="R375" s="3">
        <v>41148.241430000002</v>
      </c>
      <c r="S375" s="3">
        <v>25123.279999999999</v>
      </c>
      <c r="T375" s="4">
        <v>0.38944462443823102</v>
      </c>
      <c r="U375" s="11" t="s">
        <v>660</v>
      </c>
      <c r="V375" s="3">
        <v>16024.961430000003</v>
      </c>
      <c r="W375" s="11" t="s">
        <v>1433</v>
      </c>
      <c r="X375" t="str">
        <f>TEXT(Table1_1[[#This Row],[OrderDate]],"mm yyyy")</f>
        <v>02 2024</v>
      </c>
      <c r="Y375" s="13">
        <f>DATE(YEAR(Table1_1[[#This Row],[OrderDate]]),MONTH(B375),1)</f>
        <v>45323</v>
      </c>
      <c r="Z375" s="2">
        <f t="shared" si="5"/>
        <v>44927</v>
      </c>
      <c r="AA375">
        <f>(YEAR(Table1_1[[#This Row],[OrderMonth]])-YEAR(Table1_1[[#This Row],[Firstmonth]]))*12+(MONTH(Table1_1[[#This Row],[OrderMonth]])-MONTH(Table1_1[[#This Row],[Firstmonth]]))</f>
        <v>13</v>
      </c>
    </row>
    <row r="376" spans="1:27" x14ac:dyDescent="0.25">
      <c r="A376" s="11" t="s">
        <v>633</v>
      </c>
      <c r="B376" s="2">
        <v>45857</v>
      </c>
      <c r="C376" s="2">
        <v>45869</v>
      </c>
      <c r="D376" s="11" t="s">
        <v>1413</v>
      </c>
      <c r="E376">
        <v>12</v>
      </c>
      <c r="F376" s="11" t="s">
        <v>1485</v>
      </c>
      <c r="G376" s="11" t="s">
        <v>1449</v>
      </c>
      <c r="H376" s="11" t="s">
        <v>1486</v>
      </c>
      <c r="I376" s="11" t="s">
        <v>646</v>
      </c>
      <c r="J376" s="11" t="s">
        <v>650</v>
      </c>
      <c r="K376" s="11" t="s">
        <v>674</v>
      </c>
      <c r="L376" s="11" t="s">
        <v>1296</v>
      </c>
      <c r="M376" s="10">
        <v>12</v>
      </c>
      <c r="N376">
        <v>619.64</v>
      </c>
      <c r="O376" s="3">
        <v>861.16</v>
      </c>
      <c r="P376" s="11" t="s">
        <v>1466</v>
      </c>
      <c r="Q376" s="4">
        <v>0.113</v>
      </c>
      <c r="R376" s="3">
        <v>9166.1870400000007</v>
      </c>
      <c r="S376" s="3">
        <v>7435.68</v>
      </c>
      <c r="T376" s="4">
        <v>0.188792464352768</v>
      </c>
      <c r="U376" s="11" t="s">
        <v>660</v>
      </c>
      <c r="V376" s="3">
        <v>1730.5070400000004</v>
      </c>
      <c r="W376" s="11" t="s">
        <v>1438</v>
      </c>
      <c r="X376" t="str">
        <f>TEXT(Table1_1[[#This Row],[OrderDate]],"mm yyyy")</f>
        <v>07 2025</v>
      </c>
      <c r="Y376" s="13">
        <f>DATE(YEAR(Table1_1[[#This Row],[OrderDate]]),MONTH(B376),1)</f>
        <v>45839</v>
      </c>
      <c r="Z376" s="2">
        <f t="shared" si="5"/>
        <v>44927</v>
      </c>
      <c r="AA376">
        <f>(YEAR(Table1_1[[#This Row],[OrderMonth]])-YEAR(Table1_1[[#This Row],[Firstmonth]]))*12+(MONTH(Table1_1[[#This Row],[OrderMonth]])-MONTH(Table1_1[[#This Row],[Firstmonth]]))</f>
        <v>30</v>
      </c>
    </row>
    <row r="377" spans="1:27" x14ac:dyDescent="0.25">
      <c r="A377" s="11" t="s">
        <v>393</v>
      </c>
      <c r="B377" s="2">
        <v>45097</v>
      </c>
      <c r="C377" s="2">
        <v>45115</v>
      </c>
      <c r="D377" s="11" t="s">
        <v>1413</v>
      </c>
      <c r="E377">
        <v>18</v>
      </c>
      <c r="F377" s="11" t="s">
        <v>1473</v>
      </c>
      <c r="G377" s="11" t="s">
        <v>1516</v>
      </c>
      <c r="H377" s="11" t="s">
        <v>1517</v>
      </c>
      <c r="I377" s="11" t="s">
        <v>645</v>
      </c>
      <c r="J377" s="11" t="s">
        <v>650</v>
      </c>
      <c r="K377" s="11" t="s">
        <v>670</v>
      </c>
      <c r="L377" s="11" t="s">
        <v>1057</v>
      </c>
      <c r="M377" s="10">
        <v>34</v>
      </c>
      <c r="N377">
        <v>1145.53</v>
      </c>
      <c r="O377" s="3">
        <v>1278.3</v>
      </c>
      <c r="P377" s="11" t="s">
        <v>1466</v>
      </c>
      <c r="Q377" s="4">
        <v>0.09</v>
      </c>
      <c r="R377" s="3">
        <v>39550.601999999999</v>
      </c>
      <c r="S377" s="3">
        <v>38948.019999999997</v>
      </c>
      <c r="T377" s="4">
        <v>1.5235722581416099E-2</v>
      </c>
      <c r="U377" s="11" t="s">
        <v>660</v>
      </c>
      <c r="V377" s="3">
        <v>602.58200000000215</v>
      </c>
      <c r="W377" s="11" t="s">
        <v>1435</v>
      </c>
      <c r="X377" t="str">
        <f>TEXT(Table1_1[[#This Row],[OrderDate]],"mm yyyy")</f>
        <v>06 2023</v>
      </c>
      <c r="Y377" s="13">
        <f>DATE(YEAR(Table1_1[[#This Row],[OrderDate]]),MONTH(B377),1)</f>
        <v>45078</v>
      </c>
      <c r="Z377" s="2">
        <f t="shared" si="5"/>
        <v>44958</v>
      </c>
      <c r="AA377">
        <f>(YEAR(Table1_1[[#This Row],[OrderMonth]])-YEAR(Table1_1[[#This Row],[Firstmonth]]))*12+(MONTH(Table1_1[[#This Row],[OrderMonth]])-MONTH(Table1_1[[#This Row],[Firstmonth]]))</f>
        <v>4</v>
      </c>
    </row>
    <row r="378" spans="1:27" x14ac:dyDescent="0.25">
      <c r="A378" s="11" t="s">
        <v>412</v>
      </c>
      <c r="B378" s="2">
        <v>45601</v>
      </c>
      <c r="C378" s="2">
        <v>45604</v>
      </c>
      <c r="D378" s="11" t="s">
        <v>1413</v>
      </c>
      <c r="E378">
        <v>3</v>
      </c>
      <c r="F378" s="11" t="s">
        <v>1473</v>
      </c>
      <c r="G378" s="11" t="s">
        <v>1452</v>
      </c>
      <c r="H378" s="11" t="s">
        <v>1474</v>
      </c>
      <c r="I378" s="11" t="s">
        <v>643</v>
      </c>
      <c r="J378" s="11" t="s">
        <v>650</v>
      </c>
      <c r="K378" s="11" t="s">
        <v>668</v>
      </c>
      <c r="L378" s="11" t="s">
        <v>1076</v>
      </c>
      <c r="M378" s="10">
        <v>22</v>
      </c>
      <c r="N378">
        <v>1020.4</v>
      </c>
      <c r="O378" s="3">
        <v>1184.71</v>
      </c>
      <c r="P378" s="11" t="s">
        <v>1466</v>
      </c>
      <c r="Q378" s="4">
        <v>0.106</v>
      </c>
      <c r="R378" s="3">
        <v>23300.876280000004</v>
      </c>
      <c r="S378" s="3">
        <v>22448.799999999999</v>
      </c>
      <c r="T378" s="4">
        <v>3.6568422138328498E-2</v>
      </c>
      <c r="U378" s="11" t="s">
        <v>660</v>
      </c>
      <c r="V378" s="3">
        <v>852.07628000000477</v>
      </c>
      <c r="W378" s="11" t="s">
        <v>1440</v>
      </c>
      <c r="X378" t="str">
        <f>TEXT(Table1_1[[#This Row],[OrderDate]],"mm yyyy")</f>
        <v>11 2024</v>
      </c>
      <c r="Y378" s="13">
        <f>DATE(YEAR(Table1_1[[#This Row],[OrderDate]]),MONTH(B378),1)</f>
        <v>45597</v>
      </c>
      <c r="Z378" s="2">
        <f t="shared" si="5"/>
        <v>44958</v>
      </c>
      <c r="AA378">
        <f>(YEAR(Table1_1[[#This Row],[OrderMonth]])-YEAR(Table1_1[[#This Row],[Firstmonth]]))*12+(MONTH(Table1_1[[#This Row],[OrderMonth]])-MONTH(Table1_1[[#This Row],[Firstmonth]]))</f>
        <v>21</v>
      </c>
    </row>
    <row r="379" spans="1:27" x14ac:dyDescent="0.25">
      <c r="A379" s="11" t="s">
        <v>425</v>
      </c>
      <c r="B379" s="2">
        <v>45167</v>
      </c>
      <c r="C379" s="2">
        <v>45182</v>
      </c>
      <c r="D379" s="11" t="s">
        <v>1413</v>
      </c>
      <c r="E379">
        <v>15</v>
      </c>
      <c r="F379" s="11" t="s">
        <v>1473</v>
      </c>
      <c r="G379" s="11" t="s">
        <v>1452</v>
      </c>
      <c r="H379" s="11" t="s">
        <v>1475</v>
      </c>
      <c r="I379" s="11" t="s">
        <v>646</v>
      </c>
      <c r="J379" s="11" t="s">
        <v>650</v>
      </c>
      <c r="K379" s="11" t="s">
        <v>669</v>
      </c>
      <c r="L379" s="11" t="s">
        <v>1089</v>
      </c>
      <c r="M379" s="10">
        <v>11</v>
      </c>
      <c r="N379">
        <v>1287.6400000000001</v>
      </c>
      <c r="O379" s="3">
        <v>2717.15</v>
      </c>
      <c r="P379" s="11" t="s">
        <v>1471</v>
      </c>
      <c r="Q379" s="4">
        <v>3.2000000000000001E-2</v>
      </c>
      <c r="R379" s="3">
        <v>28932.213200000002</v>
      </c>
      <c r="S379" s="3">
        <v>14164.04</v>
      </c>
      <c r="T379" s="4">
        <v>0.51044049405802105</v>
      </c>
      <c r="U379" s="11" t="s">
        <v>660</v>
      </c>
      <c r="V379" s="3">
        <v>14768.173200000001</v>
      </c>
      <c r="W379" s="11" t="s">
        <v>1430</v>
      </c>
      <c r="X379" t="str">
        <f>TEXT(Table1_1[[#This Row],[OrderDate]],"mm yyyy")</f>
        <v>08 2023</v>
      </c>
      <c r="Y379" s="13">
        <f>DATE(YEAR(Table1_1[[#This Row],[OrderDate]]),MONTH(B379),1)</f>
        <v>45139</v>
      </c>
      <c r="Z379" s="2">
        <f t="shared" si="5"/>
        <v>44958</v>
      </c>
      <c r="AA379">
        <f>(YEAR(Table1_1[[#This Row],[OrderMonth]])-YEAR(Table1_1[[#This Row],[Firstmonth]]))*12+(MONTH(Table1_1[[#This Row],[OrderMonth]])-MONTH(Table1_1[[#This Row],[Firstmonth]]))</f>
        <v>6</v>
      </c>
    </row>
    <row r="380" spans="1:27" x14ac:dyDescent="0.25">
      <c r="A380" s="11" t="s">
        <v>349</v>
      </c>
      <c r="B380" s="2">
        <v>45121</v>
      </c>
      <c r="C380" s="2">
        <v>45128</v>
      </c>
      <c r="D380" s="11" t="s">
        <v>1413</v>
      </c>
      <c r="E380">
        <v>7</v>
      </c>
      <c r="F380" s="11" t="s">
        <v>1485</v>
      </c>
      <c r="G380" s="11" t="s">
        <v>1490</v>
      </c>
      <c r="H380" s="11" t="s">
        <v>1515</v>
      </c>
      <c r="I380" s="11" t="s">
        <v>647</v>
      </c>
      <c r="J380" s="11" t="s">
        <v>650</v>
      </c>
      <c r="K380" s="11" t="s">
        <v>673</v>
      </c>
      <c r="L380" s="11" t="s">
        <v>1014</v>
      </c>
      <c r="M380" s="10">
        <v>7</v>
      </c>
      <c r="N380">
        <v>620.74</v>
      </c>
      <c r="O380" s="3">
        <v>1330.07</v>
      </c>
      <c r="P380" s="11" t="s">
        <v>1466</v>
      </c>
      <c r="Q380" s="4">
        <v>0.29899999999999999</v>
      </c>
      <c r="R380" s="3">
        <v>6526.6534900000006</v>
      </c>
      <c r="S380" s="3">
        <v>4345.18</v>
      </c>
      <c r="T380" s="4">
        <v>0.33424073965967499</v>
      </c>
      <c r="U380" s="11" t="s">
        <v>1366</v>
      </c>
      <c r="V380" s="3">
        <v>2181.4734900000003</v>
      </c>
      <c r="W380" s="11" t="s">
        <v>1430</v>
      </c>
      <c r="X380" t="str">
        <f>TEXT(Table1_1[[#This Row],[OrderDate]],"mm yyyy")</f>
        <v>07 2023</v>
      </c>
      <c r="Y380" s="13">
        <f>DATE(YEAR(Table1_1[[#This Row],[OrderDate]]),MONTH(B380),1)</f>
        <v>45108</v>
      </c>
      <c r="Z380" s="2">
        <f t="shared" si="5"/>
        <v>44958</v>
      </c>
      <c r="AA380">
        <f>(YEAR(Table1_1[[#This Row],[OrderMonth]])-YEAR(Table1_1[[#This Row],[Firstmonth]]))*12+(MONTH(Table1_1[[#This Row],[OrderMonth]])-MONTH(Table1_1[[#This Row],[Firstmonth]]))</f>
        <v>5</v>
      </c>
    </row>
    <row r="381" spans="1:27" x14ac:dyDescent="0.25">
      <c r="A381" s="11" t="s">
        <v>406</v>
      </c>
      <c r="B381" s="2">
        <v>45890</v>
      </c>
      <c r="C381" s="2">
        <v>45914</v>
      </c>
      <c r="D381" s="11" t="s">
        <v>1413</v>
      </c>
      <c r="E381">
        <v>24</v>
      </c>
      <c r="F381" s="11" t="s">
        <v>1464</v>
      </c>
      <c r="G381" s="11" t="s">
        <v>1455</v>
      </c>
      <c r="H381" s="11" t="s">
        <v>1465</v>
      </c>
      <c r="I381" s="11" t="s">
        <v>644</v>
      </c>
      <c r="J381" s="11" t="s">
        <v>649</v>
      </c>
      <c r="K381" s="11" t="s">
        <v>673</v>
      </c>
      <c r="L381" s="11" t="s">
        <v>1070</v>
      </c>
      <c r="M381" s="10">
        <v>18</v>
      </c>
      <c r="N381">
        <v>1397.67</v>
      </c>
      <c r="O381" s="3">
        <v>3131.37</v>
      </c>
      <c r="P381" s="11" t="s">
        <v>1471</v>
      </c>
      <c r="Q381" s="4">
        <v>0.10299999999999999</v>
      </c>
      <c r="R381" s="3">
        <v>50559.100019999998</v>
      </c>
      <c r="S381" s="3">
        <v>25158.06</v>
      </c>
      <c r="T381" s="4">
        <v>0.50240293062874797</v>
      </c>
      <c r="U381" s="11" t="s">
        <v>661</v>
      </c>
      <c r="V381" s="3">
        <v>25401.040019999997</v>
      </c>
      <c r="W381" s="11" t="s">
        <v>1438</v>
      </c>
      <c r="X381" t="str">
        <f>TEXT(Table1_1[[#This Row],[OrderDate]],"mm yyyy")</f>
        <v>08 2025</v>
      </c>
      <c r="Y381" s="13">
        <f>DATE(YEAR(Table1_1[[#This Row],[OrderDate]]),MONTH(B381),1)</f>
        <v>45870</v>
      </c>
      <c r="Z381" s="2">
        <f t="shared" si="5"/>
        <v>44927</v>
      </c>
      <c r="AA381">
        <f>(YEAR(Table1_1[[#This Row],[OrderMonth]])-YEAR(Table1_1[[#This Row],[Firstmonth]]))*12+(MONTH(Table1_1[[#This Row],[OrderMonth]])-MONTH(Table1_1[[#This Row],[Firstmonth]]))</f>
        <v>31</v>
      </c>
    </row>
    <row r="382" spans="1:27" x14ac:dyDescent="0.25">
      <c r="A382" s="11" t="s">
        <v>607</v>
      </c>
      <c r="B382" s="2">
        <v>44933</v>
      </c>
      <c r="C382" s="2">
        <v>44956</v>
      </c>
      <c r="D382" s="11" t="s">
        <v>1413</v>
      </c>
      <c r="E382">
        <v>23</v>
      </c>
      <c r="F382" s="11" t="s">
        <v>1485</v>
      </c>
      <c r="G382" s="11" t="s">
        <v>1501</v>
      </c>
      <c r="H382" s="11" t="s">
        <v>1502</v>
      </c>
      <c r="I382" s="11" t="s">
        <v>645</v>
      </c>
      <c r="J382" s="11" t="s">
        <v>649</v>
      </c>
      <c r="K382" s="11" t="s">
        <v>669</v>
      </c>
      <c r="L382" s="11" t="s">
        <v>1270</v>
      </c>
      <c r="M382" s="10">
        <v>25</v>
      </c>
      <c r="N382">
        <v>299.02</v>
      </c>
      <c r="O382" s="3">
        <v>724.7</v>
      </c>
      <c r="P382" s="11" t="s">
        <v>1468</v>
      </c>
      <c r="Q382" s="4">
        <v>0.14000000000000001</v>
      </c>
      <c r="R382" s="3">
        <v>15581.05</v>
      </c>
      <c r="S382" s="3">
        <v>7475.5</v>
      </c>
      <c r="T382" s="4">
        <v>0.52021847051386105</v>
      </c>
      <c r="U382" s="11" t="s">
        <v>661</v>
      </c>
      <c r="V382" s="3">
        <v>8105.5499999999993</v>
      </c>
      <c r="W382" s="11" t="s">
        <v>1432</v>
      </c>
      <c r="X382" t="str">
        <f>TEXT(Table1_1[[#This Row],[OrderDate]],"mm yyyy")</f>
        <v>01 2023</v>
      </c>
      <c r="Y382" s="13">
        <f>DATE(YEAR(Table1_1[[#This Row],[OrderDate]]),MONTH(B382),1)</f>
        <v>44927</v>
      </c>
      <c r="Z382" s="2">
        <f t="shared" si="5"/>
        <v>44927</v>
      </c>
      <c r="AA382">
        <f>(YEAR(Table1_1[[#This Row],[OrderMonth]])-YEAR(Table1_1[[#This Row],[Firstmonth]]))*12+(MONTH(Table1_1[[#This Row],[OrderMonth]])-MONTH(Table1_1[[#This Row],[Firstmonth]]))</f>
        <v>0</v>
      </c>
    </row>
    <row r="383" spans="1:27" x14ac:dyDescent="0.25">
      <c r="A383" s="11" t="s">
        <v>523</v>
      </c>
      <c r="B383" s="2">
        <v>45078</v>
      </c>
      <c r="C383" s="2">
        <v>45085</v>
      </c>
      <c r="D383" s="11" t="s">
        <v>1413</v>
      </c>
      <c r="E383">
        <v>7</v>
      </c>
      <c r="F383" s="11" t="s">
        <v>1464</v>
      </c>
      <c r="G383" s="11" t="s">
        <v>1455</v>
      </c>
      <c r="H383" s="11" t="s">
        <v>1467</v>
      </c>
      <c r="I383" s="11" t="s">
        <v>645</v>
      </c>
      <c r="J383" s="11" t="s">
        <v>649</v>
      </c>
      <c r="K383" s="11" t="s">
        <v>671</v>
      </c>
      <c r="L383" s="11" t="s">
        <v>1187</v>
      </c>
      <c r="M383" s="10">
        <v>14</v>
      </c>
      <c r="N383">
        <v>804.17</v>
      </c>
      <c r="O383" s="3">
        <v>1072.29</v>
      </c>
      <c r="P383" s="11" t="s">
        <v>1466</v>
      </c>
      <c r="Q383" s="4">
        <v>3.2000000000000001E-2</v>
      </c>
      <c r="R383" s="3">
        <v>14531.674079999999</v>
      </c>
      <c r="S383" s="3">
        <v>11258.38</v>
      </c>
      <c r="T383" s="4">
        <v>0.22525237367558701</v>
      </c>
      <c r="U383" s="11" t="s">
        <v>661</v>
      </c>
      <c r="V383" s="3">
        <v>3273.2940799999997</v>
      </c>
      <c r="W383" s="11" t="s">
        <v>1435</v>
      </c>
      <c r="X383" t="str">
        <f>TEXT(Table1_1[[#This Row],[OrderDate]],"mm yyyy")</f>
        <v>06 2023</v>
      </c>
      <c r="Y383" s="13">
        <f>DATE(YEAR(Table1_1[[#This Row],[OrderDate]]),MONTH(B383),1)</f>
        <v>45078</v>
      </c>
      <c r="Z383" s="2">
        <f t="shared" si="5"/>
        <v>44927</v>
      </c>
      <c r="AA383">
        <f>(YEAR(Table1_1[[#This Row],[OrderMonth]])-YEAR(Table1_1[[#This Row],[Firstmonth]]))*12+(MONTH(Table1_1[[#This Row],[OrderMonth]])-MONTH(Table1_1[[#This Row],[Firstmonth]]))</f>
        <v>5</v>
      </c>
    </row>
    <row r="384" spans="1:27" x14ac:dyDescent="0.25">
      <c r="A384" s="11" t="s">
        <v>518</v>
      </c>
      <c r="B384" s="2">
        <v>45029</v>
      </c>
      <c r="C384" s="2">
        <v>45036</v>
      </c>
      <c r="D384" s="11" t="s">
        <v>1413</v>
      </c>
      <c r="E384">
        <v>7</v>
      </c>
      <c r="F384" s="11" t="s">
        <v>1464</v>
      </c>
      <c r="G384" s="11" t="s">
        <v>1456</v>
      </c>
      <c r="H384" s="11" t="s">
        <v>1481</v>
      </c>
      <c r="I384" s="11" t="s">
        <v>646</v>
      </c>
      <c r="J384" s="11" t="s">
        <v>649</v>
      </c>
      <c r="K384" s="11" t="s">
        <v>672</v>
      </c>
      <c r="L384" s="11" t="s">
        <v>1182</v>
      </c>
      <c r="M384" s="10">
        <v>28</v>
      </c>
      <c r="N384">
        <v>227.02</v>
      </c>
      <c r="O384" s="3">
        <v>434.72</v>
      </c>
      <c r="P384" s="11" t="s">
        <v>1468</v>
      </c>
      <c r="Q384" s="4">
        <v>9.8000000000000004E-2</v>
      </c>
      <c r="R384" s="3">
        <v>10979.28832</v>
      </c>
      <c r="S384" s="3">
        <v>6356.56</v>
      </c>
      <c r="T384" s="4">
        <v>0.42104079838938002</v>
      </c>
      <c r="U384" s="11" t="s">
        <v>661</v>
      </c>
      <c r="V384" s="3">
        <v>4622.7283199999993</v>
      </c>
      <c r="W384" s="11" t="s">
        <v>1435</v>
      </c>
      <c r="X384" t="str">
        <f>TEXT(Table1_1[[#This Row],[OrderDate]],"mm yyyy")</f>
        <v>04 2023</v>
      </c>
      <c r="Y384" s="13">
        <f>DATE(YEAR(Table1_1[[#This Row],[OrderDate]]),MONTH(B384),1)</f>
        <v>45017</v>
      </c>
      <c r="Z384" s="2">
        <f t="shared" si="5"/>
        <v>44958</v>
      </c>
      <c r="AA384">
        <f>(YEAR(Table1_1[[#This Row],[OrderMonth]])-YEAR(Table1_1[[#This Row],[Firstmonth]]))*12+(MONTH(Table1_1[[#This Row],[OrderMonth]])-MONTH(Table1_1[[#This Row],[Firstmonth]]))</f>
        <v>2</v>
      </c>
    </row>
    <row r="385" spans="1:27" x14ac:dyDescent="0.25">
      <c r="A385" s="11" t="s">
        <v>70</v>
      </c>
      <c r="B385" s="2">
        <v>45779</v>
      </c>
      <c r="C385" s="2">
        <v>45790</v>
      </c>
      <c r="D385" s="11" t="s">
        <v>1413</v>
      </c>
      <c r="E385">
        <v>11</v>
      </c>
      <c r="F385" s="11" t="s">
        <v>1485</v>
      </c>
      <c r="G385" s="11" t="s">
        <v>1449</v>
      </c>
      <c r="H385" s="11" t="s">
        <v>1494</v>
      </c>
      <c r="I385" s="11" t="s">
        <v>646</v>
      </c>
      <c r="J385" s="11" t="s">
        <v>649</v>
      </c>
      <c r="K385" s="11" t="s">
        <v>674</v>
      </c>
      <c r="L385" s="11" t="s">
        <v>734</v>
      </c>
      <c r="M385" s="10">
        <v>41</v>
      </c>
      <c r="N385">
        <v>1057.5999999999999</v>
      </c>
      <c r="O385" s="3">
        <v>1437.06</v>
      </c>
      <c r="P385" s="11" t="s">
        <v>1466</v>
      </c>
      <c r="Q385" s="4">
        <v>0.20499999999999999</v>
      </c>
      <c r="R385" s="3">
        <v>46840.970699999998</v>
      </c>
      <c r="S385" s="3">
        <v>43361.599999999999</v>
      </c>
      <c r="T385" s="4">
        <v>7.4280499485891299E-2</v>
      </c>
      <c r="U385" s="11" t="s">
        <v>661</v>
      </c>
      <c r="V385" s="3">
        <v>3479.3706999999995</v>
      </c>
      <c r="W385" s="11" t="s">
        <v>1431</v>
      </c>
      <c r="X385" t="str">
        <f>TEXT(Table1_1[[#This Row],[OrderDate]],"mm yyyy")</f>
        <v>05 2025</v>
      </c>
      <c r="Y385" s="13">
        <f>DATE(YEAR(Table1_1[[#This Row],[OrderDate]]),MONTH(B385),1)</f>
        <v>45778</v>
      </c>
      <c r="Z385" s="2">
        <f t="shared" si="5"/>
        <v>44927</v>
      </c>
      <c r="AA385">
        <f>(YEAR(Table1_1[[#This Row],[OrderMonth]])-YEAR(Table1_1[[#This Row],[Firstmonth]]))*12+(MONTH(Table1_1[[#This Row],[OrderMonth]])-MONTH(Table1_1[[#This Row],[Firstmonth]]))</f>
        <v>28</v>
      </c>
    </row>
    <row r="386" spans="1:27" x14ac:dyDescent="0.25">
      <c r="A386" s="11" t="s">
        <v>49</v>
      </c>
      <c r="B386" s="2">
        <v>45401</v>
      </c>
      <c r="C386" s="2">
        <v>45418</v>
      </c>
      <c r="D386" s="11" t="s">
        <v>1413</v>
      </c>
      <c r="E386">
        <v>17</v>
      </c>
      <c r="F386" s="11" t="s">
        <v>1485</v>
      </c>
      <c r="G386" s="11" t="s">
        <v>1495</v>
      </c>
      <c r="H386" s="11" t="s">
        <v>1496</v>
      </c>
      <c r="I386" s="11" t="s">
        <v>644</v>
      </c>
      <c r="J386" s="11" t="s">
        <v>649</v>
      </c>
      <c r="K386" s="11" t="s">
        <v>669</v>
      </c>
      <c r="L386" s="11" t="s">
        <v>713</v>
      </c>
      <c r="M386" s="10">
        <v>18</v>
      </c>
      <c r="N386">
        <v>865.33</v>
      </c>
      <c r="O386" s="3">
        <v>1395.64</v>
      </c>
      <c r="P386" s="11" t="s">
        <v>1466</v>
      </c>
      <c r="Q386" s="4">
        <v>0.17499999999999999</v>
      </c>
      <c r="R386" s="3">
        <v>20725.254000000001</v>
      </c>
      <c r="S386" s="3">
        <v>15575.94</v>
      </c>
      <c r="T386" s="4">
        <v>0.248456014097584</v>
      </c>
      <c r="U386" s="11" t="s">
        <v>661</v>
      </c>
      <c r="V386" s="3">
        <v>5149.3140000000003</v>
      </c>
      <c r="W386" s="11" t="s">
        <v>1436</v>
      </c>
      <c r="X386" t="str">
        <f>TEXT(Table1_1[[#This Row],[OrderDate]],"mm yyyy")</f>
        <v>04 2024</v>
      </c>
      <c r="Y386" s="13">
        <f>DATE(YEAR(Table1_1[[#This Row],[OrderDate]]),MONTH(B386),1)</f>
        <v>45383</v>
      </c>
      <c r="Z386" s="2">
        <f t="shared" ref="Z386:Z449" si="6">_xlfn.MINIFS(Y386:Y1017,G386:G1017,G386)</f>
        <v>45047</v>
      </c>
      <c r="AA386">
        <f>(YEAR(Table1_1[[#This Row],[OrderMonth]])-YEAR(Table1_1[[#This Row],[Firstmonth]]))*12+(MONTH(Table1_1[[#This Row],[OrderMonth]])-MONTH(Table1_1[[#This Row],[Firstmonth]]))</f>
        <v>11</v>
      </c>
    </row>
    <row r="387" spans="1:27" x14ac:dyDescent="0.25">
      <c r="A387" s="11" t="s">
        <v>577</v>
      </c>
      <c r="B387" s="2">
        <v>45834</v>
      </c>
      <c r="C387" s="2">
        <v>45849</v>
      </c>
      <c r="D387" s="11" t="s">
        <v>1413</v>
      </c>
      <c r="E387">
        <v>15</v>
      </c>
      <c r="F387" s="11" t="s">
        <v>1485</v>
      </c>
      <c r="G387" s="11" t="s">
        <v>1495</v>
      </c>
      <c r="H387" s="11" t="s">
        <v>1496</v>
      </c>
      <c r="I387" s="11" t="s">
        <v>646</v>
      </c>
      <c r="J387" s="11" t="s">
        <v>649</v>
      </c>
      <c r="K387" s="11" t="s">
        <v>672</v>
      </c>
      <c r="L387" s="11" t="s">
        <v>1240</v>
      </c>
      <c r="M387" s="10">
        <v>31</v>
      </c>
      <c r="N387">
        <v>1170.1500000000001</v>
      </c>
      <c r="O387" s="3">
        <v>2115.19</v>
      </c>
      <c r="P387" s="11" t="s">
        <v>1471</v>
      </c>
      <c r="Q387" s="4">
        <v>9.1999999999999998E-2</v>
      </c>
      <c r="R387" s="3">
        <v>59538.368119999999</v>
      </c>
      <c r="S387" s="3">
        <v>36274.65</v>
      </c>
      <c r="T387" s="4">
        <v>0.39073489674946799</v>
      </c>
      <c r="U387" s="11" t="s">
        <v>661</v>
      </c>
      <c r="V387" s="3">
        <v>23263.718119999998</v>
      </c>
      <c r="W387" s="11" t="s">
        <v>1431</v>
      </c>
      <c r="X387" t="str">
        <f>TEXT(Table1_1[[#This Row],[OrderDate]],"mm yyyy")</f>
        <v>06 2025</v>
      </c>
      <c r="Y387" s="13">
        <f>DATE(YEAR(Table1_1[[#This Row],[OrderDate]]),MONTH(B387),1)</f>
        <v>45809</v>
      </c>
      <c r="Z387" s="2">
        <f t="shared" si="6"/>
        <v>45047</v>
      </c>
      <c r="AA387">
        <f>(YEAR(Table1_1[[#This Row],[OrderMonth]])-YEAR(Table1_1[[#This Row],[Firstmonth]]))*12+(MONTH(Table1_1[[#This Row],[OrderMonth]])-MONTH(Table1_1[[#This Row],[Firstmonth]]))</f>
        <v>25</v>
      </c>
    </row>
    <row r="388" spans="1:27" x14ac:dyDescent="0.25">
      <c r="A388" s="11" t="s">
        <v>140</v>
      </c>
      <c r="B388" s="2">
        <v>44948</v>
      </c>
      <c r="C388" s="2">
        <v>44956</v>
      </c>
      <c r="D388" s="11" t="s">
        <v>1413</v>
      </c>
      <c r="E388">
        <v>8</v>
      </c>
      <c r="F388" s="11" t="s">
        <v>1473</v>
      </c>
      <c r="G388" s="11" t="s">
        <v>1498</v>
      </c>
      <c r="H388" s="11" t="s">
        <v>1499</v>
      </c>
      <c r="I388" s="11" t="s">
        <v>646</v>
      </c>
      <c r="J388" s="11" t="s">
        <v>649</v>
      </c>
      <c r="K388" s="11" t="s">
        <v>670</v>
      </c>
      <c r="L388" s="11" t="s">
        <v>804</v>
      </c>
      <c r="M388" s="10">
        <v>18</v>
      </c>
      <c r="N388">
        <v>413.52</v>
      </c>
      <c r="O388" s="3">
        <v>1004.34</v>
      </c>
      <c r="P388" s="11" t="s">
        <v>1466</v>
      </c>
      <c r="Q388" s="4">
        <v>0.111</v>
      </c>
      <c r="R388" s="3">
        <v>16071.44868</v>
      </c>
      <c r="S388" s="3">
        <v>7443.36</v>
      </c>
      <c r="T388" s="4">
        <v>0.53685817948304604</v>
      </c>
      <c r="U388" s="11" t="s">
        <v>661</v>
      </c>
      <c r="V388" s="3">
        <v>8628.0886800000007</v>
      </c>
      <c r="W388" s="11" t="s">
        <v>1432</v>
      </c>
      <c r="X388" t="str">
        <f>TEXT(Table1_1[[#This Row],[OrderDate]],"mm yyyy")</f>
        <v>01 2023</v>
      </c>
      <c r="Y388" s="13">
        <f>DATE(YEAR(Table1_1[[#This Row],[OrderDate]]),MONTH(B388),1)</f>
        <v>44927</v>
      </c>
      <c r="Z388" s="2">
        <f t="shared" si="6"/>
        <v>44927</v>
      </c>
      <c r="AA388">
        <f>(YEAR(Table1_1[[#This Row],[OrderMonth]])-YEAR(Table1_1[[#This Row],[Firstmonth]]))*12+(MONTH(Table1_1[[#This Row],[OrderMonth]])-MONTH(Table1_1[[#This Row],[Firstmonth]]))</f>
        <v>0</v>
      </c>
    </row>
    <row r="389" spans="1:27" x14ac:dyDescent="0.25">
      <c r="A389" s="11" t="s">
        <v>333</v>
      </c>
      <c r="B389" s="2">
        <v>45340</v>
      </c>
      <c r="C389" s="2">
        <v>45362</v>
      </c>
      <c r="D389" s="11" t="s">
        <v>1413</v>
      </c>
      <c r="E389">
        <v>22</v>
      </c>
      <c r="F389" s="11" t="s">
        <v>1473</v>
      </c>
      <c r="G389" s="11" t="s">
        <v>1488</v>
      </c>
      <c r="H389" s="11" t="s">
        <v>1489</v>
      </c>
      <c r="I389" s="11" t="s">
        <v>645</v>
      </c>
      <c r="J389" s="11" t="s">
        <v>649</v>
      </c>
      <c r="K389" s="11" t="s">
        <v>668</v>
      </c>
      <c r="L389" s="11" t="s">
        <v>998</v>
      </c>
      <c r="M389" s="10">
        <v>14</v>
      </c>
      <c r="N389">
        <v>80.48</v>
      </c>
      <c r="O389" s="3">
        <v>65.650000000000006</v>
      </c>
      <c r="P389" s="11" t="s">
        <v>1468</v>
      </c>
      <c r="Q389" s="4">
        <v>0.17599999999999999</v>
      </c>
      <c r="R389" s="3">
        <v>757.33840000000021</v>
      </c>
      <c r="S389" s="3">
        <v>1126.72</v>
      </c>
      <c r="T389" s="4">
        <v>-0.48773652570634202</v>
      </c>
      <c r="U389" s="11" t="s">
        <v>661</v>
      </c>
      <c r="V389" s="3">
        <v>-369.38159999999982</v>
      </c>
      <c r="W389" s="11" t="s">
        <v>1433</v>
      </c>
      <c r="X389" t="str">
        <f>TEXT(Table1_1[[#This Row],[OrderDate]],"mm yyyy")</f>
        <v>02 2024</v>
      </c>
      <c r="Y389" s="13">
        <f>DATE(YEAR(Table1_1[[#This Row],[OrderDate]]),MONTH(B389),1)</f>
        <v>45323</v>
      </c>
      <c r="Z389" s="2">
        <f t="shared" si="6"/>
        <v>44958</v>
      </c>
      <c r="AA389">
        <f>(YEAR(Table1_1[[#This Row],[OrderMonth]])-YEAR(Table1_1[[#This Row],[Firstmonth]]))*12+(MONTH(Table1_1[[#This Row],[OrderMonth]])-MONTH(Table1_1[[#This Row],[Firstmonth]]))</f>
        <v>12</v>
      </c>
    </row>
    <row r="390" spans="1:27" x14ac:dyDescent="0.25">
      <c r="A390" s="11" t="s">
        <v>20</v>
      </c>
      <c r="B390" s="2">
        <v>45798</v>
      </c>
      <c r="C390" s="2">
        <v>45817</v>
      </c>
      <c r="D390" s="11" t="s">
        <v>1413</v>
      </c>
      <c r="E390">
        <v>19</v>
      </c>
      <c r="F390" s="11" t="s">
        <v>1473</v>
      </c>
      <c r="G390" s="11" t="s">
        <v>1488</v>
      </c>
      <c r="H390" s="11" t="s">
        <v>1489</v>
      </c>
      <c r="I390" s="11" t="s">
        <v>644</v>
      </c>
      <c r="J390" s="11" t="s">
        <v>649</v>
      </c>
      <c r="K390" s="11" t="s">
        <v>668</v>
      </c>
      <c r="L390" s="11" t="s">
        <v>684</v>
      </c>
      <c r="M390" s="10">
        <v>17</v>
      </c>
      <c r="N390">
        <v>1331.38</v>
      </c>
      <c r="O390" s="3">
        <v>2309.56</v>
      </c>
      <c r="P390" s="11" t="s">
        <v>1471</v>
      </c>
      <c r="Q390" s="4">
        <v>0.14899999999999999</v>
      </c>
      <c r="R390" s="3">
        <v>33412.404519999996</v>
      </c>
      <c r="S390" s="3">
        <v>22633.460000000003</v>
      </c>
      <c r="T390" s="4">
        <v>0.32260307735553501</v>
      </c>
      <c r="U390" s="11" t="s">
        <v>661</v>
      </c>
      <c r="V390" s="3">
        <v>10778.944519999994</v>
      </c>
      <c r="W390" s="11" t="s">
        <v>1431</v>
      </c>
      <c r="X390" t="str">
        <f>TEXT(Table1_1[[#This Row],[OrderDate]],"mm yyyy")</f>
        <v>05 2025</v>
      </c>
      <c r="Y390" s="13">
        <f>DATE(YEAR(Table1_1[[#This Row],[OrderDate]]),MONTH(B390),1)</f>
        <v>45778</v>
      </c>
      <c r="Z390" s="2">
        <f t="shared" si="6"/>
        <v>44958</v>
      </c>
      <c r="AA390">
        <f>(YEAR(Table1_1[[#This Row],[OrderMonth]])-YEAR(Table1_1[[#This Row],[Firstmonth]]))*12+(MONTH(Table1_1[[#This Row],[OrderMonth]])-MONTH(Table1_1[[#This Row],[Firstmonth]]))</f>
        <v>27</v>
      </c>
    </row>
    <row r="391" spans="1:27" x14ac:dyDescent="0.25">
      <c r="A391" s="11" t="s">
        <v>440</v>
      </c>
      <c r="B391" s="2">
        <v>45597</v>
      </c>
      <c r="C391" s="2">
        <v>45608</v>
      </c>
      <c r="D391" s="11" t="s">
        <v>1413</v>
      </c>
      <c r="E391">
        <v>11</v>
      </c>
      <c r="F391" s="11" t="s">
        <v>1464</v>
      </c>
      <c r="G391" s="11" t="s">
        <v>1455</v>
      </c>
      <c r="H391" s="11" t="s">
        <v>1467</v>
      </c>
      <c r="I391" s="11" t="s">
        <v>645</v>
      </c>
      <c r="J391" s="11" t="s">
        <v>649</v>
      </c>
      <c r="K391" s="11" t="s">
        <v>669</v>
      </c>
      <c r="L391" s="11" t="s">
        <v>1104</v>
      </c>
      <c r="M391" s="10">
        <v>11</v>
      </c>
      <c r="N391">
        <v>599.84</v>
      </c>
      <c r="O391" s="3">
        <v>1330.85</v>
      </c>
      <c r="P391" s="11" t="s">
        <v>1466</v>
      </c>
      <c r="Q391" s="4">
        <v>0.115</v>
      </c>
      <c r="R391" s="3">
        <v>12955.824749999998</v>
      </c>
      <c r="S391" s="3">
        <v>6598.2400000000007</v>
      </c>
      <c r="T391" s="4">
        <v>0.49071246892252102</v>
      </c>
      <c r="U391" s="11" t="s">
        <v>658</v>
      </c>
      <c r="V391" s="3">
        <v>6357.5847499999973</v>
      </c>
      <c r="W391" s="11" t="s">
        <v>1440</v>
      </c>
      <c r="X391" t="str">
        <f>TEXT(Table1_1[[#This Row],[OrderDate]],"mm yyyy")</f>
        <v>11 2024</v>
      </c>
      <c r="Y391" s="13">
        <f>DATE(YEAR(Table1_1[[#This Row],[OrderDate]]),MONTH(B391),1)</f>
        <v>45597</v>
      </c>
      <c r="Z391" s="2">
        <f t="shared" si="6"/>
        <v>44927</v>
      </c>
      <c r="AA391">
        <f>(YEAR(Table1_1[[#This Row],[OrderMonth]])-YEAR(Table1_1[[#This Row],[Firstmonth]]))*12+(MONTH(Table1_1[[#This Row],[OrderMonth]])-MONTH(Table1_1[[#This Row],[Firstmonth]]))</f>
        <v>22</v>
      </c>
    </row>
    <row r="392" spans="1:27" x14ac:dyDescent="0.25">
      <c r="A392" s="11" t="s">
        <v>207</v>
      </c>
      <c r="B392" s="2">
        <v>45333</v>
      </c>
      <c r="C392" s="2">
        <v>45354</v>
      </c>
      <c r="D392" s="11" t="s">
        <v>1413</v>
      </c>
      <c r="E392">
        <v>21</v>
      </c>
      <c r="F392" s="11" t="s">
        <v>1485</v>
      </c>
      <c r="G392" s="11" t="s">
        <v>1449</v>
      </c>
      <c r="H392" s="11" t="s">
        <v>1512</v>
      </c>
      <c r="I392" s="11" t="s">
        <v>647</v>
      </c>
      <c r="J392" s="11" t="s">
        <v>649</v>
      </c>
      <c r="K392" s="11" t="s">
        <v>671</v>
      </c>
      <c r="L392" s="11" t="s">
        <v>872</v>
      </c>
      <c r="M392" s="10">
        <v>11</v>
      </c>
      <c r="N392">
        <v>516.86</v>
      </c>
      <c r="O392" s="3">
        <v>852.54</v>
      </c>
      <c r="P392" s="11" t="s">
        <v>1466</v>
      </c>
      <c r="Q392" s="4">
        <v>5.0999999999999997E-2</v>
      </c>
      <c r="R392" s="3">
        <v>8899.6650599999975</v>
      </c>
      <c r="S392" s="3">
        <v>5685.46</v>
      </c>
      <c r="T392" s="4">
        <v>0.36116022775355999</v>
      </c>
      <c r="U392" s="11" t="s">
        <v>658</v>
      </c>
      <c r="V392" s="3">
        <v>3214.2050599999975</v>
      </c>
      <c r="W392" s="11" t="s">
        <v>1433</v>
      </c>
      <c r="X392" t="str">
        <f>TEXT(Table1_1[[#This Row],[OrderDate]],"mm yyyy")</f>
        <v>02 2024</v>
      </c>
      <c r="Y392" s="13">
        <f>DATE(YEAR(Table1_1[[#This Row],[OrderDate]]),MONTH(B392),1)</f>
        <v>45323</v>
      </c>
      <c r="Z392" s="2">
        <f t="shared" si="6"/>
        <v>44927</v>
      </c>
      <c r="AA392">
        <f>(YEAR(Table1_1[[#This Row],[OrderMonth]])-YEAR(Table1_1[[#This Row],[Firstmonth]]))*12+(MONTH(Table1_1[[#This Row],[OrderMonth]])-MONTH(Table1_1[[#This Row],[Firstmonth]]))</f>
        <v>13</v>
      </c>
    </row>
    <row r="393" spans="1:27" x14ac:dyDescent="0.25">
      <c r="A393" s="11" t="s">
        <v>309</v>
      </c>
      <c r="B393" s="2">
        <v>45679</v>
      </c>
      <c r="C393" s="2">
        <v>45679</v>
      </c>
      <c r="D393" s="11" t="s">
        <v>1413</v>
      </c>
      <c r="E393">
        <v>0</v>
      </c>
      <c r="F393" s="11" t="s">
        <v>1464</v>
      </c>
      <c r="G393" s="11" t="s">
        <v>1456</v>
      </c>
      <c r="H393" s="11" t="s">
        <v>1481</v>
      </c>
      <c r="I393" s="11" t="s">
        <v>646</v>
      </c>
      <c r="J393" s="11" t="s">
        <v>649</v>
      </c>
      <c r="K393" s="11" t="s">
        <v>674</v>
      </c>
      <c r="L393" s="11" t="s">
        <v>974</v>
      </c>
      <c r="M393" s="10">
        <v>5</v>
      </c>
      <c r="N393">
        <v>591.72</v>
      </c>
      <c r="O393" s="3">
        <v>577.24</v>
      </c>
      <c r="P393" s="11" t="s">
        <v>1468</v>
      </c>
      <c r="Q393" s="4">
        <v>0</v>
      </c>
      <c r="R393" s="3">
        <v>2886.2</v>
      </c>
      <c r="S393" s="3">
        <v>2958.6000000000004</v>
      </c>
      <c r="T393" s="4">
        <v>-2.50848867022384E-2</v>
      </c>
      <c r="U393" s="11" t="s">
        <v>658</v>
      </c>
      <c r="V393" s="3">
        <v>-72.400000000000546</v>
      </c>
      <c r="W393" s="11" t="s">
        <v>1434</v>
      </c>
      <c r="X393" t="str">
        <f>TEXT(Table1_1[[#This Row],[OrderDate]],"mm yyyy")</f>
        <v>01 2025</v>
      </c>
      <c r="Y393" s="13">
        <f>DATE(YEAR(Table1_1[[#This Row],[OrderDate]]),MONTH(B393),1)</f>
        <v>45658</v>
      </c>
      <c r="Z393" s="2">
        <f t="shared" si="6"/>
        <v>44958</v>
      </c>
      <c r="AA393">
        <f>(YEAR(Table1_1[[#This Row],[OrderMonth]])-YEAR(Table1_1[[#This Row],[Firstmonth]]))*12+(MONTH(Table1_1[[#This Row],[OrderMonth]])-MONTH(Table1_1[[#This Row],[Firstmonth]]))</f>
        <v>23</v>
      </c>
    </row>
    <row r="394" spans="1:27" x14ac:dyDescent="0.25">
      <c r="A394" s="11" t="s">
        <v>47</v>
      </c>
      <c r="B394" s="2">
        <v>45358</v>
      </c>
      <c r="C394" s="2">
        <v>45376</v>
      </c>
      <c r="D394" s="11" t="s">
        <v>1413</v>
      </c>
      <c r="E394">
        <v>18</v>
      </c>
      <c r="F394" s="11" t="s">
        <v>1464</v>
      </c>
      <c r="G394" s="11" t="s">
        <v>1455</v>
      </c>
      <c r="H394" s="11" t="s">
        <v>1483</v>
      </c>
      <c r="I394" s="11" t="s">
        <v>642</v>
      </c>
      <c r="J394" s="11" t="s">
        <v>649</v>
      </c>
      <c r="K394" s="11" t="s">
        <v>668</v>
      </c>
      <c r="L394" s="11" t="s">
        <v>711</v>
      </c>
      <c r="M394" s="10">
        <v>35</v>
      </c>
      <c r="N394">
        <v>712.84</v>
      </c>
      <c r="O394" s="3">
        <v>927.51</v>
      </c>
      <c r="P394" s="11" t="s">
        <v>1466</v>
      </c>
      <c r="Q394" s="4">
        <v>0.24299999999999999</v>
      </c>
      <c r="R394" s="3">
        <v>24574.37745</v>
      </c>
      <c r="S394" s="3">
        <v>24949.4</v>
      </c>
      <c r="T394" s="4">
        <v>-1.5260714163076399E-2</v>
      </c>
      <c r="U394" s="11" t="s">
        <v>658</v>
      </c>
      <c r="V394" s="3">
        <v>-375.0225500000015</v>
      </c>
      <c r="W394" s="11" t="s">
        <v>1433</v>
      </c>
      <c r="X394" t="str">
        <f>TEXT(Table1_1[[#This Row],[OrderDate]],"mm yyyy")</f>
        <v>03 2024</v>
      </c>
      <c r="Y394" s="13">
        <f>DATE(YEAR(Table1_1[[#This Row],[OrderDate]]),MONTH(B394),1)</f>
        <v>45352</v>
      </c>
      <c r="Z394" s="2">
        <f t="shared" si="6"/>
        <v>44927</v>
      </c>
      <c r="AA394">
        <f>(YEAR(Table1_1[[#This Row],[OrderMonth]])-YEAR(Table1_1[[#This Row],[Firstmonth]]))*12+(MONTH(Table1_1[[#This Row],[OrderMonth]])-MONTH(Table1_1[[#This Row],[Firstmonth]]))</f>
        <v>14</v>
      </c>
    </row>
    <row r="395" spans="1:27" x14ac:dyDescent="0.25">
      <c r="A395" s="11" t="s">
        <v>384</v>
      </c>
      <c r="B395" s="2">
        <v>45429</v>
      </c>
      <c r="C395" s="2">
        <v>45439</v>
      </c>
      <c r="D395" s="11" t="s">
        <v>1413</v>
      </c>
      <c r="E395">
        <v>10</v>
      </c>
      <c r="F395" s="11" t="s">
        <v>1473</v>
      </c>
      <c r="G395" s="11" t="s">
        <v>1458</v>
      </c>
      <c r="H395" s="11" t="s">
        <v>1500</v>
      </c>
      <c r="I395" s="11" t="s">
        <v>644</v>
      </c>
      <c r="J395" s="11" t="s">
        <v>649</v>
      </c>
      <c r="K395" s="11" t="s">
        <v>671</v>
      </c>
      <c r="L395" s="11" t="s">
        <v>1049</v>
      </c>
      <c r="M395" s="10">
        <v>9</v>
      </c>
      <c r="N395">
        <v>1484.23</v>
      </c>
      <c r="O395" s="3">
        <v>3472.81</v>
      </c>
      <c r="P395" s="11" t="s">
        <v>1471</v>
      </c>
      <c r="Q395" s="4">
        <v>0.25600000000000001</v>
      </c>
      <c r="R395" s="3">
        <v>23253.93576</v>
      </c>
      <c r="S395" s="3">
        <v>13358.07</v>
      </c>
      <c r="T395" s="4">
        <v>0.42555659661803402</v>
      </c>
      <c r="U395" s="11" t="s">
        <v>653</v>
      </c>
      <c r="V395" s="3">
        <v>9895.8657600000006</v>
      </c>
      <c r="W395" s="11" t="s">
        <v>1436</v>
      </c>
      <c r="X395" t="str">
        <f>TEXT(Table1_1[[#This Row],[OrderDate]],"mm yyyy")</f>
        <v>05 2024</v>
      </c>
      <c r="Y395" s="13">
        <f>DATE(YEAR(Table1_1[[#This Row],[OrderDate]]),MONTH(B395),1)</f>
        <v>45413</v>
      </c>
      <c r="Z395" s="2">
        <f t="shared" si="6"/>
        <v>45292</v>
      </c>
      <c r="AA395">
        <f>(YEAR(Table1_1[[#This Row],[OrderMonth]])-YEAR(Table1_1[[#This Row],[Firstmonth]]))*12+(MONTH(Table1_1[[#This Row],[OrderMonth]])-MONTH(Table1_1[[#This Row],[Firstmonth]]))</f>
        <v>4</v>
      </c>
    </row>
    <row r="396" spans="1:27" x14ac:dyDescent="0.25">
      <c r="A396" s="11" t="s">
        <v>144</v>
      </c>
      <c r="B396" s="2">
        <v>45666</v>
      </c>
      <c r="C396" s="2">
        <v>45672</v>
      </c>
      <c r="D396" s="11" t="s">
        <v>1413</v>
      </c>
      <c r="E396">
        <v>6</v>
      </c>
      <c r="F396" s="11" t="s">
        <v>1476</v>
      </c>
      <c r="G396" s="11" t="s">
        <v>1457</v>
      </c>
      <c r="H396" s="11" t="s">
        <v>1477</v>
      </c>
      <c r="I396" s="11" t="s">
        <v>643</v>
      </c>
      <c r="J396" s="11" t="s">
        <v>649</v>
      </c>
      <c r="K396" s="11" t="s">
        <v>671</v>
      </c>
      <c r="L396" s="11" t="s">
        <v>808</v>
      </c>
      <c r="M396" s="10">
        <v>8</v>
      </c>
      <c r="N396">
        <v>304.77999999999997</v>
      </c>
      <c r="O396" s="3">
        <v>537.27</v>
      </c>
      <c r="P396" s="11" t="s">
        <v>1468</v>
      </c>
      <c r="Q396" s="4">
        <v>0.187</v>
      </c>
      <c r="R396" s="3">
        <v>3494.4040799999998</v>
      </c>
      <c r="S396" s="3">
        <v>2438.2399999999998</v>
      </c>
      <c r="T396" s="4">
        <v>0.30224440443075501</v>
      </c>
      <c r="U396" s="11" t="s">
        <v>653</v>
      </c>
      <c r="V396" s="3">
        <v>1056.16408</v>
      </c>
      <c r="W396" s="11" t="s">
        <v>1434</v>
      </c>
      <c r="X396" t="str">
        <f>TEXT(Table1_1[[#This Row],[OrderDate]],"mm yyyy")</f>
        <v>01 2025</v>
      </c>
      <c r="Y396" s="13">
        <f>DATE(YEAR(Table1_1[[#This Row],[OrderDate]]),MONTH(B396),1)</f>
        <v>45658</v>
      </c>
      <c r="Z396" s="2">
        <f t="shared" si="6"/>
        <v>44927</v>
      </c>
      <c r="AA396">
        <f>(YEAR(Table1_1[[#This Row],[OrderMonth]])-YEAR(Table1_1[[#This Row],[Firstmonth]]))*12+(MONTH(Table1_1[[#This Row],[OrderMonth]])-MONTH(Table1_1[[#This Row],[Firstmonth]]))</f>
        <v>24</v>
      </c>
    </row>
    <row r="397" spans="1:27" x14ac:dyDescent="0.25">
      <c r="A397" s="11" t="s">
        <v>241</v>
      </c>
      <c r="B397" s="2">
        <v>45771</v>
      </c>
      <c r="C397" s="2">
        <v>45783</v>
      </c>
      <c r="D397" s="11" t="s">
        <v>1413</v>
      </c>
      <c r="E397">
        <v>12</v>
      </c>
      <c r="F397" s="11" t="s">
        <v>1473</v>
      </c>
      <c r="G397" s="11" t="s">
        <v>1454</v>
      </c>
      <c r="H397" s="11" t="s">
        <v>1478</v>
      </c>
      <c r="I397" s="11" t="s">
        <v>645</v>
      </c>
      <c r="J397" s="11" t="s">
        <v>649</v>
      </c>
      <c r="K397" s="11" t="s">
        <v>671</v>
      </c>
      <c r="L397" s="11" t="s">
        <v>906</v>
      </c>
      <c r="M397" s="10">
        <v>19</v>
      </c>
      <c r="N397">
        <v>394.13</v>
      </c>
      <c r="O397" s="3">
        <v>932.29</v>
      </c>
      <c r="P397" s="11" t="s">
        <v>1466</v>
      </c>
      <c r="Q397" s="4">
        <v>0.109</v>
      </c>
      <c r="R397" s="3">
        <v>15782.73741</v>
      </c>
      <c r="S397" s="3">
        <v>7488.47</v>
      </c>
      <c r="T397" s="4">
        <v>0.52552780893032702</v>
      </c>
      <c r="U397" s="11" t="s">
        <v>653</v>
      </c>
      <c r="V397" s="3">
        <v>8294.2674100000004</v>
      </c>
      <c r="W397" s="11" t="s">
        <v>1431</v>
      </c>
      <c r="X397" t="str">
        <f>TEXT(Table1_1[[#This Row],[OrderDate]],"mm yyyy")</f>
        <v>04 2025</v>
      </c>
      <c r="Y397" s="13">
        <f>DATE(YEAR(Table1_1[[#This Row],[OrderDate]]),MONTH(B397),1)</f>
        <v>45748</v>
      </c>
      <c r="Z397" s="2">
        <f t="shared" si="6"/>
        <v>45413</v>
      </c>
      <c r="AA397">
        <f>(YEAR(Table1_1[[#This Row],[OrderMonth]])-YEAR(Table1_1[[#This Row],[Firstmonth]]))*12+(MONTH(Table1_1[[#This Row],[OrderMonth]])-MONTH(Table1_1[[#This Row],[Firstmonth]]))</f>
        <v>11</v>
      </c>
    </row>
    <row r="398" spans="1:27" x14ac:dyDescent="0.25">
      <c r="A398" s="11" t="s">
        <v>148</v>
      </c>
      <c r="B398" s="2">
        <v>45016</v>
      </c>
      <c r="C398" s="2">
        <v>45028</v>
      </c>
      <c r="D398" s="11" t="s">
        <v>1413</v>
      </c>
      <c r="E398">
        <v>12</v>
      </c>
      <c r="F398" s="11" t="s">
        <v>1485</v>
      </c>
      <c r="G398" s="11" t="s">
        <v>1449</v>
      </c>
      <c r="H398" s="11" t="s">
        <v>1503</v>
      </c>
      <c r="I398" s="11" t="s">
        <v>646</v>
      </c>
      <c r="J398" s="11" t="s">
        <v>649</v>
      </c>
      <c r="K398" s="11" t="s">
        <v>671</v>
      </c>
      <c r="L398" s="11" t="s">
        <v>812</v>
      </c>
      <c r="M398" s="10">
        <v>20</v>
      </c>
      <c r="N398">
        <v>304.22000000000003</v>
      </c>
      <c r="O398" s="3">
        <v>393.31</v>
      </c>
      <c r="P398" s="11" t="s">
        <v>1468</v>
      </c>
      <c r="Q398" s="4">
        <v>0.26500000000000001</v>
      </c>
      <c r="R398" s="3">
        <v>5781.6570000000002</v>
      </c>
      <c r="S398" s="3">
        <v>6084.4000000000005</v>
      </c>
      <c r="T398" s="4">
        <v>-5.2362670424758902E-2</v>
      </c>
      <c r="U398" s="11" t="s">
        <v>653</v>
      </c>
      <c r="V398" s="3">
        <v>-302.74300000000039</v>
      </c>
      <c r="W398" s="11" t="s">
        <v>1432</v>
      </c>
      <c r="X398" t="str">
        <f>TEXT(Table1_1[[#This Row],[OrderDate]],"mm yyyy")</f>
        <v>03 2023</v>
      </c>
      <c r="Y398" s="13">
        <f>DATE(YEAR(Table1_1[[#This Row],[OrderDate]]),MONTH(B398),1)</f>
        <v>44986</v>
      </c>
      <c r="Z398" s="2">
        <f t="shared" si="6"/>
        <v>44927</v>
      </c>
      <c r="AA398">
        <f>(YEAR(Table1_1[[#This Row],[OrderMonth]])-YEAR(Table1_1[[#This Row],[Firstmonth]]))*12+(MONTH(Table1_1[[#This Row],[OrderMonth]])-MONTH(Table1_1[[#This Row],[Firstmonth]]))</f>
        <v>2</v>
      </c>
    </row>
    <row r="399" spans="1:27" x14ac:dyDescent="0.25">
      <c r="A399" s="11" t="s">
        <v>579</v>
      </c>
      <c r="B399" s="2">
        <v>45342</v>
      </c>
      <c r="C399" s="2">
        <v>45342</v>
      </c>
      <c r="D399" s="11" t="s">
        <v>1413</v>
      </c>
      <c r="E399">
        <v>0</v>
      </c>
      <c r="F399" s="11" t="s">
        <v>1473</v>
      </c>
      <c r="G399" s="11" t="s">
        <v>1516</v>
      </c>
      <c r="H399" s="11" t="s">
        <v>1517</v>
      </c>
      <c r="I399" s="11" t="s">
        <v>647</v>
      </c>
      <c r="J399" s="11" t="s">
        <v>649</v>
      </c>
      <c r="K399" s="11" t="s">
        <v>670</v>
      </c>
      <c r="L399" s="11" t="s">
        <v>1242</v>
      </c>
      <c r="M399" s="10">
        <v>17</v>
      </c>
      <c r="N399">
        <v>1407.05</v>
      </c>
      <c r="O399" s="3">
        <v>2858.93</v>
      </c>
      <c r="P399" s="11" t="s">
        <v>1471</v>
      </c>
      <c r="Q399" s="4">
        <v>0</v>
      </c>
      <c r="R399" s="3">
        <v>48601.81</v>
      </c>
      <c r="S399" s="3">
        <v>23919.85</v>
      </c>
      <c r="T399" s="4">
        <v>0.507840345863662</v>
      </c>
      <c r="U399" s="11" t="s">
        <v>653</v>
      </c>
      <c r="V399" s="3">
        <v>24681.96</v>
      </c>
      <c r="W399" s="11" t="s">
        <v>1433</v>
      </c>
      <c r="X399" t="str">
        <f>TEXT(Table1_1[[#This Row],[OrderDate]],"mm yyyy")</f>
        <v>02 2024</v>
      </c>
      <c r="Y399" s="13">
        <f>DATE(YEAR(Table1_1[[#This Row],[OrderDate]]),MONTH(B399),1)</f>
        <v>45323</v>
      </c>
      <c r="Z399" s="2">
        <f t="shared" si="6"/>
        <v>44958</v>
      </c>
      <c r="AA399">
        <f>(YEAR(Table1_1[[#This Row],[OrderMonth]])-YEAR(Table1_1[[#This Row],[Firstmonth]]))*12+(MONTH(Table1_1[[#This Row],[OrderMonth]])-MONTH(Table1_1[[#This Row],[Firstmonth]]))</f>
        <v>12</v>
      </c>
    </row>
    <row r="400" spans="1:27" x14ac:dyDescent="0.25">
      <c r="A400" s="11" t="s">
        <v>509</v>
      </c>
      <c r="B400" s="2">
        <v>45908</v>
      </c>
      <c r="C400" s="2">
        <v>45935</v>
      </c>
      <c r="D400" s="11" t="s">
        <v>1413</v>
      </c>
      <c r="E400">
        <v>27</v>
      </c>
      <c r="F400" s="11" t="s">
        <v>1473</v>
      </c>
      <c r="G400" s="11" t="s">
        <v>1505</v>
      </c>
      <c r="H400" s="11" t="s">
        <v>1506</v>
      </c>
      <c r="I400" s="11" t="s">
        <v>643</v>
      </c>
      <c r="J400" s="11" t="s">
        <v>649</v>
      </c>
      <c r="K400" s="11" t="s">
        <v>673</v>
      </c>
      <c r="L400" s="11" t="s">
        <v>1173</v>
      </c>
      <c r="M400" s="10">
        <v>5</v>
      </c>
      <c r="N400">
        <v>660.78</v>
      </c>
      <c r="O400" s="3">
        <v>1630.39</v>
      </c>
      <c r="P400" s="11" t="s">
        <v>1466</v>
      </c>
      <c r="Q400" s="4">
        <v>0.218</v>
      </c>
      <c r="R400" s="3">
        <v>6374.8249000000005</v>
      </c>
      <c r="S400" s="3">
        <v>3303.8999999999996</v>
      </c>
      <c r="T400" s="4">
        <v>0.48172694123724102</v>
      </c>
      <c r="U400" s="11" t="s">
        <v>653</v>
      </c>
      <c r="V400" s="3">
        <v>3070.9249000000009</v>
      </c>
      <c r="W400" s="11" t="s">
        <v>1438</v>
      </c>
      <c r="X400" t="str">
        <f>TEXT(Table1_1[[#This Row],[OrderDate]],"mm yyyy")</f>
        <v>09 2025</v>
      </c>
      <c r="Y400" s="13">
        <f>DATE(YEAR(Table1_1[[#This Row],[OrderDate]]),MONTH(B400),1)</f>
        <v>45901</v>
      </c>
      <c r="Z400" s="2">
        <f t="shared" si="6"/>
        <v>45047</v>
      </c>
      <c r="AA400">
        <f>(YEAR(Table1_1[[#This Row],[OrderMonth]])-YEAR(Table1_1[[#This Row],[Firstmonth]]))*12+(MONTH(Table1_1[[#This Row],[OrderMonth]])-MONTH(Table1_1[[#This Row],[Firstmonth]]))</f>
        <v>28</v>
      </c>
    </row>
    <row r="401" spans="1:27" x14ac:dyDescent="0.25">
      <c r="A401" s="11" t="s">
        <v>455</v>
      </c>
      <c r="B401" s="2">
        <v>45090</v>
      </c>
      <c r="C401" s="2">
        <v>45101</v>
      </c>
      <c r="D401" s="11" t="s">
        <v>1413</v>
      </c>
      <c r="E401">
        <v>11</v>
      </c>
      <c r="F401" s="11" t="s">
        <v>1473</v>
      </c>
      <c r="G401" s="11" t="s">
        <v>1452</v>
      </c>
      <c r="H401" s="11" t="s">
        <v>1474</v>
      </c>
      <c r="I401" s="11" t="s">
        <v>642</v>
      </c>
      <c r="J401" s="11" t="s">
        <v>649</v>
      </c>
      <c r="K401" s="11" t="s">
        <v>669</v>
      </c>
      <c r="L401" s="11" t="s">
        <v>1119</v>
      </c>
      <c r="M401" s="10">
        <v>9</v>
      </c>
      <c r="N401">
        <v>247.07</v>
      </c>
      <c r="O401" s="3">
        <v>495.19</v>
      </c>
      <c r="P401" s="11" t="s">
        <v>1468</v>
      </c>
      <c r="Q401" s="4">
        <v>2.8000000000000001E-2</v>
      </c>
      <c r="R401" s="3">
        <v>4331.9221200000002</v>
      </c>
      <c r="S401" s="3">
        <v>2223.63</v>
      </c>
      <c r="T401" s="4">
        <v>0.48668744764968203</v>
      </c>
      <c r="U401" s="11" t="s">
        <v>653</v>
      </c>
      <c r="V401" s="3">
        <v>2108.2921200000001</v>
      </c>
      <c r="W401" s="11" t="s">
        <v>1435</v>
      </c>
      <c r="X401" t="str">
        <f>TEXT(Table1_1[[#This Row],[OrderDate]],"mm yyyy")</f>
        <v>06 2023</v>
      </c>
      <c r="Y401" s="13">
        <f>DATE(YEAR(Table1_1[[#This Row],[OrderDate]]),MONTH(B401),1)</f>
        <v>45078</v>
      </c>
      <c r="Z401" s="2">
        <f t="shared" si="6"/>
        <v>44958</v>
      </c>
      <c r="AA401">
        <f>(YEAR(Table1_1[[#This Row],[OrderMonth]])-YEAR(Table1_1[[#This Row],[Firstmonth]]))*12+(MONTH(Table1_1[[#This Row],[OrderMonth]])-MONTH(Table1_1[[#This Row],[Firstmonth]]))</f>
        <v>4</v>
      </c>
    </row>
    <row r="402" spans="1:27" x14ac:dyDescent="0.25">
      <c r="A402" s="11" t="s">
        <v>408</v>
      </c>
      <c r="B402" s="2">
        <v>45914</v>
      </c>
      <c r="C402" s="2">
        <v>45923</v>
      </c>
      <c r="D402" s="11" t="s">
        <v>1413</v>
      </c>
      <c r="E402">
        <v>9</v>
      </c>
      <c r="F402" s="11" t="s">
        <v>1485</v>
      </c>
      <c r="G402" s="11" t="s">
        <v>1490</v>
      </c>
      <c r="H402" s="11" t="s">
        <v>1515</v>
      </c>
      <c r="I402" s="11" t="s">
        <v>644</v>
      </c>
      <c r="J402" s="11" t="s">
        <v>649</v>
      </c>
      <c r="K402" s="11" t="s">
        <v>668</v>
      </c>
      <c r="L402" s="11" t="s">
        <v>1072</v>
      </c>
      <c r="M402" s="10">
        <v>14</v>
      </c>
      <c r="N402">
        <v>1310.3</v>
      </c>
      <c r="O402" s="3">
        <v>2875.8</v>
      </c>
      <c r="P402" s="11" t="s">
        <v>1471</v>
      </c>
      <c r="Q402" s="4">
        <v>8.3000000000000004E-2</v>
      </c>
      <c r="R402" s="3">
        <v>36919.520400000009</v>
      </c>
      <c r="S402" s="3">
        <v>18344.2</v>
      </c>
      <c r="T402" s="4">
        <v>0.50313005691157398</v>
      </c>
      <c r="U402" s="11" t="s">
        <v>667</v>
      </c>
      <c r="V402" s="3">
        <v>18575.320400000008</v>
      </c>
      <c r="W402" s="11" t="s">
        <v>1438</v>
      </c>
      <c r="X402" t="str">
        <f>TEXT(Table1_1[[#This Row],[OrderDate]],"mm yyyy")</f>
        <v>09 2025</v>
      </c>
      <c r="Y402" s="13">
        <f>DATE(YEAR(Table1_1[[#This Row],[OrderDate]]),MONTH(B402),1)</f>
        <v>45901</v>
      </c>
      <c r="Z402" s="2">
        <f t="shared" si="6"/>
        <v>44958</v>
      </c>
      <c r="AA402">
        <f>(YEAR(Table1_1[[#This Row],[OrderMonth]])-YEAR(Table1_1[[#This Row],[Firstmonth]]))*12+(MONTH(Table1_1[[#This Row],[OrderMonth]])-MONTH(Table1_1[[#This Row],[Firstmonth]]))</f>
        <v>31</v>
      </c>
    </row>
    <row r="403" spans="1:27" x14ac:dyDescent="0.25">
      <c r="A403" s="11" t="s">
        <v>560</v>
      </c>
      <c r="B403" s="2">
        <v>45633</v>
      </c>
      <c r="C403" s="2">
        <v>45652</v>
      </c>
      <c r="D403" s="11" t="s">
        <v>1413</v>
      </c>
      <c r="E403">
        <v>19</v>
      </c>
      <c r="F403" s="11" t="s">
        <v>1464</v>
      </c>
      <c r="G403" s="11" t="s">
        <v>1469</v>
      </c>
      <c r="H403" s="11" t="s">
        <v>1470</v>
      </c>
      <c r="I403" s="11" t="s">
        <v>647</v>
      </c>
      <c r="J403" s="11" t="s">
        <v>649</v>
      </c>
      <c r="K403" s="11" t="s">
        <v>670</v>
      </c>
      <c r="L403" s="11" t="s">
        <v>1223</v>
      </c>
      <c r="M403" s="10">
        <v>19</v>
      </c>
      <c r="N403">
        <v>1035.24</v>
      </c>
      <c r="O403" s="3">
        <v>2383.41</v>
      </c>
      <c r="P403" s="11" t="s">
        <v>1471</v>
      </c>
      <c r="Q403" s="4">
        <v>0.17</v>
      </c>
      <c r="R403" s="3">
        <v>37586.37569999999</v>
      </c>
      <c r="S403" s="3">
        <v>19669.560000000001</v>
      </c>
      <c r="T403" s="4">
        <v>0.47668378145861001</v>
      </c>
      <c r="U403" s="11" t="s">
        <v>667</v>
      </c>
      <c r="V403" s="3">
        <v>17916.815699999988</v>
      </c>
      <c r="W403" s="11" t="s">
        <v>1440</v>
      </c>
      <c r="X403" t="str">
        <f>TEXT(Table1_1[[#This Row],[OrderDate]],"mm yyyy")</f>
        <v>12 2024</v>
      </c>
      <c r="Y403" s="13">
        <f>DATE(YEAR(Table1_1[[#This Row],[OrderDate]]),MONTH(B403),1)</f>
        <v>45627</v>
      </c>
      <c r="Z403" s="2">
        <f t="shared" si="6"/>
        <v>44927</v>
      </c>
      <c r="AA403">
        <f>(YEAR(Table1_1[[#This Row],[OrderMonth]])-YEAR(Table1_1[[#This Row],[Firstmonth]]))*12+(MONTH(Table1_1[[#This Row],[OrderMonth]])-MONTH(Table1_1[[#This Row],[Firstmonth]]))</f>
        <v>23</v>
      </c>
    </row>
    <row r="404" spans="1:27" x14ac:dyDescent="0.25">
      <c r="A404" s="11" t="s">
        <v>42</v>
      </c>
      <c r="B404" s="2">
        <v>44980</v>
      </c>
      <c r="C404" s="2">
        <v>45010</v>
      </c>
      <c r="D404" s="11" t="s">
        <v>1413</v>
      </c>
      <c r="E404">
        <v>30</v>
      </c>
      <c r="F404" s="11" t="s">
        <v>1473</v>
      </c>
      <c r="G404" s="11" t="s">
        <v>1452</v>
      </c>
      <c r="H404" s="11" t="s">
        <v>1492</v>
      </c>
      <c r="I404" s="11" t="s">
        <v>647</v>
      </c>
      <c r="J404" s="11" t="s">
        <v>649</v>
      </c>
      <c r="K404" s="11" t="s">
        <v>671</v>
      </c>
      <c r="L404" s="11" t="s">
        <v>706</v>
      </c>
      <c r="M404" s="10">
        <v>16</v>
      </c>
      <c r="N404">
        <v>1242.6600000000001</v>
      </c>
      <c r="O404" s="3">
        <v>1794.07</v>
      </c>
      <c r="P404" s="11" t="s">
        <v>1471</v>
      </c>
      <c r="Q404" s="4">
        <v>8.8999999999999996E-2</v>
      </c>
      <c r="R404" s="3">
        <v>26150.364320000001</v>
      </c>
      <c r="S404" s="3">
        <v>19882.560000000001</v>
      </c>
      <c r="T404" s="4">
        <v>0.239683250424406</v>
      </c>
      <c r="U404" s="11" t="s">
        <v>667</v>
      </c>
      <c r="V404" s="3">
        <v>6267.8043199999993</v>
      </c>
      <c r="W404" s="11" t="s">
        <v>1432</v>
      </c>
      <c r="X404" t="str">
        <f>TEXT(Table1_1[[#This Row],[OrderDate]],"mm yyyy")</f>
        <v>02 2023</v>
      </c>
      <c r="Y404" s="13">
        <f>DATE(YEAR(Table1_1[[#This Row],[OrderDate]]),MONTH(B404),1)</f>
        <v>44958</v>
      </c>
      <c r="Z404" s="2">
        <f t="shared" si="6"/>
        <v>44958</v>
      </c>
      <c r="AA404">
        <f>(YEAR(Table1_1[[#This Row],[OrderMonth]])-YEAR(Table1_1[[#This Row],[Firstmonth]]))*12+(MONTH(Table1_1[[#This Row],[OrderMonth]])-MONTH(Table1_1[[#This Row],[Firstmonth]]))</f>
        <v>0</v>
      </c>
    </row>
    <row r="405" spans="1:27" x14ac:dyDescent="0.25">
      <c r="A405" s="11" t="s">
        <v>562</v>
      </c>
      <c r="B405" s="2">
        <v>44988</v>
      </c>
      <c r="C405" s="2">
        <v>45005</v>
      </c>
      <c r="D405" s="11" t="s">
        <v>1413</v>
      </c>
      <c r="E405">
        <v>17</v>
      </c>
      <c r="F405" s="11" t="s">
        <v>1476</v>
      </c>
      <c r="G405" s="11" t="s">
        <v>1451</v>
      </c>
      <c r="H405" s="11" t="s">
        <v>1484</v>
      </c>
      <c r="I405" s="11" t="s">
        <v>646</v>
      </c>
      <c r="J405" s="11" t="s">
        <v>649</v>
      </c>
      <c r="K405" s="11" t="s">
        <v>670</v>
      </c>
      <c r="L405" s="11" t="s">
        <v>1225</v>
      </c>
      <c r="M405" s="10">
        <v>5</v>
      </c>
      <c r="N405">
        <v>1171.17</v>
      </c>
      <c r="O405" s="3">
        <v>2030.64</v>
      </c>
      <c r="P405" s="11" t="s">
        <v>1471</v>
      </c>
      <c r="Q405" s="4">
        <v>0.157</v>
      </c>
      <c r="R405" s="3">
        <v>8559.1476000000002</v>
      </c>
      <c r="S405" s="3">
        <v>5855.85</v>
      </c>
      <c r="T405" s="4">
        <v>0.31583724528830398</v>
      </c>
      <c r="U405" s="11" t="s">
        <v>667</v>
      </c>
      <c r="V405" s="3">
        <v>2703.2975999999999</v>
      </c>
      <c r="W405" s="11" t="s">
        <v>1432</v>
      </c>
      <c r="X405" t="str">
        <f>TEXT(Table1_1[[#This Row],[OrderDate]],"mm yyyy")</f>
        <v>03 2023</v>
      </c>
      <c r="Y405" s="13">
        <f>DATE(YEAR(Table1_1[[#This Row],[OrderDate]]),MONTH(B405),1)</f>
        <v>44986</v>
      </c>
      <c r="Z405" s="2">
        <f t="shared" si="6"/>
        <v>44986</v>
      </c>
      <c r="AA405">
        <f>(YEAR(Table1_1[[#This Row],[OrderMonth]])-YEAR(Table1_1[[#This Row],[Firstmonth]]))*12+(MONTH(Table1_1[[#This Row],[OrderMonth]])-MONTH(Table1_1[[#This Row],[Firstmonth]]))</f>
        <v>0</v>
      </c>
    </row>
    <row r="406" spans="1:27" x14ac:dyDescent="0.25">
      <c r="A406" s="11" t="s">
        <v>551</v>
      </c>
      <c r="B406" s="2">
        <v>45115</v>
      </c>
      <c r="C406" s="2">
        <v>45116</v>
      </c>
      <c r="D406" s="11" t="s">
        <v>1413</v>
      </c>
      <c r="E406">
        <v>1</v>
      </c>
      <c r="F406" s="11" t="s">
        <v>1485</v>
      </c>
      <c r="G406" s="11" t="s">
        <v>1449</v>
      </c>
      <c r="H406" s="11" t="s">
        <v>1486</v>
      </c>
      <c r="I406" s="11" t="s">
        <v>645</v>
      </c>
      <c r="J406" s="11" t="s">
        <v>649</v>
      </c>
      <c r="K406" s="11" t="s">
        <v>672</v>
      </c>
      <c r="L406" s="11" t="s">
        <v>1214</v>
      </c>
      <c r="M406" s="10">
        <v>10</v>
      </c>
      <c r="N406">
        <v>1258.72</v>
      </c>
      <c r="O406" s="3">
        <v>2797.41</v>
      </c>
      <c r="P406" s="11" t="s">
        <v>1471</v>
      </c>
      <c r="Q406" s="4">
        <v>0</v>
      </c>
      <c r="R406" s="3">
        <v>27974.1</v>
      </c>
      <c r="S406" s="3">
        <v>12587.2</v>
      </c>
      <c r="T406" s="4">
        <v>0.55004093071805704</v>
      </c>
      <c r="U406" s="11" t="s">
        <v>667</v>
      </c>
      <c r="V406" s="3">
        <v>15386.899999999998</v>
      </c>
      <c r="W406" s="11" t="s">
        <v>1430</v>
      </c>
      <c r="X406" t="str">
        <f>TEXT(Table1_1[[#This Row],[OrderDate]],"mm yyyy")</f>
        <v>07 2023</v>
      </c>
      <c r="Y406" s="13">
        <f>DATE(YEAR(Table1_1[[#This Row],[OrderDate]]),MONTH(B406),1)</f>
        <v>45108</v>
      </c>
      <c r="Z406" s="2">
        <f t="shared" si="6"/>
        <v>44927</v>
      </c>
      <c r="AA406">
        <f>(YEAR(Table1_1[[#This Row],[OrderMonth]])-YEAR(Table1_1[[#This Row],[Firstmonth]]))*12+(MONTH(Table1_1[[#This Row],[OrderMonth]])-MONTH(Table1_1[[#This Row],[Firstmonth]]))</f>
        <v>6</v>
      </c>
    </row>
    <row r="407" spans="1:27" x14ac:dyDescent="0.25">
      <c r="A407" s="11" t="s">
        <v>535</v>
      </c>
      <c r="B407" s="2">
        <v>45398</v>
      </c>
      <c r="C407" s="2">
        <v>45409</v>
      </c>
      <c r="D407" s="11" t="s">
        <v>1413</v>
      </c>
      <c r="E407">
        <v>11</v>
      </c>
      <c r="F407" s="11" t="s">
        <v>1485</v>
      </c>
      <c r="G407" s="11" t="s">
        <v>1449</v>
      </c>
      <c r="H407" s="11" t="s">
        <v>1494</v>
      </c>
      <c r="I407" s="11" t="s">
        <v>647</v>
      </c>
      <c r="J407" s="11" t="s">
        <v>649</v>
      </c>
      <c r="K407" s="11" t="s">
        <v>669</v>
      </c>
      <c r="L407" s="11" t="s">
        <v>1199</v>
      </c>
      <c r="M407" s="10">
        <v>7</v>
      </c>
      <c r="N407">
        <v>401.3</v>
      </c>
      <c r="O407" s="3">
        <v>826.47</v>
      </c>
      <c r="P407" s="11" t="s">
        <v>1466</v>
      </c>
      <c r="Q407" s="4">
        <v>0.22500000000000001</v>
      </c>
      <c r="R407" s="3">
        <v>4483.5997500000003</v>
      </c>
      <c r="S407" s="3">
        <v>2809.1</v>
      </c>
      <c r="T407" s="4">
        <v>0.37347217489696799</v>
      </c>
      <c r="U407" s="11" t="s">
        <v>667</v>
      </c>
      <c r="V407" s="3">
        <v>1674.4997500000004</v>
      </c>
      <c r="W407" s="11" t="s">
        <v>1436</v>
      </c>
      <c r="X407" t="str">
        <f>TEXT(Table1_1[[#This Row],[OrderDate]],"mm yyyy")</f>
        <v>04 2024</v>
      </c>
      <c r="Y407" s="13">
        <f>DATE(YEAR(Table1_1[[#This Row],[OrderDate]]),MONTH(B407),1)</f>
        <v>45383</v>
      </c>
      <c r="Z407" s="2">
        <f t="shared" si="6"/>
        <v>44927</v>
      </c>
      <c r="AA407">
        <f>(YEAR(Table1_1[[#This Row],[OrderMonth]])-YEAR(Table1_1[[#This Row],[Firstmonth]]))*12+(MONTH(Table1_1[[#This Row],[OrderMonth]])-MONTH(Table1_1[[#This Row],[Firstmonth]]))</f>
        <v>15</v>
      </c>
    </row>
    <row r="408" spans="1:27" x14ac:dyDescent="0.25">
      <c r="A408" s="11" t="s">
        <v>182</v>
      </c>
      <c r="B408" s="2">
        <v>45190</v>
      </c>
      <c r="C408" s="2">
        <v>45209</v>
      </c>
      <c r="D408" s="11" t="s">
        <v>1413</v>
      </c>
      <c r="E408">
        <v>19</v>
      </c>
      <c r="F408" s="11" t="s">
        <v>1476</v>
      </c>
      <c r="G408" s="11" t="s">
        <v>1451</v>
      </c>
      <c r="H408" s="11" t="s">
        <v>1510</v>
      </c>
      <c r="I408" s="11" t="s">
        <v>643</v>
      </c>
      <c r="J408" s="11" t="s">
        <v>649</v>
      </c>
      <c r="K408" s="11" t="s">
        <v>668</v>
      </c>
      <c r="L408" s="11" t="s">
        <v>846</v>
      </c>
      <c r="M408" s="10">
        <v>14</v>
      </c>
      <c r="N408">
        <v>845.63</v>
      </c>
      <c r="O408" s="3">
        <v>2062.12</v>
      </c>
      <c r="P408" s="11" t="s">
        <v>1471</v>
      </c>
      <c r="Q408" s="4">
        <v>0.13400000000000001</v>
      </c>
      <c r="R408" s="3">
        <v>25001.142879999999</v>
      </c>
      <c r="S408" s="3">
        <v>11838.82</v>
      </c>
      <c r="T408" s="4">
        <v>0.52646884757134005</v>
      </c>
      <c r="U408" s="11" t="s">
        <v>667</v>
      </c>
      <c r="V408" s="3">
        <v>13162.32288</v>
      </c>
      <c r="W408" s="11" t="s">
        <v>1430</v>
      </c>
      <c r="X408" t="str">
        <f>TEXT(Table1_1[[#This Row],[OrderDate]],"mm yyyy")</f>
        <v>09 2023</v>
      </c>
      <c r="Y408" s="13">
        <f>DATE(YEAR(Table1_1[[#This Row],[OrderDate]]),MONTH(B408),1)</f>
        <v>45170</v>
      </c>
      <c r="Z408" s="2">
        <f t="shared" si="6"/>
        <v>45017</v>
      </c>
      <c r="AA408">
        <f>(YEAR(Table1_1[[#This Row],[OrderMonth]])-YEAR(Table1_1[[#This Row],[Firstmonth]]))*12+(MONTH(Table1_1[[#This Row],[OrderMonth]])-MONTH(Table1_1[[#This Row],[Firstmonth]]))</f>
        <v>5</v>
      </c>
    </row>
    <row r="409" spans="1:27" x14ac:dyDescent="0.25">
      <c r="A409" s="11" t="s">
        <v>526</v>
      </c>
      <c r="B409" s="2">
        <v>45199</v>
      </c>
      <c r="C409" s="2">
        <v>45229</v>
      </c>
      <c r="D409" s="11" t="s">
        <v>1413</v>
      </c>
      <c r="E409">
        <v>30</v>
      </c>
      <c r="F409" s="11" t="s">
        <v>1476</v>
      </c>
      <c r="G409" s="11" t="s">
        <v>1451</v>
      </c>
      <c r="H409" s="11" t="s">
        <v>1510</v>
      </c>
      <c r="I409" s="11" t="s">
        <v>647</v>
      </c>
      <c r="J409" s="11" t="s">
        <v>649</v>
      </c>
      <c r="K409" s="11" t="s">
        <v>669</v>
      </c>
      <c r="L409" s="11" t="s">
        <v>1190</v>
      </c>
      <c r="M409" s="10">
        <v>18</v>
      </c>
      <c r="N409">
        <v>649.13</v>
      </c>
      <c r="O409" s="3">
        <v>975.43</v>
      </c>
      <c r="P409" s="11" t="s">
        <v>1466</v>
      </c>
      <c r="Q409" s="4">
        <v>0.157</v>
      </c>
      <c r="R409" s="3">
        <v>14801.174819999998</v>
      </c>
      <c r="S409" s="3">
        <v>11684.34</v>
      </c>
      <c r="T409" s="4">
        <v>0.21058023149543501</v>
      </c>
      <c r="U409" s="11" t="s">
        <v>667</v>
      </c>
      <c r="V409" s="3">
        <v>3116.8348199999982</v>
      </c>
      <c r="W409" s="11" t="s">
        <v>1430</v>
      </c>
      <c r="X409" t="str">
        <f>TEXT(Table1_1[[#This Row],[OrderDate]],"mm yyyy")</f>
        <v>09 2023</v>
      </c>
      <c r="Y409" s="13">
        <f>DATE(YEAR(Table1_1[[#This Row],[OrderDate]]),MONTH(B409),1)</f>
        <v>45170</v>
      </c>
      <c r="Z409" s="2">
        <f t="shared" si="6"/>
        <v>45017</v>
      </c>
      <c r="AA409">
        <f>(YEAR(Table1_1[[#This Row],[OrderMonth]])-YEAR(Table1_1[[#This Row],[Firstmonth]]))*12+(MONTH(Table1_1[[#This Row],[OrderMonth]])-MONTH(Table1_1[[#This Row],[Firstmonth]]))</f>
        <v>5</v>
      </c>
    </row>
    <row r="410" spans="1:27" x14ac:dyDescent="0.25">
      <c r="A410" s="11" t="s">
        <v>215</v>
      </c>
      <c r="B410" s="2">
        <v>45035</v>
      </c>
      <c r="C410" s="2">
        <v>45044</v>
      </c>
      <c r="D410" s="11" t="s">
        <v>1413</v>
      </c>
      <c r="E410">
        <v>9</v>
      </c>
      <c r="F410" s="11" t="s">
        <v>1464</v>
      </c>
      <c r="G410" s="11" t="s">
        <v>1455</v>
      </c>
      <c r="H410" s="11" t="s">
        <v>1465</v>
      </c>
      <c r="I410" s="11" t="s">
        <v>643</v>
      </c>
      <c r="J410" s="11" t="s">
        <v>649</v>
      </c>
      <c r="K410" s="11" t="s">
        <v>673</v>
      </c>
      <c r="L410" s="11" t="s">
        <v>880</v>
      </c>
      <c r="M410" s="10">
        <v>11</v>
      </c>
      <c r="N410">
        <v>1178.42</v>
      </c>
      <c r="O410" s="3">
        <v>2446.56</v>
      </c>
      <c r="P410" s="11" t="s">
        <v>1471</v>
      </c>
      <c r="Q410" s="4">
        <v>2.9000000000000001E-2</v>
      </c>
      <c r="R410" s="3">
        <v>26131.70736</v>
      </c>
      <c r="S410" s="3">
        <v>12962.62</v>
      </c>
      <c r="T410" s="4">
        <v>0.50395051416188796</v>
      </c>
      <c r="U410" s="11" t="s">
        <v>659</v>
      </c>
      <c r="V410" s="3">
        <v>13169.08736</v>
      </c>
      <c r="W410" s="11" t="s">
        <v>1435</v>
      </c>
      <c r="X410" t="str">
        <f>TEXT(Table1_1[[#This Row],[OrderDate]],"mm yyyy")</f>
        <v>04 2023</v>
      </c>
      <c r="Y410" s="13">
        <f>DATE(YEAR(Table1_1[[#This Row],[OrderDate]]),MONTH(B410),1)</f>
        <v>45017</v>
      </c>
      <c r="Z410" s="2">
        <f t="shared" si="6"/>
        <v>44927</v>
      </c>
      <c r="AA410">
        <f>(YEAR(Table1_1[[#This Row],[OrderMonth]])-YEAR(Table1_1[[#This Row],[Firstmonth]]))*12+(MONTH(Table1_1[[#This Row],[OrderMonth]])-MONTH(Table1_1[[#This Row],[Firstmonth]]))</f>
        <v>3</v>
      </c>
    </row>
    <row r="411" spans="1:27" x14ac:dyDescent="0.25">
      <c r="A411" s="11" t="s">
        <v>479</v>
      </c>
      <c r="B411" s="2">
        <v>45739</v>
      </c>
      <c r="C411" s="2">
        <v>45749</v>
      </c>
      <c r="D411" s="11" t="s">
        <v>1413</v>
      </c>
      <c r="E411">
        <v>10</v>
      </c>
      <c r="F411" s="11" t="s">
        <v>1464</v>
      </c>
      <c r="G411" s="11" t="s">
        <v>1455</v>
      </c>
      <c r="H411" s="11" t="s">
        <v>1465</v>
      </c>
      <c r="I411" s="11" t="s">
        <v>647</v>
      </c>
      <c r="J411" s="11" t="s">
        <v>649</v>
      </c>
      <c r="K411" s="11" t="s">
        <v>669</v>
      </c>
      <c r="L411" s="11" t="s">
        <v>1143</v>
      </c>
      <c r="M411" s="10">
        <v>12</v>
      </c>
      <c r="N411">
        <v>663.61</v>
      </c>
      <c r="O411" s="3">
        <v>1002.11</v>
      </c>
      <c r="P411" s="11" t="s">
        <v>1466</v>
      </c>
      <c r="Q411" s="4">
        <v>4.5999999999999999E-2</v>
      </c>
      <c r="R411" s="3">
        <v>11472.155279999999</v>
      </c>
      <c r="S411" s="3">
        <v>7963.32</v>
      </c>
      <c r="T411" s="4">
        <v>0.30585667595670801</v>
      </c>
      <c r="U411" s="11" t="s">
        <v>659</v>
      </c>
      <c r="V411" s="3">
        <v>3508.8352799999993</v>
      </c>
      <c r="W411" s="11" t="s">
        <v>1434</v>
      </c>
      <c r="X411" t="str">
        <f>TEXT(Table1_1[[#This Row],[OrderDate]],"mm yyyy")</f>
        <v>03 2025</v>
      </c>
      <c r="Y411" s="13">
        <f>DATE(YEAR(Table1_1[[#This Row],[OrderDate]]),MONTH(B411),1)</f>
        <v>45717</v>
      </c>
      <c r="Z411" s="2">
        <f t="shared" si="6"/>
        <v>44927</v>
      </c>
      <c r="AA411">
        <f>(YEAR(Table1_1[[#This Row],[OrderMonth]])-YEAR(Table1_1[[#This Row],[Firstmonth]]))*12+(MONTH(Table1_1[[#This Row],[OrderMonth]])-MONTH(Table1_1[[#This Row],[Firstmonth]]))</f>
        <v>26</v>
      </c>
    </row>
    <row r="412" spans="1:27" x14ac:dyDescent="0.25">
      <c r="A412" s="11" t="s">
        <v>330</v>
      </c>
      <c r="B412" s="2">
        <v>45440</v>
      </c>
      <c r="C412" s="2">
        <v>45461</v>
      </c>
      <c r="D412" s="11" t="s">
        <v>1413</v>
      </c>
      <c r="E412">
        <v>21</v>
      </c>
      <c r="F412" s="11" t="s">
        <v>1464</v>
      </c>
      <c r="G412" s="11" t="s">
        <v>1455</v>
      </c>
      <c r="H412" s="11" t="s">
        <v>1467</v>
      </c>
      <c r="I412" s="11" t="s">
        <v>646</v>
      </c>
      <c r="J412" s="11" t="s">
        <v>649</v>
      </c>
      <c r="K412" s="11" t="s">
        <v>671</v>
      </c>
      <c r="L412" s="11" t="s">
        <v>995</v>
      </c>
      <c r="M412" s="10">
        <v>8</v>
      </c>
      <c r="N412">
        <v>986.85</v>
      </c>
      <c r="O412" s="3">
        <v>2422.1</v>
      </c>
      <c r="P412" s="11" t="s">
        <v>1471</v>
      </c>
      <c r="Q412" s="4">
        <v>7.5999999999999998E-2</v>
      </c>
      <c r="R412" s="3">
        <v>17904.163199999999</v>
      </c>
      <c r="S412" s="3">
        <v>7894.8</v>
      </c>
      <c r="T412" s="4">
        <v>0.55905227673527902</v>
      </c>
      <c r="U412" s="11" t="s">
        <v>659</v>
      </c>
      <c r="V412" s="3">
        <v>10009.3632</v>
      </c>
      <c r="W412" s="11" t="s">
        <v>1436</v>
      </c>
      <c r="X412" t="str">
        <f>TEXT(Table1_1[[#This Row],[OrderDate]],"mm yyyy")</f>
        <v>05 2024</v>
      </c>
      <c r="Y412" s="13">
        <f>DATE(YEAR(Table1_1[[#This Row],[OrderDate]]),MONTH(B412),1)</f>
        <v>45413</v>
      </c>
      <c r="Z412" s="2">
        <f t="shared" si="6"/>
        <v>44927</v>
      </c>
      <c r="AA412">
        <f>(YEAR(Table1_1[[#This Row],[OrderMonth]])-YEAR(Table1_1[[#This Row],[Firstmonth]]))*12+(MONTH(Table1_1[[#This Row],[OrderMonth]])-MONTH(Table1_1[[#This Row],[Firstmonth]]))</f>
        <v>16</v>
      </c>
    </row>
    <row r="413" spans="1:27" x14ac:dyDescent="0.25">
      <c r="A413" s="11" t="s">
        <v>276</v>
      </c>
      <c r="B413" s="2">
        <v>45573</v>
      </c>
      <c r="C413" s="2">
        <v>45573</v>
      </c>
      <c r="D413" s="11" t="s">
        <v>1413</v>
      </c>
      <c r="E413">
        <v>0</v>
      </c>
      <c r="F413" s="11" t="s">
        <v>1464</v>
      </c>
      <c r="G413" s="11" t="s">
        <v>1469</v>
      </c>
      <c r="H413" s="11" t="s">
        <v>1470</v>
      </c>
      <c r="I413" s="11" t="s">
        <v>642</v>
      </c>
      <c r="J413" s="11" t="s">
        <v>649</v>
      </c>
      <c r="K413" s="11" t="s">
        <v>673</v>
      </c>
      <c r="L413" s="11" t="s">
        <v>941</v>
      </c>
      <c r="M413" s="10">
        <v>11</v>
      </c>
      <c r="N413">
        <v>1108.1099999999999</v>
      </c>
      <c r="O413" s="3">
        <v>2503.79</v>
      </c>
      <c r="P413" s="11" t="s">
        <v>1471</v>
      </c>
      <c r="Q413" s="4">
        <v>0.184</v>
      </c>
      <c r="R413" s="3">
        <v>22474.019039999999</v>
      </c>
      <c r="S413" s="3">
        <v>12189.21</v>
      </c>
      <c r="T413" s="4">
        <v>0.45763105485025901</v>
      </c>
      <c r="U413" s="11" t="s">
        <v>659</v>
      </c>
      <c r="V413" s="3">
        <v>10284.80904</v>
      </c>
      <c r="W413" s="11" t="s">
        <v>1440</v>
      </c>
      <c r="X413" t="str">
        <f>TEXT(Table1_1[[#This Row],[OrderDate]],"mm yyyy")</f>
        <v>10 2024</v>
      </c>
      <c r="Y413" s="13">
        <f>DATE(YEAR(Table1_1[[#This Row],[OrderDate]]),MONTH(B413),1)</f>
        <v>45566</v>
      </c>
      <c r="Z413" s="2">
        <f t="shared" si="6"/>
        <v>44927</v>
      </c>
      <c r="AA413">
        <f>(YEAR(Table1_1[[#This Row],[OrderMonth]])-YEAR(Table1_1[[#This Row],[Firstmonth]]))*12+(MONTH(Table1_1[[#This Row],[OrderMonth]])-MONTH(Table1_1[[#This Row],[Firstmonth]]))</f>
        <v>21</v>
      </c>
    </row>
    <row r="414" spans="1:27" x14ac:dyDescent="0.25">
      <c r="A414" s="11" t="s">
        <v>345</v>
      </c>
      <c r="B414" s="2">
        <v>45391</v>
      </c>
      <c r="C414" s="2">
        <v>45400</v>
      </c>
      <c r="D414" s="11" t="s">
        <v>1413</v>
      </c>
      <c r="E414">
        <v>9</v>
      </c>
      <c r="F414" s="11" t="s">
        <v>1464</v>
      </c>
      <c r="G414" s="11" t="s">
        <v>1456</v>
      </c>
      <c r="H414" s="11" t="s">
        <v>1481</v>
      </c>
      <c r="I414" s="11" t="s">
        <v>645</v>
      </c>
      <c r="J414" s="11" t="s">
        <v>649</v>
      </c>
      <c r="K414" s="11" t="s">
        <v>669</v>
      </c>
      <c r="L414" s="11" t="s">
        <v>1010</v>
      </c>
      <c r="M414" s="10">
        <v>2</v>
      </c>
      <c r="N414">
        <v>1288.8499999999999</v>
      </c>
      <c r="O414" s="3">
        <v>2751.84</v>
      </c>
      <c r="P414" s="11" t="s">
        <v>1471</v>
      </c>
      <c r="Q414" s="4">
        <v>0.158</v>
      </c>
      <c r="R414" s="3">
        <v>4634.0985600000004</v>
      </c>
      <c r="S414" s="3">
        <v>2577.6999999999998</v>
      </c>
      <c r="T414" s="4">
        <v>0.44375373837538801</v>
      </c>
      <c r="U414" s="11" t="s">
        <v>659</v>
      </c>
      <c r="V414" s="3">
        <v>2056.3985600000005</v>
      </c>
      <c r="W414" s="11" t="s">
        <v>1436</v>
      </c>
      <c r="X414" t="str">
        <f>TEXT(Table1_1[[#This Row],[OrderDate]],"mm yyyy")</f>
        <v>04 2024</v>
      </c>
      <c r="Y414" s="13">
        <f>DATE(YEAR(Table1_1[[#This Row],[OrderDate]]),MONTH(B414),1)</f>
        <v>45383</v>
      </c>
      <c r="Z414" s="2">
        <f t="shared" si="6"/>
        <v>44958</v>
      </c>
      <c r="AA414">
        <f>(YEAR(Table1_1[[#This Row],[OrderMonth]])-YEAR(Table1_1[[#This Row],[Firstmonth]]))*12+(MONTH(Table1_1[[#This Row],[OrderMonth]])-MONTH(Table1_1[[#This Row],[Firstmonth]]))</f>
        <v>14</v>
      </c>
    </row>
    <row r="415" spans="1:27" x14ac:dyDescent="0.25">
      <c r="A415" s="11" t="s">
        <v>610</v>
      </c>
      <c r="B415" s="2">
        <v>45360</v>
      </c>
      <c r="C415" s="2">
        <v>45373</v>
      </c>
      <c r="D415" s="11" t="s">
        <v>1413</v>
      </c>
      <c r="E415">
        <v>13</v>
      </c>
      <c r="F415" s="11" t="s">
        <v>1464</v>
      </c>
      <c r="G415" s="11" t="s">
        <v>1469</v>
      </c>
      <c r="H415" s="11" t="s">
        <v>1482</v>
      </c>
      <c r="I415" s="11" t="s">
        <v>645</v>
      </c>
      <c r="J415" s="11" t="s">
        <v>649</v>
      </c>
      <c r="K415" s="11" t="s">
        <v>672</v>
      </c>
      <c r="L415" s="11" t="s">
        <v>1273</v>
      </c>
      <c r="M415" s="10">
        <v>7</v>
      </c>
      <c r="N415">
        <v>985.45</v>
      </c>
      <c r="O415" s="3">
        <v>1802.44</v>
      </c>
      <c r="P415" s="11" t="s">
        <v>1471</v>
      </c>
      <c r="Q415" s="4">
        <v>8.9999999999999993E-3</v>
      </c>
      <c r="R415" s="3">
        <v>12503.52628</v>
      </c>
      <c r="S415" s="3">
        <v>6898.1500000000005</v>
      </c>
      <c r="T415" s="4">
        <v>0.44830363486867503</v>
      </c>
      <c r="U415" s="11" t="s">
        <v>659</v>
      </c>
      <c r="V415" s="3">
        <v>5605.3762799999995</v>
      </c>
      <c r="W415" s="11" t="s">
        <v>1433</v>
      </c>
      <c r="X415" t="str">
        <f>TEXT(Table1_1[[#This Row],[OrderDate]],"mm yyyy")</f>
        <v>03 2024</v>
      </c>
      <c r="Y415" s="13">
        <f>DATE(YEAR(Table1_1[[#This Row],[OrderDate]]),MONTH(B415),1)</f>
        <v>45352</v>
      </c>
      <c r="Z415" s="2">
        <f t="shared" si="6"/>
        <v>44927</v>
      </c>
      <c r="AA415">
        <f>(YEAR(Table1_1[[#This Row],[OrderMonth]])-YEAR(Table1_1[[#This Row],[Firstmonth]]))*12+(MONTH(Table1_1[[#This Row],[OrderMonth]])-MONTH(Table1_1[[#This Row],[Firstmonth]]))</f>
        <v>14</v>
      </c>
    </row>
    <row r="416" spans="1:27" x14ac:dyDescent="0.25">
      <c r="A416" s="11" t="s">
        <v>172</v>
      </c>
      <c r="B416" s="2">
        <v>45595</v>
      </c>
      <c r="C416" s="2">
        <v>45620</v>
      </c>
      <c r="D416" s="11" t="s">
        <v>1413</v>
      </c>
      <c r="E416">
        <v>25</v>
      </c>
      <c r="F416" s="11" t="s">
        <v>1476</v>
      </c>
      <c r="G416" s="11" t="s">
        <v>1457</v>
      </c>
      <c r="H416" s="11" t="s">
        <v>1513</v>
      </c>
      <c r="I416" s="11" t="s">
        <v>646</v>
      </c>
      <c r="J416" s="11" t="s">
        <v>649</v>
      </c>
      <c r="K416" s="11" t="s">
        <v>668</v>
      </c>
      <c r="L416" s="11" t="s">
        <v>836</v>
      </c>
      <c r="M416" s="10">
        <v>11</v>
      </c>
      <c r="N416">
        <v>811.05</v>
      </c>
      <c r="O416" s="3">
        <v>1217.71</v>
      </c>
      <c r="P416" s="11" t="s">
        <v>1466</v>
      </c>
      <c r="Q416" s="4">
        <v>7.1999999999999995E-2</v>
      </c>
      <c r="R416" s="3">
        <v>12430.383680000003</v>
      </c>
      <c r="S416" s="3">
        <v>8921.5499999999993</v>
      </c>
      <c r="T416" s="4">
        <v>0.28227879125288602</v>
      </c>
      <c r="U416" s="11" t="s">
        <v>659</v>
      </c>
      <c r="V416" s="3">
        <v>3508.8336800000034</v>
      </c>
      <c r="W416" s="11" t="s">
        <v>1440</v>
      </c>
      <c r="X416" t="str">
        <f>TEXT(Table1_1[[#This Row],[OrderDate]],"mm yyyy")</f>
        <v>10 2024</v>
      </c>
      <c r="Y416" s="13">
        <f>DATE(YEAR(Table1_1[[#This Row],[OrderDate]]),MONTH(B416),1)</f>
        <v>45566</v>
      </c>
      <c r="Z416" s="2">
        <f t="shared" si="6"/>
        <v>44927</v>
      </c>
      <c r="AA416">
        <f>(YEAR(Table1_1[[#This Row],[OrderMonth]])-YEAR(Table1_1[[#This Row],[Firstmonth]]))*12+(MONTH(Table1_1[[#This Row],[OrderMonth]])-MONTH(Table1_1[[#This Row],[Firstmonth]]))</f>
        <v>21</v>
      </c>
    </row>
    <row r="417" spans="1:27" x14ac:dyDescent="0.25">
      <c r="A417" s="11" t="s">
        <v>454</v>
      </c>
      <c r="B417" s="2">
        <v>45560</v>
      </c>
      <c r="C417" s="2">
        <v>45568</v>
      </c>
      <c r="D417" s="11" t="s">
        <v>1413</v>
      </c>
      <c r="E417">
        <v>8</v>
      </c>
      <c r="F417" s="11" t="s">
        <v>1473</v>
      </c>
      <c r="G417" s="11" t="s">
        <v>1452</v>
      </c>
      <c r="H417" s="11" t="s">
        <v>1474</v>
      </c>
      <c r="I417" s="11" t="s">
        <v>645</v>
      </c>
      <c r="J417" s="11" t="s">
        <v>649</v>
      </c>
      <c r="K417" s="11" t="s">
        <v>669</v>
      </c>
      <c r="L417" s="11" t="s">
        <v>1118</v>
      </c>
      <c r="M417" s="10">
        <v>7</v>
      </c>
      <c r="N417">
        <v>558.19000000000005</v>
      </c>
      <c r="O417" s="3">
        <v>1031.6400000000001</v>
      </c>
      <c r="P417" s="11" t="s">
        <v>1466</v>
      </c>
      <c r="Q417" s="4">
        <v>0</v>
      </c>
      <c r="R417" s="3">
        <v>7221.4800000000005</v>
      </c>
      <c r="S417" s="3">
        <v>3907.3300000000004</v>
      </c>
      <c r="T417" s="4">
        <v>0.458929471521073</v>
      </c>
      <c r="U417" s="11" t="s">
        <v>659</v>
      </c>
      <c r="V417" s="3">
        <v>3314.15</v>
      </c>
      <c r="W417" s="11" t="s">
        <v>1437</v>
      </c>
      <c r="X417" t="str">
        <f>TEXT(Table1_1[[#This Row],[OrderDate]],"mm yyyy")</f>
        <v>09 2024</v>
      </c>
      <c r="Y417" s="13">
        <f>DATE(YEAR(Table1_1[[#This Row],[OrderDate]]),MONTH(B417),1)</f>
        <v>45536</v>
      </c>
      <c r="Z417" s="2">
        <f t="shared" si="6"/>
        <v>45017</v>
      </c>
      <c r="AA417">
        <f>(YEAR(Table1_1[[#This Row],[OrderMonth]])-YEAR(Table1_1[[#This Row],[Firstmonth]]))*12+(MONTH(Table1_1[[#This Row],[OrderMonth]])-MONTH(Table1_1[[#This Row],[Firstmonth]]))</f>
        <v>17</v>
      </c>
    </row>
    <row r="418" spans="1:27" x14ac:dyDescent="0.25">
      <c r="A418" s="11" t="s">
        <v>251</v>
      </c>
      <c r="B418" s="2">
        <v>45793</v>
      </c>
      <c r="C418" s="2">
        <v>45804</v>
      </c>
      <c r="D418" s="11" t="s">
        <v>1413</v>
      </c>
      <c r="E418">
        <v>11</v>
      </c>
      <c r="F418" s="11" t="s">
        <v>1476</v>
      </c>
      <c r="G418" s="11" t="s">
        <v>1457</v>
      </c>
      <c r="H418" s="11" t="s">
        <v>1477</v>
      </c>
      <c r="I418" s="11" t="s">
        <v>647</v>
      </c>
      <c r="J418" s="11" t="s">
        <v>649</v>
      </c>
      <c r="K418" s="11" t="s">
        <v>671</v>
      </c>
      <c r="L418" s="11" t="s">
        <v>916</v>
      </c>
      <c r="M418" s="10">
        <v>16</v>
      </c>
      <c r="N418">
        <v>918.12</v>
      </c>
      <c r="O418" s="3">
        <v>1337.69</v>
      </c>
      <c r="P418" s="11" t="s">
        <v>1466</v>
      </c>
      <c r="Q418" s="4">
        <v>9.5000000000000001E-2</v>
      </c>
      <c r="R418" s="3">
        <v>19369.751200000002</v>
      </c>
      <c r="S418" s="3">
        <v>14689.92</v>
      </c>
      <c r="T418" s="4">
        <v>0.241605127070502</v>
      </c>
      <c r="U418" s="11" t="s">
        <v>662</v>
      </c>
      <c r="V418" s="3">
        <v>4679.8312000000024</v>
      </c>
      <c r="W418" s="11" t="s">
        <v>1431</v>
      </c>
      <c r="X418" t="str">
        <f>TEXT(Table1_1[[#This Row],[OrderDate]],"mm yyyy")</f>
        <v>05 2025</v>
      </c>
      <c r="Y418" s="13">
        <f>DATE(YEAR(Table1_1[[#This Row],[OrderDate]]),MONTH(B418),1)</f>
        <v>45778</v>
      </c>
      <c r="Z418" s="2">
        <f t="shared" si="6"/>
        <v>44927</v>
      </c>
      <c r="AA418">
        <f>(YEAR(Table1_1[[#This Row],[OrderMonth]])-YEAR(Table1_1[[#This Row],[Firstmonth]]))*12+(MONTH(Table1_1[[#This Row],[OrderMonth]])-MONTH(Table1_1[[#This Row],[Firstmonth]]))</f>
        <v>28</v>
      </c>
    </row>
    <row r="419" spans="1:27" x14ac:dyDescent="0.25">
      <c r="A419" s="11" t="s">
        <v>289</v>
      </c>
      <c r="B419" s="2">
        <v>45229</v>
      </c>
      <c r="C419" s="2">
        <v>45244</v>
      </c>
      <c r="D419" s="11" t="s">
        <v>1413</v>
      </c>
      <c r="E419">
        <v>15</v>
      </c>
      <c r="F419" s="11" t="s">
        <v>1476</v>
      </c>
      <c r="G419" s="11" t="s">
        <v>1453</v>
      </c>
      <c r="H419" s="11" t="s">
        <v>1497</v>
      </c>
      <c r="I419" s="11" t="s">
        <v>642</v>
      </c>
      <c r="J419" s="11" t="s">
        <v>649</v>
      </c>
      <c r="K419" s="11" t="s">
        <v>672</v>
      </c>
      <c r="L419" s="11" t="s">
        <v>954</v>
      </c>
      <c r="M419" s="10">
        <v>11</v>
      </c>
      <c r="N419">
        <v>953.46</v>
      </c>
      <c r="O419" s="3">
        <v>2066.75</v>
      </c>
      <c r="P419" s="11" t="s">
        <v>1471</v>
      </c>
      <c r="Q419" s="4">
        <v>0.13800000000000001</v>
      </c>
      <c r="R419" s="3">
        <v>19596.923500000001</v>
      </c>
      <c r="S419" s="3">
        <v>10488.060000000001</v>
      </c>
      <c r="T419" s="4">
        <v>0.46481089238318402</v>
      </c>
      <c r="U419" s="11" t="s">
        <v>662</v>
      </c>
      <c r="V419" s="3">
        <v>9108.8634999999995</v>
      </c>
      <c r="W419" s="11" t="s">
        <v>1439</v>
      </c>
      <c r="X419" t="str">
        <f>TEXT(Table1_1[[#This Row],[OrderDate]],"mm yyyy")</f>
        <v>10 2023</v>
      </c>
      <c r="Y419" s="13">
        <f>DATE(YEAR(Table1_1[[#This Row],[OrderDate]]),MONTH(B419),1)</f>
        <v>45200</v>
      </c>
      <c r="Z419" s="2">
        <f t="shared" si="6"/>
        <v>44927</v>
      </c>
      <c r="AA419">
        <f>(YEAR(Table1_1[[#This Row],[OrderMonth]])-YEAR(Table1_1[[#This Row],[Firstmonth]]))*12+(MONTH(Table1_1[[#This Row],[OrderMonth]])-MONTH(Table1_1[[#This Row],[Firstmonth]]))</f>
        <v>9</v>
      </c>
    </row>
    <row r="420" spans="1:27" x14ac:dyDescent="0.25">
      <c r="A420" s="11" t="s">
        <v>521</v>
      </c>
      <c r="B420" s="2">
        <v>45353</v>
      </c>
      <c r="C420" s="2">
        <v>45374</v>
      </c>
      <c r="D420" s="11" t="s">
        <v>1413</v>
      </c>
      <c r="E420">
        <v>21</v>
      </c>
      <c r="F420" s="11" t="s">
        <v>1473</v>
      </c>
      <c r="G420" s="11" t="s">
        <v>1458</v>
      </c>
      <c r="H420" s="11" t="s">
        <v>1509</v>
      </c>
      <c r="I420" s="11" t="s">
        <v>646</v>
      </c>
      <c r="J420" s="11" t="s">
        <v>649</v>
      </c>
      <c r="K420" s="11" t="s">
        <v>668</v>
      </c>
      <c r="L420" s="11" t="s">
        <v>1185</v>
      </c>
      <c r="M420" s="10">
        <v>6</v>
      </c>
      <c r="N420">
        <v>225.01</v>
      </c>
      <c r="O420" s="3">
        <v>333.48</v>
      </c>
      <c r="P420" s="11" t="s">
        <v>1468</v>
      </c>
      <c r="Q420" s="4">
        <v>0.11899999999999999</v>
      </c>
      <c r="R420" s="3">
        <v>1762.7752800000001</v>
      </c>
      <c r="S420" s="3">
        <v>1350.06</v>
      </c>
      <c r="T420" s="4">
        <v>0.23412813004729699</v>
      </c>
      <c r="U420" s="11" t="s">
        <v>662</v>
      </c>
      <c r="V420" s="3">
        <v>412.71528000000012</v>
      </c>
      <c r="W420" s="11" t="s">
        <v>1433</v>
      </c>
      <c r="X420" t="str">
        <f>TEXT(Table1_1[[#This Row],[OrderDate]],"mm yyyy")</f>
        <v>03 2024</v>
      </c>
      <c r="Y420" s="13">
        <f>DATE(YEAR(Table1_1[[#This Row],[OrderDate]]),MONTH(B420),1)</f>
        <v>45352</v>
      </c>
      <c r="Z420" s="2">
        <f t="shared" si="6"/>
        <v>45292</v>
      </c>
      <c r="AA420">
        <f>(YEAR(Table1_1[[#This Row],[OrderMonth]])-YEAR(Table1_1[[#This Row],[Firstmonth]]))*12+(MONTH(Table1_1[[#This Row],[OrderMonth]])-MONTH(Table1_1[[#This Row],[Firstmonth]]))</f>
        <v>2</v>
      </c>
    </row>
    <row r="421" spans="1:27" x14ac:dyDescent="0.25">
      <c r="A421" s="11" t="s">
        <v>449</v>
      </c>
      <c r="B421" s="2">
        <v>44978</v>
      </c>
      <c r="C421" s="2">
        <v>44997</v>
      </c>
      <c r="D421" s="11" t="s">
        <v>1413</v>
      </c>
      <c r="E421">
        <v>19</v>
      </c>
      <c r="F421" s="11" t="s">
        <v>1485</v>
      </c>
      <c r="G421" s="11" t="s">
        <v>1449</v>
      </c>
      <c r="H421" s="11" t="s">
        <v>1494</v>
      </c>
      <c r="I421" s="11" t="s">
        <v>642</v>
      </c>
      <c r="J421" s="11" t="s">
        <v>649</v>
      </c>
      <c r="K421" s="11" t="s">
        <v>670</v>
      </c>
      <c r="L421" s="11" t="s">
        <v>1113</v>
      </c>
      <c r="M421" s="10">
        <v>15</v>
      </c>
      <c r="N421">
        <v>352.65</v>
      </c>
      <c r="O421" s="3">
        <v>485.86</v>
      </c>
      <c r="P421" s="11" t="s">
        <v>1468</v>
      </c>
      <c r="Q421" s="4">
        <v>4.1000000000000002E-2</v>
      </c>
      <c r="R421" s="3">
        <v>6989.0961000000007</v>
      </c>
      <c r="S421" s="3">
        <v>5289.75</v>
      </c>
      <c r="T421" s="4">
        <v>0.243142471599439</v>
      </c>
      <c r="U421" s="11" t="s">
        <v>662</v>
      </c>
      <c r="V421" s="3">
        <v>1699.3461000000007</v>
      </c>
      <c r="W421" s="11" t="s">
        <v>1432</v>
      </c>
      <c r="X421" t="str">
        <f>TEXT(Table1_1[[#This Row],[OrderDate]],"mm yyyy")</f>
        <v>02 2023</v>
      </c>
      <c r="Y421" s="13">
        <f>DATE(YEAR(Table1_1[[#This Row],[OrderDate]]),MONTH(B421),1)</f>
        <v>44958</v>
      </c>
      <c r="Z421" s="2">
        <f t="shared" si="6"/>
        <v>44927</v>
      </c>
      <c r="AA421">
        <f>(YEAR(Table1_1[[#This Row],[OrderMonth]])-YEAR(Table1_1[[#This Row],[Firstmonth]]))*12+(MONTH(Table1_1[[#This Row],[OrderMonth]])-MONTH(Table1_1[[#This Row],[Firstmonth]]))</f>
        <v>1</v>
      </c>
    </row>
    <row r="422" spans="1:27" x14ac:dyDescent="0.25">
      <c r="A422" s="11" t="s">
        <v>612</v>
      </c>
      <c r="B422" s="2">
        <v>45880</v>
      </c>
      <c r="C422" s="2">
        <v>45897</v>
      </c>
      <c r="D422" s="11" t="s">
        <v>1413</v>
      </c>
      <c r="E422">
        <v>17</v>
      </c>
      <c r="F422" s="11" t="s">
        <v>1464</v>
      </c>
      <c r="G422" s="11" t="s">
        <v>1456</v>
      </c>
      <c r="H422" s="11" t="s">
        <v>1504</v>
      </c>
      <c r="I422" s="11" t="s">
        <v>643</v>
      </c>
      <c r="J422" s="11" t="s">
        <v>649</v>
      </c>
      <c r="K422" s="11" t="s">
        <v>670</v>
      </c>
      <c r="L422" s="11" t="s">
        <v>1275</v>
      </c>
      <c r="M422" s="10">
        <v>10</v>
      </c>
      <c r="N422">
        <v>416.16</v>
      </c>
      <c r="O422" s="3">
        <v>571.9</v>
      </c>
      <c r="P422" s="11" t="s">
        <v>1468</v>
      </c>
      <c r="Q422" s="4">
        <v>7.0999999999999994E-2</v>
      </c>
      <c r="R422" s="3">
        <v>5312.951</v>
      </c>
      <c r="S422" s="3">
        <v>4161.6000000000004</v>
      </c>
      <c r="T422" s="4">
        <v>0.216706497010795</v>
      </c>
      <c r="U422" s="11" t="s">
        <v>662</v>
      </c>
      <c r="V422" s="3">
        <v>1151.3509999999997</v>
      </c>
      <c r="W422" s="11" t="s">
        <v>1438</v>
      </c>
      <c r="X422" t="str">
        <f>TEXT(Table1_1[[#This Row],[OrderDate]],"mm yyyy")</f>
        <v>08 2025</v>
      </c>
      <c r="Y422" s="13">
        <f>DATE(YEAR(Table1_1[[#This Row],[OrderDate]]),MONTH(B422),1)</f>
        <v>45870</v>
      </c>
      <c r="Z422" s="2">
        <f t="shared" si="6"/>
        <v>44958</v>
      </c>
      <c r="AA422">
        <f>(YEAR(Table1_1[[#This Row],[OrderMonth]])-YEAR(Table1_1[[#This Row],[Firstmonth]]))*12+(MONTH(Table1_1[[#This Row],[OrderMonth]])-MONTH(Table1_1[[#This Row],[Firstmonth]]))</f>
        <v>30</v>
      </c>
    </row>
    <row r="423" spans="1:27" x14ac:dyDescent="0.25">
      <c r="A423" s="11" t="s">
        <v>228</v>
      </c>
      <c r="B423" s="2">
        <v>45576</v>
      </c>
      <c r="C423" s="2">
        <v>45605</v>
      </c>
      <c r="D423" s="11" t="s">
        <v>1413</v>
      </c>
      <c r="E423">
        <v>29</v>
      </c>
      <c r="F423" s="11" t="s">
        <v>1476</v>
      </c>
      <c r="G423" s="11" t="s">
        <v>1457</v>
      </c>
      <c r="H423" s="11" t="s">
        <v>1511</v>
      </c>
      <c r="I423" s="11" t="s">
        <v>644</v>
      </c>
      <c r="J423" s="11" t="s">
        <v>649</v>
      </c>
      <c r="K423" s="11" t="s">
        <v>669</v>
      </c>
      <c r="L423" s="11" t="s">
        <v>893</v>
      </c>
      <c r="M423" s="10">
        <v>6</v>
      </c>
      <c r="N423">
        <v>391.64</v>
      </c>
      <c r="O423" s="3">
        <v>504.76</v>
      </c>
      <c r="P423" s="11" t="s">
        <v>1468</v>
      </c>
      <c r="Q423" s="4">
        <v>4.0000000000000001E-3</v>
      </c>
      <c r="R423" s="3">
        <v>3016.4457600000001</v>
      </c>
      <c r="S423" s="3">
        <v>2349.84</v>
      </c>
      <c r="T423" s="4">
        <v>0.22099046793402299</v>
      </c>
      <c r="U423" s="11" t="s">
        <v>662</v>
      </c>
      <c r="V423" s="3">
        <v>666.60575999999992</v>
      </c>
      <c r="W423" s="11" t="s">
        <v>1440</v>
      </c>
      <c r="X423" t="str">
        <f>TEXT(Table1_1[[#This Row],[OrderDate]],"mm yyyy")</f>
        <v>10 2024</v>
      </c>
      <c r="Y423" s="13">
        <f>DATE(YEAR(Table1_1[[#This Row],[OrderDate]]),MONTH(B423),1)</f>
        <v>45566</v>
      </c>
      <c r="Z423" s="2">
        <f t="shared" si="6"/>
        <v>44927</v>
      </c>
      <c r="AA423">
        <f>(YEAR(Table1_1[[#This Row],[OrderMonth]])-YEAR(Table1_1[[#This Row],[Firstmonth]]))*12+(MONTH(Table1_1[[#This Row],[OrderMonth]])-MONTH(Table1_1[[#This Row],[Firstmonth]]))</f>
        <v>21</v>
      </c>
    </row>
    <row r="424" spans="1:27" x14ac:dyDescent="0.25">
      <c r="A424" s="11" t="s">
        <v>587</v>
      </c>
      <c r="B424" s="2">
        <v>45140</v>
      </c>
      <c r="C424" s="2">
        <v>45157</v>
      </c>
      <c r="D424" s="11" t="s">
        <v>1413</v>
      </c>
      <c r="E424">
        <v>17</v>
      </c>
      <c r="F424" s="11" t="s">
        <v>1473</v>
      </c>
      <c r="G424" s="11" t="s">
        <v>1452</v>
      </c>
      <c r="H424" s="11" t="s">
        <v>1475</v>
      </c>
      <c r="I424" s="11" t="s">
        <v>642</v>
      </c>
      <c r="J424" s="11" t="s">
        <v>649</v>
      </c>
      <c r="K424" s="11" t="s">
        <v>670</v>
      </c>
      <c r="L424" s="11" t="s">
        <v>1250</v>
      </c>
      <c r="M424" s="10">
        <v>42</v>
      </c>
      <c r="N424">
        <v>175.38</v>
      </c>
      <c r="O424" s="3">
        <v>347.9</v>
      </c>
      <c r="P424" s="11" t="s">
        <v>1468</v>
      </c>
      <c r="Q424" s="4">
        <v>7.1999999999999995E-2</v>
      </c>
      <c r="R424" s="3">
        <v>13559.750400000001</v>
      </c>
      <c r="S424" s="3">
        <v>7365.96</v>
      </c>
      <c r="T424" s="4">
        <v>0.45677761148169799</v>
      </c>
      <c r="U424" s="11" t="s">
        <v>662</v>
      </c>
      <c r="V424" s="3">
        <v>6193.7904000000008</v>
      </c>
      <c r="W424" s="11" t="s">
        <v>1430</v>
      </c>
      <c r="X424" t="str">
        <f>TEXT(Table1_1[[#This Row],[OrderDate]],"mm yyyy")</f>
        <v>08 2023</v>
      </c>
      <c r="Y424" s="13">
        <f>DATE(YEAR(Table1_1[[#This Row],[OrderDate]]),MONTH(B424),1)</f>
        <v>45139</v>
      </c>
      <c r="Z424" s="2">
        <f t="shared" si="6"/>
        <v>45017</v>
      </c>
      <c r="AA424">
        <f>(YEAR(Table1_1[[#This Row],[OrderMonth]])-YEAR(Table1_1[[#This Row],[Firstmonth]]))*12+(MONTH(Table1_1[[#This Row],[OrderMonth]])-MONTH(Table1_1[[#This Row],[Firstmonth]]))</f>
        <v>4</v>
      </c>
    </row>
    <row r="425" spans="1:27" x14ac:dyDescent="0.25">
      <c r="A425" s="11" t="s">
        <v>262</v>
      </c>
      <c r="B425" s="2">
        <v>45366</v>
      </c>
      <c r="C425" s="2">
        <v>45391</v>
      </c>
      <c r="D425" s="11" t="s">
        <v>1413</v>
      </c>
      <c r="E425">
        <v>25</v>
      </c>
      <c r="F425" s="11" t="s">
        <v>1473</v>
      </c>
      <c r="G425" s="11" t="s">
        <v>1452</v>
      </c>
      <c r="H425" s="11" t="s">
        <v>1475</v>
      </c>
      <c r="I425" s="11" t="s">
        <v>645</v>
      </c>
      <c r="J425" s="11" t="s">
        <v>649</v>
      </c>
      <c r="K425" s="11" t="s">
        <v>673</v>
      </c>
      <c r="L425" s="11" t="s">
        <v>927</v>
      </c>
      <c r="M425" s="10">
        <v>24</v>
      </c>
      <c r="N425">
        <v>648.64</v>
      </c>
      <c r="O425" s="3">
        <v>815.19</v>
      </c>
      <c r="P425" s="11" t="s">
        <v>1468</v>
      </c>
      <c r="Q425" s="4">
        <v>0.22500000000000001</v>
      </c>
      <c r="R425" s="3">
        <v>15162.534000000001</v>
      </c>
      <c r="S425" s="3">
        <v>15567.36</v>
      </c>
      <c r="T425" s="4">
        <v>-2.6699099240272001E-2</v>
      </c>
      <c r="U425" s="11" t="s">
        <v>662</v>
      </c>
      <c r="V425" s="3">
        <v>-404.82599999999911</v>
      </c>
      <c r="W425" s="11" t="s">
        <v>1433</v>
      </c>
      <c r="X425" t="str">
        <f>TEXT(Table1_1[[#This Row],[OrderDate]],"mm yyyy")</f>
        <v>03 2024</v>
      </c>
      <c r="Y425" s="13">
        <f>DATE(YEAR(Table1_1[[#This Row],[OrderDate]]),MONTH(B425),1)</f>
        <v>45352</v>
      </c>
      <c r="Z425" s="2">
        <f t="shared" si="6"/>
        <v>45017</v>
      </c>
      <c r="AA425">
        <f>(YEAR(Table1_1[[#This Row],[OrderMonth]])-YEAR(Table1_1[[#This Row],[Firstmonth]]))*12+(MONTH(Table1_1[[#This Row],[OrderMonth]])-MONTH(Table1_1[[#This Row],[Firstmonth]]))</f>
        <v>11</v>
      </c>
    </row>
    <row r="426" spans="1:27" x14ac:dyDescent="0.25">
      <c r="A426" s="11" t="s">
        <v>249</v>
      </c>
      <c r="B426" s="2">
        <v>45381</v>
      </c>
      <c r="C426" s="2">
        <v>45406</v>
      </c>
      <c r="D426" s="11" t="s">
        <v>1413</v>
      </c>
      <c r="E426">
        <v>25</v>
      </c>
      <c r="F426" s="11" t="s">
        <v>1473</v>
      </c>
      <c r="G426" s="11" t="s">
        <v>1458</v>
      </c>
      <c r="H426" s="11" t="s">
        <v>1500</v>
      </c>
      <c r="I426" s="11" t="s">
        <v>644</v>
      </c>
      <c r="J426" s="11" t="s">
        <v>649</v>
      </c>
      <c r="K426" s="11" t="s">
        <v>672</v>
      </c>
      <c r="L426" s="11" t="s">
        <v>914</v>
      </c>
      <c r="M426" s="10">
        <v>24</v>
      </c>
      <c r="N426">
        <v>160.82</v>
      </c>
      <c r="O426" s="3">
        <v>258.52</v>
      </c>
      <c r="P426" s="11" t="s">
        <v>1468</v>
      </c>
      <c r="Q426" s="4">
        <v>0.13</v>
      </c>
      <c r="R426" s="3">
        <v>5397.8975999999993</v>
      </c>
      <c r="S426" s="3">
        <v>3859.68</v>
      </c>
      <c r="T426" s="4">
        <v>0.28496605789631901</v>
      </c>
      <c r="U426" s="11" t="s">
        <v>656</v>
      </c>
      <c r="V426" s="3">
        <v>1538.2175999999995</v>
      </c>
      <c r="W426" s="11" t="s">
        <v>1433</v>
      </c>
      <c r="X426" t="str">
        <f>TEXT(Table1_1[[#This Row],[OrderDate]],"mm yyyy")</f>
        <v>03 2024</v>
      </c>
      <c r="Y426" s="13">
        <f>DATE(YEAR(Table1_1[[#This Row],[OrderDate]]),MONTH(B426),1)</f>
        <v>45352</v>
      </c>
      <c r="Z426" s="2">
        <f t="shared" si="6"/>
        <v>45292</v>
      </c>
      <c r="AA426">
        <f>(YEAR(Table1_1[[#This Row],[OrderMonth]])-YEAR(Table1_1[[#This Row],[Firstmonth]]))*12+(MONTH(Table1_1[[#This Row],[OrderMonth]])-MONTH(Table1_1[[#This Row],[Firstmonth]]))</f>
        <v>2</v>
      </c>
    </row>
    <row r="427" spans="1:27" x14ac:dyDescent="0.25">
      <c r="A427" s="11" t="s">
        <v>124</v>
      </c>
      <c r="B427" s="2">
        <v>45674</v>
      </c>
      <c r="C427" s="2">
        <v>45681</v>
      </c>
      <c r="D427" s="11" t="s">
        <v>1413</v>
      </c>
      <c r="E427">
        <v>7</v>
      </c>
      <c r="F427" s="11" t="s">
        <v>1473</v>
      </c>
      <c r="G427" s="11" t="s">
        <v>1458</v>
      </c>
      <c r="H427" s="11" t="s">
        <v>1500</v>
      </c>
      <c r="I427" s="11" t="s">
        <v>647</v>
      </c>
      <c r="J427" s="11" t="s">
        <v>649</v>
      </c>
      <c r="K427" s="11" t="s">
        <v>674</v>
      </c>
      <c r="L427" s="11" t="s">
        <v>788</v>
      </c>
      <c r="M427" s="10">
        <v>8</v>
      </c>
      <c r="N427">
        <v>142.09</v>
      </c>
      <c r="O427" s="3">
        <v>218.5</v>
      </c>
      <c r="P427" s="11" t="s">
        <v>1468</v>
      </c>
      <c r="Q427" s="4">
        <v>0.11899999999999999</v>
      </c>
      <c r="R427" s="3">
        <v>1539.9880000000001</v>
      </c>
      <c r="S427" s="3">
        <v>1136.72</v>
      </c>
      <c r="T427" s="4">
        <v>0.261864378163986</v>
      </c>
      <c r="U427" s="11" t="s">
        <v>656</v>
      </c>
      <c r="V427" s="3">
        <v>403.26800000000003</v>
      </c>
      <c r="W427" s="11" t="s">
        <v>1434</v>
      </c>
      <c r="X427" t="str">
        <f>TEXT(Table1_1[[#This Row],[OrderDate]],"mm yyyy")</f>
        <v>01 2025</v>
      </c>
      <c r="Y427" s="13">
        <f>DATE(YEAR(Table1_1[[#This Row],[OrderDate]]),MONTH(B427),1)</f>
        <v>45658</v>
      </c>
      <c r="Z427" s="2">
        <f t="shared" si="6"/>
        <v>45292</v>
      </c>
      <c r="AA427">
        <f>(YEAR(Table1_1[[#This Row],[OrderMonth]])-YEAR(Table1_1[[#This Row],[Firstmonth]]))*12+(MONTH(Table1_1[[#This Row],[OrderMonth]])-MONTH(Table1_1[[#This Row],[Firstmonth]]))</f>
        <v>12</v>
      </c>
    </row>
    <row r="428" spans="1:27" x14ac:dyDescent="0.25">
      <c r="A428" s="11" t="s">
        <v>513</v>
      </c>
      <c r="B428" s="2">
        <v>45740</v>
      </c>
      <c r="C428" s="2">
        <v>45741</v>
      </c>
      <c r="D428" s="11" t="s">
        <v>1413</v>
      </c>
      <c r="E428">
        <v>1</v>
      </c>
      <c r="F428" s="11" t="s">
        <v>1476</v>
      </c>
      <c r="G428" s="11" t="s">
        <v>1457</v>
      </c>
      <c r="H428" s="11" t="s">
        <v>1477</v>
      </c>
      <c r="I428" s="11" t="s">
        <v>644</v>
      </c>
      <c r="J428" s="11" t="s">
        <v>649</v>
      </c>
      <c r="K428" s="11" t="s">
        <v>670</v>
      </c>
      <c r="L428" s="11" t="s">
        <v>1177</v>
      </c>
      <c r="M428" s="10">
        <v>21</v>
      </c>
      <c r="N428">
        <v>1133.03</v>
      </c>
      <c r="O428" s="3">
        <v>1921.51</v>
      </c>
      <c r="P428" s="11" t="s">
        <v>1471</v>
      </c>
      <c r="Q428" s="4">
        <v>0.10100000000000001</v>
      </c>
      <c r="R428" s="3">
        <v>36276.187290000002</v>
      </c>
      <c r="S428" s="3">
        <v>23793.63</v>
      </c>
      <c r="T428" s="4">
        <v>0.34409782897556501</v>
      </c>
      <c r="U428" s="11" t="s">
        <v>656</v>
      </c>
      <c r="V428" s="3">
        <v>12482.557290000001</v>
      </c>
      <c r="W428" s="11" t="s">
        <v>1434</v>
      </c>
      <c r="X428" t="str">
        <f>TEXT(Table1_1[[#This Row],[OrderDate]],"mm yyyy")</f>
        <v>03 2025</v>
      </c>
      <c r="Y428" s="13">
        <f>DATE(YEAR(Table1_1[[#This Row],[OrderDate]]),MONTH(B428),1)</f>
        <v>45717</v>
      </c>
      <c r="Z428" s="2">
        <f t="shared" si="6"/>
        <v>44927</v>
      </c>
      <c r="AA428">
        <f>(YEAR(Table1_1[[#This Row],[OrderMonth]])-YEAR(Table1_1[[#This Row],[Firstmonth]]))*12+(MONTH(Table1_1[[#This Row],[OrderMonth]])-MONTH(Table1_1[[#This Row],[Firstmonth]]))</f>
        <v>26</v>
      </c>
    </row>
    <row r="429" spans="1:27" x14ac:dyDescent="0.25">
      <c r="A429" s="11" t="s">
        <v>21</v>
      </c>
      <c r="B429" s="2">
        <v>45319</v>
      </c>
      <c r="C429" s="2">
        <v>45331</v>
      </c>
      <c r="D429" s="11" t="s">
        <v>1413</v>
      </c>
      <c r="E429">
        <v>12</v>
      </c>
      <c r="F429" s="11" t="s">
        <v>1464</v>
      </c>
      <c r="G429" s="11" t="s">
        <v>1455</v>
      </c>
      <c r="H429" s="11" t="s">
        <v>1465</v>
      </c>
      <c r="I429" s="11" t="s">
        <v>642</v>
      </c>
      <c r="J429" s="11" t="s">
        <v>649</v>
      </c>
      <c r="K429" s="11" t="s">
        <v>674</v>
      </c>
      <c r="L429" s="11" t="s">
        <v>685</v>
      </c>
      <c r="M429" s="10">
        <v>18</v>
      </c>
      <c r="N429">
        <v>644.16999999999996</v>
      </c>
      <c r="O429" s="3">
        <v>700.12</v>
      </c>
      <c r="P429" s="11" t="s">
        <v>1468</v>
      </c>
      <c r="Q429" s="4">
        <v>6.0000000000000001E-3</v>
      </c>
      <c r="R429" s="3">
        <v>12526.547039999999</v>
      </c>
      <c r="S429" s="3">
        <v>11595.06</v>
      </c>
      <c r="T429" s="4">
        <v>7.4361037964058102E-2</v>
      </c>
      <c r="U429" s="11" t="s">
        <v>656</v>
      </c>
      <c r="V429" s="3">
        <v>931.48703999999998</v>
      </c>
      <c r="W429" s="11" t="s">
        <v>1433</v>
      </c>
      <c r="X429" t="str">
        <f>TEXT(Table1_1[[#This Row],[OrderDate]],"mm yyyy")</f>
        <v>01 2024</v>
      </c>
      <c r="Y429" s="13">
        <f>DATE(YEAR(Table1_1[[#This Row],[OrderDate]]),MONTH(B429),1)</f>
        <v>45292</v>
      </c>
      <c r="Z429" s="2">
        <f t="shared" si="6"/>
        <v>44927</v>
      </c>
      <c r="AA429">
        <f>(YEAR(Table1_1[[#This Row],[OrderMonth]])-YEAR(Table1_1[[#This Row],[Firstmonth]]))*12+(MONTH(Table1_1[[#This Row],[OrderMonth]])-MONTH(Table1_1[[#This Row],[Firstmonth]]))</f>
        <v>12</v>
      </c>
    </row>
    <row r="430" spans="1:27" x14ac:dyDescent="0.25">
      <c r="A430" s="11" t="s">
        <v>580</v>
      </c>
      <c r="B430" s="2">
        <v>45760</v>
      </c>
      <c r="C430" s="2">
        <v>45761</v>
      </c>
      <c r="D430" s="11" t="s">
        <v>1413</v>
      </c>
      <c r="E430">
        <v>1</v>
      </c>
      <c r="F430" s="11" t="s">
        <v>1476</v>
      </c>
      <c r="G430" s="11" t="s">
        <v>1451</v>
      </c>
      <c r="H430" s="11" t="s">
        <v>1487</v>
      </c>
      <c r="I430" s="11" t="s">
        <v>647</v>
      </c>
      <c r="J430" s="11" t="s">
        <v>649</v>
      </c>
      <c r="K430" s="11" t="s">
        <v>668</v>
      </c>
      <c r="L430" s="11" t="s">
        <v>1243</v>
      </c>
      <c r="M430" s="10">
        <v>34</v>
      </c>
      <c r="N430">
        <v>138.9</v>
      </c>
      <c r="O430" s="3">
        <v>289.92</v>
      </c>
      <c r="P430" s="11" t="s">
        <v>1468</v>
      </c>
      <c r="Q430" s="4">
        <v>2.9000000000000001E-2</v>
      </c>
      <c r="R430" s="3">
        <v>9571.4188800000011</v>
      </c>
      <c r="S430" s="3">
        <v>4722.6000000000004</v>
      </c>
      <c r="T430" s="4">
        <v>0.50659353025828502</v>
      </c>
      <c r="U430" s="11" t="s">
        <v>656</v>
      </c>
      <c r="V430" s="3">
        <v>4848.8188800000007</v>
      </c>
      <c r="W430" s="11" t="s">
        <v>1431</v>
      </c>
      <c r="X430" t="str">
        <f>TEXT(Table1_1[[#This Row],[OrderDate]],"mm yyyy")</f>
        <v>04 2025</v>
      </c>
      <c r="Y430" s="13">
        <f>DATE(YEAR(Table1_1[[#This Row],[OrderDate]]),MONTH(B430),1)</f>
        <v>45748</v>
      </c>
      <c r="Z430" s="2">
        <f t="shared" si="6"/>
        <v>45017</v>
      </c>
      <c r="AA430">
        <f>(YEAR(Table1_1[[#This Row],[OrderMonth]])-YEAR(Table1_1[[#This Row],[Firstmonth]]))*12+(MONTH(Table1_1[[#This Row],[OrderMonth]])-MONTH(Table1_1[[#This Row],[Firstmonth]]))</f>
        <v>24</v>
      </c>
    </row>
    <row r="431" spans="1:27" x14ac:dyDescent="0.25">
      <c r="A431" s="11" t="s">
        <v>149</v>
      </c>
      <c r="B431" s="2">
        <v>45616</v>
      </c>
      <c r="C431" s="2">
        <v>45641</v>
      </c>
      <c r="D431" s="11" t="s">
        <v>1413</v>
      </c>
      <c r="E431">
        <v>25</v>
      </c>
      <c r="F431" s="11" t="s">
        <v>1464</v>
      </c>
      <c r="G431" s="11" t="s">
        <v>1456</v>
      </c>
      <c r="H431" s="11" t="s">
        <v>1504</v>
      </c>
      <c r="I431" s="11" t="s">
        <v>642</v>
      </c>
      <c r="J431" s="11" t="s">
        <v>649</v>
      </c>
      <c r="K431" s="11" t="s">
        <v>669</v>
      </c>
      <c r="L431" s="11" t="s">
        <v>813</v>
      </c>
      <c r="M431" s="10">
        <v>24</v>
      </c>
      <c r="N431">
        <v>1203.58</v>
      </c>
      <c r="O431" s="3">
        <v>1856.16</v>
      </c>
      <c r="P431" s="11" t="s">
        <v>1471</v>
      </c>
      <c r="Q431" s="4">
        <v>0.129</v>
      </c>
      <c r="R431" s="3">
        <v>38801.168640000004</v>
      </c>
      <c r="S431" s="3">
        <v>28885.919999999998</v>
      </c>
      <c r="T431" s="4">
        <v>0.25553994860294998</v>
      </c>
      <c r="U431" s="11" t="s">
        <v>656</v>
      </c>
      <c r="V431" s="3">
        <v>9915.2486400000053</v>
      </c>
      <c r="W431" s="11" t="s">
        <v>1440</v>
      </c>
      <c r="X431" t="str">
        <f>TEXT(Table1_1[[#This Row],[OrderDate]],"mm yyyy")</f>
        <v>11 2024</v>
      </c>
      <c r="Y431" s="13">
        <f>DATE(YEAR(Table1_1[[#This Row],[OrderDate]]),MONTH(B431),1)</f>
        <v>45597</v>
      </c>
      <c r="Z431" s="2">
        <f t="shared" si="6"/>
        <v>44958</v>
      </c>
      <c r="AA431">
        <f>(YEAR(Table1_1[[#This Row],[OrderMonth]])-YEAR(Table1_1[[#This Row],[Firstmonth]]))*12+(MONTH(Table1_1[[#This Row],[OrderMonth]])-MONTH(Table1_1[[#This Row],[Firstmonth]]))</f>
        <v>21</v>
      </c>
    </row>
    <row r="432" spans="1:27" x14ac:dyDescent="0.25">
      <c r="A432" s="11" t="s">
        <v>346</v>
      </c>
      <c r="B432" s="2">
        <v>45484</v>
      </c>
      <c r="C432" s="2">
        <v>45504</v>
      </c>
      <c r="D432" s="11" t="s">
        <v>1413</v>
      </c>
      <c r="E432">
        <v>20</v>
      </c>
      <c r="F432" s="11" t="s">
        <v>1476</v>
      </c>
      <c r="G432" s="11" t="s">
        <v>1457</v>
      </c>
      <c r="H432" s="11" t="s">
        <v>1513</v>
      </c>
      <c r="I432" s="11" t="s">
        <v>645</v>
      </c>
      <c r="J432" s="11" t="s">
        <v>649</v>
      </c>
      <c r="K432" s="11" t="s">
        <v>671</v>
      </c>
      <c r="L432" s="11" t="s">
        <v>1011</v>
      </c>
      <c r="M432" s="10">
        <v>11</v>
      </c>
      <c r="N432">
        <v>647.26</v>
      </c>
      <c r="O432" s="3">
        <v>1374.72</v>
      </c>
      <c r="P432" s="11" t="s">
        <v>1466</v>
      </c>
      <c r="Q432" s="4">
        <v>6.6000000000000003E-2</v>
      </c>
      <c r="R432" s="3">
        <v>14123.87328</v>
      </c>
      <c r="S432" s="3">
        <v>7119.86</v>
      </c>
      <c r="T432" s="4">
        <v>0.49589890401508901</v>
      </c>
      <c r="U432" s="11" t="s">
        <v>656</v>
      </c>
      <c r="V432" s="3">
        <v>7004.0132800000001</v>
      </c>
      <c r="W432" s="11" t="s">
        <v>1437</v>
      </c>
      <c r="X432" t="str">
        <f>TEXT(Table1_1[[#This Row],[OrderDate]],"mm yyyy")</f>
        <v>07 2024</v>
      </c>
      <c r="Y432" s="13">
        <f>DATE(YEAR(Table1_1[[#This Row],[OrderDate]]),MONTH(B432),1)</f>
        <v>45474</v>
      </c>
      <c r="Z432" s="2">
        <f t="shared" si="6"/>
        <v>44927</v>
      </c>
      <c r="AA432">
        <f>(YEAR(Table1_1[[#This Row],[OrderMonth]])-YEAR(Table1_1[[#This Row],[Firstmonth]]))*12+(MONTH(Table1_1[[#This Row],[OrderMonth]])-MONTH(Table1_1[[#This Row],[Firstmonth]]))</f>
        <v>18</v>
      </c>
    </row>
    <row r="433" spans="1:27" x14ac:dyDescent="0.25">
      <c r="A433" s="11" t="s">
        <v>504</v>
      </c>
      <c r="B433" s="2">
        <v>45439</v>
      </c>
      <c r="C433" s="2">
        <v>45460</v>
      </c>
      <c r="D433" s="11" t="s">
        <v>1413</v>
      </c>
      <c r="E433">
        <v>21</v>
      </c>
      <c r="F433" s="11" t="s">
        <v>1476</v>
      </c>
      <c r="G433" s="11" t="s">
        <v>1453</v>
      </c>
      <c r="H433" s="11" t="s">
        <v>1479</v>
      </c>
      <c r="I433" s="11" t="s">
        <v>646</v>
      </c>
      <c r="J433" s="11" t="s">
        <v>649</v>
      </c>
      <c r="K433" s="11" t="s">
        <v>674</v>
      </c>
      <c r="L433" s="11" t="s">
        <v>1168</v>
      </c>
      <c r="M433" s="10">
        <v>21</v>
      </c>
      <c r="N433">
        <v>465.02</v>
      </c>
      <c r="O433" s="3">
        <v>651.55999999999995</v>
      </c>
      <c r="P433" s="11" t="s">
        <v>1468</v>
      </c>
      <c r="Q433" s="4">
        <v>4.2000000000000003E-2</v>
      </c>
      <c r="R433" s="3">
        <v>13108.084079999999</v>
      </c>
      <c r="S433" s="3">
        <v>9765.42</v>
      </c>
      <c r="T433" s="4">
        <v>0.25500783025187901</v>
      </c>
      <c r="U433" s="11" t="s">
        <v>663</v>
      </c>
      <c r="V433" s="3">
        <v>3342.6640799999986</v>
      </c>
      <c r="W433" s="11" t="s">
        <v>1436</v>
      </c>
      <c r="X433" t="str">
        <f>TEXT(Table1_1[[#This Row],[OrderDate]],"mm yyyy")</f>
        <v>05 2024</v>
      </c>
      <c r="Y433" s="13">
        <f>DATE(YEAR(Table1_1[[#This Row],[OrderDate]]),MONTH(B433),1)</f>
        <v>45413</v>
      </c>
      <c r="Z433" s="2">
        <f t="shared" si="6"/>
        <v>44927</v>
      </c>
      <c r="AA433">
        <f>(YEAR(Table1_1[[#This Row],[OrderMonth]])-YEAR(Table1_1[[#This Row],[Firstmonth]]))*12+(MONTH(Table1_1[[#This Row],[OrderMonth]])-MONTH(Table1_1[[#This Row],[Firstmonth]]))</f>
        <v>16</v>
      </c>
    </row>
    <row r="434" spans="1:27" x14ac:dyDescent="0.25">
      <c r="A434" s="11" t="s">
        <v>221</v>
      </c>
      <c r="B434" s="2">
        <v>45852</v>
      </c>
      <c r="C434" s="2">
        <v>45873</v>
      </c>
      <c r="D434" s="11" t="s">
        <v>1413</v>
      </c>
      <c r="E434">
        <v>21</v>
      </c>
      <c r="F434" s="11" t="s">
        <v>1473</v>
      </c>
      <c r="G434" s="11" t="s">
        <v>1452</v>
      </c>
      <c r="H434" s="11" t="s">
        <v>1492</v>
      </c>
      <c r="I434" s="11" t="s">
        <v>645</v>
      </c>
      <c r="J434" s="11" t="s">
        <v>649</v>
      </c>
      <c r="K434" s="11" t="s">
        <v>673</v>
      </c>
      <c r="L434" s="11" t="s">
        <v>886</v>
      </c>
      <c r="M434" s="10">
        <v>10</v>
      </c>
      <c r="N434">
        <v>90.3</v>
      </c>
      <c r="O434" s="3">
        <v>131.76</v>
      </c>
      <c r="P434" s="11" t="s">
        <v>1468</v>
      </c>
      <c r="Q434" s="4">
        <v>0.10199999999999999</v>
      </c>
      <c r="R434" s="3">
        <v>1183.2048</v>
      </c>
      <c r="S434" s="3">
        <v>903</v>
      </c>
      <c r="T434" s="4">
        <v>0.23681851189244699</v>
      </c>
      <c r="U434" s="11" t="s">
        <v>663</v>
      </c>
      <c r="V434" s="3">
        <v>280.20479999999998</v>
      </c>
      <c r="W434" s="11" t="s">
        <v>1438</v>
      </c>
      <c r="X434" t="str">
        <f>TEXT(Table1_1[[#This Row],[OrderDate]],"mm yyyy")</f>
        <v>07 2025</v>
      </c>
      <c r="Y434" s="13">
        <f>DATE(YEAR(Table1_1[[#This Row],[OrderDate]]),MONTH(B434),1)</f>
        <v>45839</v>
      </c>
      <c r="Z434" s="2">
        <f t="shared" si="6"/>
        <v>45017</v>
      </c>
      <c r="AA434">
        <f>(YEAR(Table1_1[[#This Row],[OrderMonth]])-YEAR(Table1_1[[#This Row],[Firstmonth]]))*12+(MONTH(Table1_1[[#This Row],[OrderMonth]])-MONTH(Table1_1[[#This Row],[Firstmonth]]))</f>
        <v>27</v>
      </c>
    </row>
    <row r="435" spans="1:27" x14ac:dyDescent="0.25">
      <c r="A435" s="11" t="s">
        <v>264</v>
      </c>
      <c r="B435" s="2">
        <v>45592</v>
      </c>
      <c r="C435" s="2">
        <v>45616</v>
      </c>
      <c r="D435" s="11" t="s">
        <v>1413</v>
      </c>
      <c r="E435">
        <v>24</v>
      </c>
      <c r="F435" s="11" t="s">
        <v>1476</v>
      </c>
      <c r="G435" s="11" t="s">
        <v>1451</v>
      </c>
      <c r="H435" s="11" t="s">
        <v>1484</v>
      </c>
      <c r="I435" s="11" t="s">
        <v>644</v>
      </c>
      <c r="J435" s="11" t="s">
        <v>649</v>
      </c>
      <c r="K435" s="11" t="s">
        <v>673</v>
      </c>
      <c r="L435" s="11" t="s">
        <v>929</v>
      </c>
      <c r="M435" s="10">
        <v>14</v>
      </c>
      <c r="N435">
        <v>317.25</v>
      </c>
      <c r="O435" s="3">
        <v>758.92</v>
      </c>
      <c r="P435" s="11" t="s">
        <v>1468</v>
      </c>
      <c r="Q435" s="4">
        <v>5.2999999999999999E-2</v>
      </c>
      <c r="R435" s="3">
        <v>10061.761359999999</v>
      </c>
      <c r="S435" s="3">
        <v>4441.5</v>
      </c>
      <c r="T435" s="4">
        <v>0.55857629284898902</v>
      </c>
      <c r="U435" s="11" t="s">
        <v>663</v>
      </c>
      <c r="V435" s="3">
        <v>5620.2613599999986</v>
      </c>
      <c r="W435" s="11" t="s">
        <v>1440</v>
      </c>
      <c r="X435" t="str">
        <f>TEXT(Table1_1[[#This Row],[OrderDate]],"mm yyyy")</f>
        <v>10 2024</v>
      </c>
      <c r="Y435" s="13">
        <f>DATE(YEAR(Table1_1[[#This Row],[OrderDate]]),MONTH(B435),1)</f>
        <v>45566</v>
      </c>
      <c r="Z435" s="2">
        <f t="shared" si="6"/>
        <v>45017</v>
      </c>
      <c r="AA435">
        <f>(YEAR(Table1_1[[#This Row],[OrderMonth]])-YEAR(Table1_1[[#This Row],[Firstmonth]]))*12+(MONTH(Table1_1[[#This Row],[OrderMonth]])-MONTH(Table1_1[[#This Row],[Firstmonth]]))</f>
        <v>18</v>
      </c>
    </row>
    <row r="436" spans="1:27" x14ac:dyDescent="0.25">
      <c r="A436" s="11" t="s">
        <v>115</v>
      </c>
      <c r="B436" s="2">
        <v>45549</v>
      </c>
      <c r="C436" s="2">
        <v>45570</v>
      </c>
      <c r="D436" s="11" t="s">
        <v>1413</v>
      </c>
      <c r="E436">
        <v>21</v>
      </c>
      <c r="F436" s="11" t="s">
        <v>1476</v>
      </c>
      <c r="G436" s="11" t="s">
        <v>1457</v>
      </c>
      <c r="H436" s="11" t="s">
        <v>1511</v>
      </c>
      <c r="I436" s="11" t="s">
        <v>646</v>
      </c>
      <c r="J436" s="11" t="s">
        <v>649</v>
      </c>
      <c r="K436" s="11" t="s">
        <v>672</v>
      </c>
      <c r="L436" s="11" t="s">
        <v>779</v>
      </c>
      <c r="M436" s="10">
        <v>13</v>
      </c>
      <c r="N436">
        <v>1405.56</v>
      </c>
      <c r="O436" s="3">
        <v>2968.87</v>
      </c>
      <c r="P436" s="11" t="s">
        <v>1471</v>
      </c>
      <c r="Q436" s="4">
        <v>0.16900000000000001</v>
      </c>
      <c r="R436" s="3">
        <v>32072.702609999997</v>
      </c>
      <c r="S436" s="3">
        <v>18272.28</v>
      </c>
      <c r="T436" s="4">
        <v>0.430285616332724</v>
      </c>
      <c r="U436" s="11" t="s">
        <v>663</v>
      </c>
      <c r="V436" s="3">
        <v>13800.422609999998</v>
      </c>
      <c r="W436" s="11" t="s">
        <v>1437</v>
      </c>
      <c r="X436" t="str">
        <f>TEXT(Table1_1[[#This Row],[OrderDate]],"mm yyyy")</f>
        <v>09 2024</v>
      </c>
      <c r="Y436" s="13">
        <f>DATE(YEAR(Table1_1[[#This Row],[OrderDate]]),MONTH(B436),1)</f>
        <v>45536</v>
      </c>
      <c r="Z436" s="2">
        <f t="shared" si="6"/>
        <v>44927</v>
      </c>
      <c r="AA436">
        <f>(YEAR(Table1_1[[#This Row],[OrderMonth]])-YEAR(Table1_1[[#This Row],[Firstmonth]]))*12+(MONTH(Table1_1[[#This Row],[OrderMonth]])-MONTH(Table1_1[[#This Row],[Firstmonth]]))</f>
        <v>20</v>
      </c>
    </row>
    <row r="437" spans="1:27" x14ac:dyDescent="0.25">
      <c r="A437" s="11" t="s">
        <v>200</v>
      </c>
      <c r="B437" s="2">
        <v>45325</v>
      </c>
      <c r="C437" s="2">
        <v>45341</v>
      </c>
      <c r="D437" s="11" t="s">
        <v>1413</v>
      </c>
      <c r="E437">
        <v>16</v>
      </c>
      <c r="F437" s="11" t="s">
        <v>1476</v>
      </c>
      <c r="G437" s="11" t="s">
        <v>1457</v>
      </c>
      <c r="H437" s="11" t="s">
        <v>1513</v>
      </c>
      <c r="I437" s="11" t="s">
        <v>646</v>
      </c>
      <c r="J437" s="11" t="s">
        <v>649</v>
      </c>
      <c r="K437" s="11" t="s">
        <v>672</v>
      </c>
      <c r="L437" s="11" t="s">
        <v>865</v>
      </c>
      <c r="M437" s="10">
        <v>30</v>
      </c>
      <c r="N437">
        <v>993.75</v>
      </c>
      <c r="O437" s="3">
        <v>1310.29</v>
      </c>
      <c r="P437" s="11" t="s">
        <v>1466</v>
      </c>
      <c r="Q437" s="4">
        <v>0.215</v>
      </c>
      <c r="R437" s="3">
        <v>30857.3295</v>
      </c>
      <c r="S437" s="3">
        <v>29812.5</v>
      </c>
      <c r="T437" s="4">
        <v>3.3860010471742197E-2</v>
      </c>
      <c r="U437" s="11" t="s">
        <v>663</v>
      </c>
      <c r="V437" s="3">
        <v>1044.8294999999998</v>
      </c>
      <c r="W437" s="11" t="s">
        <v>1433</v>
      </c>
      <c r="X437" t="str">
        <f>TEXT(Table1_1[[#This Row],[OrderDate]],"mm yyyy")</f>
        <v>02 2024</v>
      </c>
      <c r="Y437" s="13">
        <f>DATE(YEAR(Table1_1[[#This Row],[OrderDate]]),MONTH(B437),1)</f>
        <v>45323</v>
      </c>
      <c r="Z437" s="2">
        <f t="shared" si="6"/>
        <v>44927</v>
      </c>
      <c r="AA437">
        <f>(YEAR(Table1_1[[#This Row],[OrderMonth]])-YEAR(Table1_1[[#This Row],[Firstmonth]]))*12+(MONTH(Table1_1[[#This Row],[OrderMonth]])-MONTH(Table1_1[[#This Row],[Firstmonth]]))</f>
        <v>13</v>
      </c>
    </row>
    <row r="438" spans="1:27" x14ac:dyDescent="0.25">
      <c r="A438" s="11" t="s">
        <v>247</v>
      </c>
      <c r="B438" s="2">
        <v>45855</v>
      </c>
      <c r="C438" s="2">
        <v>45861</v>
      </c>
      <c r="D438" s="11" t="s">
        <v>1413</v>
      </c>
      <c r="E438">
        <v>6</v>
      </c>
      <c r="F438" s="11" t="s">
        <v>1473</v>
      </c>
      <c r="G438" s="11" t="s">
        <v>1452</v>
      </c>
      <c r="H438" s="11" t="s">
        <v>1475</v>
      </c>
      <c r="I438" s="11" t="s">
        <v>645</v>
      </c>
      <c r="J438" s="11" t="s">
        <v>649</v>
      </c>
      <c r="K438" s="11" t="s">
        <v>668</v>
      </c>
      <c r="L438" s="11" t="s">
        <v>912</v>
      </c>
      <c r="M438" s="10">
        <v>22</v>
      </c>
      <c r="N438">
        <v>1364.89</v>
      </c>
      <c r="O438" s="3">
        <v>2757.54</v>
      </c>
      <c r="P438" s="11" t="s">
        <v>1471</v>
      </c>
      <c r="Q438" s="4">
        <v>0.17199999999999999</v>
      </c>
      <c r="R438" s="3">
        <v>50231.348640000004</v>
      </c>
      <c r="S438" s="3">
        <v>30027.58</v>
      </c>
      <c r="T438" s="4">
        <v>0.40221433799831202</v>
      </c>
      <c r="U438" s="11" t="s">
        <v>663</v>
      </c>
      <c r="V438" s="3">
        <v>20203.768640000002</v>
      </c>
      <c r="W438" s="11" t="s">
        <v>1438</v>
      </c>
      <c r="X438" t="str">
        <f>TEXT(Table1_1[[#This Row],[OrderDate]],"mm yyyy")</f>
        <v>07 2025</v>
      </c>
      <c r="Y438" s="13">
        <f>DATE(YEAR(Table1_1[[#This Row],[OrderDate]]),MONTH(B438),1)</f>
        <v>45839</v>
      </c>
      <c r="Z438" s="2">
        <f t="shared" si="6"/>
        <v>45017</v>
      </c>
      <c r="AA438">
        <f>(YEAR(Table1_1[[#This Row],[OrderMonth]])-YEAR(Table1_1[[#This Row],[Firstmonth]]))*12+(MONTH(Table1_1[[#This Row],[OrderMonth]])-MONTH(Table1_1[[#This Row],[Firstmonth]]))</f>
        <v>27</v>
      </c>
    </row>
    <row r="439" spans="1:27" x14ac:dyDescent="0.25">
      <c r="A439" s="11" t="s">
        <v>266</v>
      </c>
      <c r="B439" s="2">
        <v>45204</v>
      </c>
      <c r="C439" s="2">
        <v>45205</v>
      </c>
      <c r="D439" s="11" t="s">
        <v>1413</v>
      </c>
      <c r="E439">
        <v>1</v>
      </c>
      <c r="F439" s="11" t="s">
        <v>1476</v>
      </c>
      <c r="G439" s="11" t="s">
        <v>1453</v>
      </c>
      <c r="H439" s="11" t="s">
        <v>1497</v>
      </c>
      <c r="I439" s="11" t="s">
        <v>644</v>
      </c>
      <c r="J439" s="11" t="s">
        <v>649</v>
      </c>
      <c r="K439" s="11" t="s">
        <v>668</v>
      </c>
      <c r="L439" s="11" t="s">
        <v>931</v>
      </c>
      <c r="M439" s="10">
        <v>7</v>
      </c>
      <c r="N439">
        <v>1470.26</v>
      </c>
      <c r="O439" s="3">
        <v>2562.5500000000002</v>
      </c>
      <c r="P439" s="11" t="s">
        <v>1471</v>
      </c>
      <c r="Q439" s="4">
        <v>0.17299999999999999</v>
      </c>
      <c r="R439" s="3">
        <v>14834.60195</v>
      </c>
      <c r="S439" s="3">
        <v>10291.82</v>
      </c>
      <c r="T439" s="4">
        <v>0.30622877279157501</v>
      </c>
      <c r="U439" s="11" t="s">
        <v>655</v>
      </c>
      <c r="V439" s="3">
        <v>4542.7819500000005</v>
      </c>
      <c r="W439" s="11" t="s">
        <v>1439</v>
      </c>
      <c r="X439" t="str">
        <f>TEXT(Table1_1[[#This Row],[OrderDate]],"mm yyyy")</f>
        <v>10 2023</v>
      </c>
      <c r="Y439" s="13">
        <f>DATE(YEAR(Table1_1[[#This Row],[OrderDate]]),MONTH(B439),1)</f>
        <v>45200</v>
      </c>
      <c r="Z439" s="2">
        <f t="shared" si="6"/>
        <v>44927</v>
      </c>
      <c r="AA439">
        <f>(YEAR(Table1_1[[#This Row],[OrderMonth]])-YEAR(Table1_1[[#This Row],[Firstmonth]]))*12+(MONTH(Table1_1[[#This Row],[OrderMonth]])-MONTH(Table1_1[[#This Row],[Firstmonth]]))</f>
        <v>9</v>
      </c>
    </row>
    <row r="440" spans="1:27" x14ac:dyDescent="0.25">
      <c r="A440" s="11" t="s">
        <v>541</v>
      </c>
      <c r="B440" s="2">
        <v>45727</v>
      </c>
      <c r="C440" s="2">
        <v>45742</v>
      </c>
      <c r="D440" s="11" t="s">
        <v>1413</v>
      </c>
      <c r="E440">
        <v>15</v>
      </c>
      <c r="F440" s="11" t="s">
        <v>1464</v>
      </c>
      <c r="G440" s="11" t="s">
        <v>1455</v>
      </c>
      <c r="H440" s="11" t="s">
        <v>1465</v>
      </c>
      <c r="I440" s="11" t="s">
        <v>646</v>
      </c>
      <c r="J440" s="11" t="s">
        <v>649</v>
      </c>
      <c r="K440" s="11" t="s">
        <v>671</v>
      </c>
      <c r="L440" s="11" t="s">
        <v>1205</v>
      </c>
      <c r="M440" s="10">
        <v>24</v>
      </c>
      <c r="N440">
        <v>116.97</v>
      </c>
      <c r="O440" s="3">
        <v>140.82</v>
      </c>
      <c r="P440" s="11" t="s">
        <v>1468</v>
      </c>
      <c r="Q440" s="4">
        <v>0.122</v>
      </c>
      <c r="R440" s="3">
        <v>2967.3590399999998</v>
      </c>
      <c r="S440" s="3">
        <v>2807.2799999999997</v>
      </c>
      <c r="T440" s="4">
        <v>5.3946636669892203E-2</v>
      </c>
      <c r="U440" s="11" t="s">
        <v>655</v>
      </c>
      <c r="V440" s="3">
        <v>160.07904000000008</v>
      </c>
      <c r="W440" s="11" t="s">
        <v>1434</v>
      </c>
      <c r="X440" t="str">
        <f>TEXT(Table1_1[[#This Row],[OrderDate]],"mm yyyy")</f>
        <v>03 2025</v>
      </c>
      <c r="Y440" s="13">
        <f>DATE(YEAR(Table1_1[[#This Row],[OrderDate]]),MONTH(B440),1)</f>
        <v>45717</v>
      </c>
      <c r="Z440" s="2">
        <f t="shared" si="6"/>
        <v>44927</v>
      </c>
      <c r="AA440">
        <f>(YEAR(Table1_1[[#This Row],[OrderMonth]])-YEAR(Table1_1[[#This Row],[Firstmonth]]))*12+(MONTH(Table1_1[[#This Row],[OrderMonth]])-MONTH(Table1_1[[#This Row],[Firstmonth]]))</f>
        <v>26</v>
      </c>
    </row>
    <row r="441" spans="1:27" x14ac:dyDescent="0.25">
      <c r="A441" s="11" t="s">
        <v>392</v>
      </c>
      <c r="B441" s="2">
        <v>45861</v>
      </c>
      <c r="C441" s="2">
        <v>45886</v>
      </c>
      <c r="D441" s="11" t="s">
        <v>1413</v>
      </c>
      <c r="E441">
        <v>25</v>
      </c>
      <c r="F441" s="11" t="s">
        <v>1464</v>
      </c>
      <c r="G441" s="11" t="s">
        <v>1469</v>
      </c>
      <c r="H441" s="11" t="s">
        <v>1507</v>
      </c>
      <c r="I441" s="11" t="s">
        <v>643</v>
      </c>
      <c r="J441" s="11" t="s">
        <v>649</v>
      </c>
      <c r="K441" s="11" t="s">
        <v>669</v>
      </c>
      <c r="L441" s="11" t="s">
        <v>1056</v>
      </c>
      <c r="M441" s="10">
        <v>6</v>
      </c>
      <c r="N441">
        <v>1142.06</v>
      </c>
      <c r="O441" s="3">
        <v>1455</v>
      </c>
      <c r="P441" s="11" t="s">
        <v>1466</v>
      </c>
      <c r="Q441" s="4">
        <v>7.8E-2</v>
      </c>
      <c r="R441" s="3">
        <v>8049.06</v>
      </c>
      <c r="S441" s="3">
        <v>6852.36</v>
      </c>
      <c r="T441" s="4">
        <v>0.14867574598773001</v>
      </c>
      <c r="U441" s="11" t="s">
        <v>655</v>
      </c>
      <c r="V441" s="3">
        <v>1196.7000000000007</v>
      </c>
      <c r="W441" s="11" t="s">
        <v>1438</v>
      </c>
      <c r="X441" t="str">
        <f>TEXT(Table1_1[[#This Row],[OrderDate]],"mm yyyy")</f>
        <v>07 2025</v>
      </c>
      <c r="Y441" s="13">
        <f>DATE(YEAR(Table1_1[[#This Row],[OrderDate]]),MONTH(B441),1)</f>
        <v>45839</v>
      </c>
      <c r="Z441" s="2">
        <f t="shared" si="6"/>
        <v>44927</v>
      </c>
      <c r="AA441">
        <f>(YEAR(Table1_1[[#This Row],[OrderMonth]])-YEAR(Table1_1[[#This Row],[Firstmonth]]))*12+(MONTH(Table1_1[[#This Row],[OrderMonth]])-MONTH(Table1_1[[#This Row],[Firstmonth]]))</f>
        <v>30</v>
      </c>
    </row>
    <row r="442" spans="1:27" x14ac:dyDescent="0.25">
      <c r="A442" s="11" t="s">
        <v>399</v>
      </c>
      <c r="B442" s="2">
        <v>45225</v>
      </c>
      <c r="C442" s="2">
        <v>45235</v>
      </c>
      <c r="D442" s="11" t="s">
        <v>1413</v>
      </c>
      <c r="E442">
        <v>10</v>
      </c>
      <c r="F442" s="11" t="s">
        <v>1485</v>
      </c>
      <c r="G442" s="11" t="s">
        <v>1501</v>
      </c>
      <c r="H442" s="11" t="s">
        <v>1502</v>
      </c>
      <c r="I442" s="11" t="s">
        <v>644</v>
      </c>
      <c r="J442" s="11" t="s">
        <v>649</v>
      </c>
      <c r="K442" s="11" t="s">
        <v>672</v>
      </c>
      <c r="L442" s="11" t="s">
        <v>1063</v>
      </c>
      <c r="M442" s="10">
        <v>11</v>
      </c>
      <c r="N442">
        <v>20.38</v>
      </c>
      <c r="O442" s="3">
        <v>42.56</v>
      </c>
      <c r="P442" s="11" t="s">
        <v>1468</v>
      </c>
      <c r="Q442" s="4">
        <v>7.1999999999999995E-2</v>
      </c>
      <c r="R442" s="3">
        <v>434.45248000000004</v>
      </c>
      <c r="S442" s="3">
        <v>224.17999999999998</v>
      </c>
      <c r="T442" s="4">
        <v>0.48399419885921702</v>
      </c>
      <c r="U442" s="11" t="s">
        <v>655</v>
      </c>
      <c r="V442" s="3">
        <v>210.27248000000006</v>
      </c>
      <c r="W442" s="11" t="s">
        <v>1439</v>
      </c>
      <c r="X442" t="str">
        <f>TEXT(Table1_1[[#This Row],[OrderDate]],"mm yyyy")</f>
        <v>10 2023</v>
      </c>
      <c r="Y442" s="13">
        <f>DATE(YEAR(Table1_1[[#This Row],[OrderDate]]),MONTH(B442),1)</f>
        <v>45200</v>
      </c>
      <c r="Z442" s="2">
        <f t="shared" si="6"/>
        <v>45200</v>
      </c>
      <c r="AA442">
        <f>(YEAR(Table1_1[[#This Row],[OrderMonth]])-YEAR(Table1_1[[#This Row],[Firstmonth]]))*12+(MONTH(Table1_1[[#This Row],[OrderMonth]])-MONTH(Table1_1[[#This Row],[Firstmonth]]))</f>
        <v>0</v>
      </c>
    </row>
    <row r="443" spans="1:27" x14ac:dyDescent="0.25">
      <c r="A443" s="11" t="s">
        <v>321</v>
      </c>
      <c r="B443" s="2">
        <v>45435</v>
      </c>
      <c r="C443" s="2">
        <v>45449</v>
      </c>
      <c r="D443" s="11" t="s">
        <v>1413</v>
      </c>
      <c r="E443">
        <v>14</v>
      </c>
      <c r="F443" s="11" t="s">
        <v>1473</v>
      </c>
      <c r="G443" s="11" t="s">
        <v>1505</v>
      </c>
      <c r="H443" s="11" t="s">
        <v>1506</v>
      </c>
      <c r="I443" s="11" t="s">
        <v>644</v>
      </c>
      <c r="J443" s="11" t="s">
        <v>649</v>
      </c>
      <c r="K443" s="11" t="s">
        <v>670</v>
      </c>
      <c r="L443" s="11" t="s">
        <v>986</v>
      </c>
      <c r="M443" s="10">
        <v>26</v>
      </c>
      <c r="N443">
        <v>51.13</v>
      </c>
      <c r="O443" s="3">
        <v>57.53</v>
      </c>
      <c r="P443" s="11" t="s">
        <v>1468</v>
      </c>
      <c r="Q443" s="4">
        <v>4.4999999999999998E-2</v>
      </c>
      <c r="R443" s="3">
        <v>1428.4698999999998</v>
      </c>
      <c r="S443" s="3">
        <v>1329.38</v>
      </c>
      <c r="T443" s="4">
        <v>6.9367859973808205E-2</v>
      </c>
      <c r="U443" s="11" t="s">
        <v>655</v>
      </c>
      <c r="V443" s="3">
        <v>99.089899999999716</v>
      </c>
      <c r="W443" s="11" t="s">
        <v>1436</v>
      </c>
      <c r="X443" t="str">
        <f>TEXT(Table1_1[[#This Row],[OrderDate]],"mm yyyy")</f>
        <v>05 2024</v>
      </c>
      <c r="Y443" s="13">
        <f>DATE(YEAR(Table1_1[[#This Row],[OrderDate]]),MONTH(B443),1)</f>
        <v>45413</v>
      </c>
      <c r="Z443" s="2">
        <f t="shared" si="6"/>
        <v>45047</v>
      </c>
      <c r="AA443">
        <f>(YEAR(Table1_1[[#This Row],[OrderMonth]])-YEAR(Table1_1[[#This Row],[Firstmonth]]))*12+(MONTH(Table1_1[[#This Row],[OrderMonth]])-MONTH(Table1_1[[#This Row],[Firstmonth]]))</f>
        <v>12</v>
      </c>
    </row>
    <row r="444" spans="1:27" x14ac:dyDescent="0.25">
      <c r="A444" s="11" t="s">
        <v>565</v>
      </c>
      <c r="B444" s="2">
        <v>45535</v>
      </c>
      <c r="C444" s="2">
        <v>45561</v>
      </c>
      <c r="D444" s="11" t="s">
        <v>1413</v>
      </c>
      <c r="E444">
        <v>26</v>
      </c>
      <c r="F444" s="11" t="s">
        <v>1476</v>
      </c>
      <c r="G444" s="11" t="s">
        <v>1451</v>
      </c>
      <c r="H444" s="11" t="s">
        <v>1510</v>
      </c>
      <c r="I444" s="11" t="s">
        <v>643</v>
      </c>
      <c r="J444" s="11" t="s">
        <v>649</v>
      </c>
      <c r="K444" s="11" t="s">
        <v>671</v>
      </c>
      <c r="L444" s="11" t="s">
        <v>1228</v>
      </c>
      <c r="M444" s="10">
        <v>11</v>
      </c>
      <c r="N444">
        <v>1189.03</v>
      </c>
      <c r="O444" s="3">
        <v>2949.62</v>
      </c>
      <c r="P444" s="11" t="s">
        <v>1471</v>
      </c>
      <c r="Q444" s="4">
        <v>0.125</v>
      </c>
      <c r="R444" s="3">
        <v>28390.092499999999</v>
      </c>
      <c r="S444" s="3">
        <v>13079.33</v>
      </c>
      <c r="T444" s="4">
        <v>0.53929949330034799</v>
      </c>
      <c r="U444" s="11" t="s">
        <v>655</v>
      </c>
      <c r="V444" s="3">
        <v>15310.762499999999</v>
      </c>
      <c r="W444" s="11" t="s">
        <v>1437</v>
      </c>
      <c r="X444" t="str">
        <f>TEXT(Table1_1[[#This Row],[OrderDate]],"mm yyyy")</f>
        <v>08 2024</v>
      </c>
      <c r="Y444" s="13">
        <f>DATE(YEAR(Table1_1[[#This Row],[OrderDate]]),MONTH(B444),1)</f>
        <v>45505</v>
      </c>
      <c r="Z444" s="2">
        <f t="shared" si="6"/>
        <v>45017</v>
      </c>
      <c r="AA444">
        <f>(YEAR(Table1_1[[#This Row],[OrderMonth]])-YEAR(Table1_1[[#This Row],[Firstmonth]]))*12+(MONTH(Table1_1[[#This Row],[OrderMonth]])-MONTH(Table1_1[[#This Row],[Firstmonth]]))</f>
        <v>16</v>
      </c>
    </row>
    <row r="445" spans="1:27" x14ac:dyDescent="0.25">
      <c r="A445" s="11" t="s">
        <v>57</v>
      </c>
      <c r="B445" s="2">
        <v>45100</v>
      </c>
      <c r="C445" s="2">
        <v>45110</v>
      </c>
      <c r="D445" s="11" t="s">
        <v>1413</v>
      </c>
      <c r="E445">
        <v>10</v>
      </c>
      <c r="F445" s="11" t="s">
        <v>1485</v>
      </c>
      <c r="G445" s="11" t="s">
        <v>1450</v>
      </c>
      <c r="H445" s="11" t="s">
        <v>1508</v>
      </c>
      <c r="I445" s="11" t="s">
        <v>645</v>
      </c>
      <c r="J445" s="11" t="s">
        <v>649</v>
      </c>
      <c r="K445" s="11" t="s">
        <v>669</v>
      </c>
      <c r="L445" s="11" t="s">
        <v>721</v>
      </c>
      <c r="M445" s="10">
        <v>32</v>
      </c>
      <c r="N445">
        <v>337.75</v>
      </c>
      <c r="O445" s="3">
        <v>548.89</v>
      </c>
      <c r="P445" s="11" t="s">
        <v>1468</v>
      </c>
      <c r="Q445" s="4">
        <v>0</v>
      </c>
      <c r="R445" s="3">
        <v>17564.48</v>
      </c>
      <c r="S445" s="3">
        <v>10808</v>
      </c>
      <c r="T445" s="4">
        <v>0.38466723751571402</v>
      </c>
      <c r="U445" s="11" t="s">
        <v>654</v>
      </c>
      <c r="V445" s="3">
        <v>6756.48</v>
      </c>
      <c r="W445" s="11" t="s">
        <v>1435</v>
      </c>
      <c r="X445" t="str">
        <f>TEXT(Table1_1[[#This Row],[OrderDate]],"mm yyyy")</f>
        <v>06 2023</v>
      </c>
      <c r="Y445" s="13">
        <f>DATE(YEAR(Table1_1[[#This Row],[OrderDate]]),MONTH(B445),1)</f>
        <v>45078</v>
      </c>
      <c r="Z445" s="2">
        <f t="shared" si="6"/>
        <v>44927</v>
      </c>
      <c r="AA445">
        <f>(YEAR(Table1_1[[#This Row],[OrderMonth]])-YEAR(Table1_1[[#This Row],[Firstmonth]]))*12+(MONTH(Table1_1[[#This Row],[OrderMonth]])-MONTH(Table1_1[[#This Row],[Firstmonth]]))</f>
        <v>5</v>
      </c>
    </row>
    <row r="446" spans="1:27" x14ac:dyDescent="0.25">
      <c r="A446" s="11" t="s">
        <v>194</v>
      </c>
      <c r="B446" s="2">
        <v>45157</v>
      </c>
      <c r="C446" s="2">
        <v>45161</v>
      </c>
      <c r="D446" s="11" t="s">
        <v>1413</v>
      </c>
      <c r="E446">
        <v>4</v>
      </c>
      <c r="F446" s="11" t="s">
        <v>1485</v>
      </c>
      <c r="G446" s="11" t="s">
        <v>1450</v>
      </c>
      <c r="H446" s="11" t="s">
        <v>1508</v>
      </c>
      <c r="I446" s="11" t="s">
        <v>646</v>
      </c>
      <c r="J446" s="11" t="s">
        <v>649</v>
      </c>
      <c r="K446" s="11" t="s">
        <v>673</v>
      </c>
      <c r="L446" s="11" t="s">
        <v>858</v>
      </c>
      <c r="M446" s="10">
        <v>21</v>
      </c>
      <c r="N446">
        <v>790.63</v>
      </c>
      <c r="O446" s="3">
        <v>1382.31</v>
      </c>
      <c r="P446" s="11" t="s">
        <v>1466</v>
      </c>
      <c r="Q446" s="4">
        <v>0.10100000000000001</v>
      </c>
      <c r="R446" s="3">
        <v>26096.63049</v>
      </c>
      <c r="S446" s="3">
        <v>16603.23</v>
      </c>
      <c r="T446" s="4">
        <v>0.36377878338116398</v>
      </c>
      <c r="U446" s="11" t="s">
        <v>654</v>
      </c>
      <c r="V446" s="3">
        <v>9493.40049</v>
      </c>
      <c r="W446" s="11" t="s">
        <v>1430</v>
      </c>
      <c r="X446" t="str">
        <f>TEXT(Table1_1[[#This Row],[OrderDate]],"mm yyyy")</f>
        <v>08 2023</v>
      </c>
      <c r="Y446" s="13">
        <f>DATE(YEAR(Table1_1[[#This Row],[OrderDate]]),MONTH(B446),1)</f>
        <v>45139</v>
      </c>
      <c r="Z446" s="2">
        <f t="shared" si="6"/>
        <v>44927</v>
      </c>
      <c r="AA446">
        <f>(YEAR(Table1_1[[#This Row],[OrderMonth]])-YEAR(Table1_1[[#This Row],[Firstmonth]]))*12+(MONTH(Table1_1[[#This Row],[OrderMonth]])-MONTH(Table1_1[[#This Row],[Firstmonth]]))</f>
        <v>7</v>
      </c>
    </row>
    <row r="447" spans="1:27" x14ac:dyDescent="0.25">
      <c r="A447" s="11" t="s">
        <v>23</v>
      </c>
      <c r="B447" s="2">
        <v>45722</v>
      </c>
      <c r="C447" s="2">
        <v>45747</v>
      </c>
      <c r="D447" s="11" t="s">
        <v>1413</v>
      </c>
      <c r="E447">
        <v>25</v>
      </c>
      <c r="F447" s="11" t="s">
        <v>1473</v>
      </c>
      <c r="G447" s="11" t="s">
        <v>1454</v>
      </c>
      <c r="H447" s="11" t="s">
        <v>1478</v>
      </c>
      <c r="I447" s="11" t="s">
        <v>644</v>
      </c>
      <c r="J447" s="11" t="s">
        <v>649</v>
      </c>
      <c r="K447" s="11" t="s">
        <v>668</v>
      </c>
      <c r="L447" s="11" t="s">
        <v>687</v>
      </c>
      <c r="M447" s="10">
        <v>4</v>
      </c>
      <c r="N447">
        <v>331.57</v>
      </c>
      <c r="O447" s="3">
        <v>548.4</v>
      </c>
      <c r="P447" s="11" t="s">
        <v>1468</v>
      </c>
      <c r="Q447" s="4">
        <v>9.4E-2</v>
      </c>
      <c r="R447" s="3">
        <v>1987.4015999999999</v>
      </c>
      <c r="S447" s="3">
        <v>1326.28</v>
      </c>
      <c r="T447" s="4">
        <v>0.33265626836568901</v>
      </c>
      <c r="U447" s="11" t="s">
        <v>654</v>
      </c>
      <c r="V447" s="3">
        <v>661.12159999999994</v>
      </c>
      <c r="W447" s="11" t="s">
        <v>1434</v>
      </c>
      <c r="X447" t="str">
        <f>TEXT(Table1_1[[#This Row],[OrderDate]],"mm yyyy")</f>
        <v>03 2025</v>
      </c>
      <c r="Y447" s="13">
        <f>DATE(YEAR(Table1_1[[#This Row],[OrderDate]]),MONTH(B447),1)</f>
        <v>45717</v>
      </c>
      <c r="Z447" s="2">
        <f t="shared" si="6"/>
        <v>45413</v>
      </c>
      <c r="AA447">
        <f>(YEAR(Table1_1[[#This Row],[OrderMonth]])-YEAR(Table1_1[[#This Row],[Firstmonth]]))*12+(MONTH(Table1_1[[#This Row],[OrderMonth]])-MONTH(Table1_1[[#This Row],[Firstmonth]]))</f>
        <v>10</v>
      </c>
    </row>
    <row r="448" spans="1:27" x14ac:dyDescent="0.25">
      <c r="A448" s="11" t="s">
        <v>488</v>
      </c>
      <c r="B448" s="2">
        <v>45123</v>
      </c>
      <c r="C448" s="2">
        <v>45151</v>
      </c>
      <c r="D448" s="11" t="s">
        <v>1413</v>
      </c>
      <c r="E448">
        <v>28</v>
      </c>
      <c r="F448" s="11" t="s">
        <v>1464</v>
      </c>
      <c r="G448" s="11" t="s">
        <v>1469</v>
      </c>
      <c r="H448" s="11" t="s">
        <v>1482</v>
      </c>
      <c r="I448" s="11" t="s">
        <v>644</v>
      </c>
      <c r="J448" s="11" t="s">
        <v>649</v>
      </c>
      <c r="K448" s="11" t="s">
        <v>672</v>
      </c>
      <c r="L448" s="11" t="s">
        <v>1152</v>
      </c>
      <c r="M448" s="10">
        <v>8</v>
      </c>
      <c r="N448">
        <v>1039.03</v>
      </c>
      <c r="O448" s="3">
        <v>2545.81</v>
      </c>
      <c r="P448" s="11" t="s">
        <v>1471</v>
      </c>
      <c r="Q448" s="4">
        <v>0.216</v>
      </c>
      <c r="R448" s="3">
        <v>15967.320320000001</v>
      </c>
      <c r="S448" s="3">
        <v>8312.24</v>
      </c>
      <c r="T448" s="4">
        <v>0.47942172929364801</v>
      </c>
      <c r="U448" s="11" t="s">
        <v>654</v>
      </c>
      <c r="V448" s="3">
        <v>7655.0803200000009</v>
      </c>
      <c r="W448" s="11" t="s">
        <v>1430</v>
      </c>
      <c r="X448" t="str">
        <f>TEXT(Table1_1[[#This Row],[OrderDate]],"mm yyyy")</f>
        <v>07 2023</v>
      </c>
      <c r="Y448" s="13">
        <f>DATE(YEAR(Table1_1[[#This Row],[OrderDate]]),MONTH(B448),1)</f>
        <v>45108</v>
      </c>
      <c r="Z448" s="2">
        <f t="shared" si="6"/>
        <v>44927</v>
      </c>
      <c r="AA448">
        <f>(YEAR(Table1_1[[#This Row],[OrderMonth]])-YEAR(Table1_1[[#This Row],[Firstmonth]]))*12+(MONTH(Table1_1[[#This Row],[OrderMonth]])-MONTH(Table1_1[[#This Row],[Firstmonth]]))</f>
        <v>6</v>
      </c>
    </row>
    <row r="449" spans="1:27" x14ac:dyDescent="0.25">
      <c r="A449" s="11" t="s">
        <v>118</v>
      </c>
      <c r="B449" s="2">
        <v>45518</v>
      </c>
      <c r="C449" s="2">
        <v>45539</v>
      </c>
      <c r="D449" s="11" t="s">
        <v>1413</v>
      </c>
      <c r="E449">
        <v>21</v>
      </c>
      <c r="F449" s="11" t="s">
        <v>1464</v>
      </c>
      <c r="G449" s="11" t="s">
        <v>1469</v>
      </c>
      <c r="H449" s="11" t="s">
        <v>1482</v>
      </c>
      <c r="I449" s="11" t="s">
        <v>644</v>
      </c>
      <c r="J449" s="11" t="s">
        <v>649</v>
      </c>
      <c r="K449" s="11" t="s">
        <v>671</v>
      </c>
      <c r="L449" s="11" t="s">
        <v>782</v>
      </c>
      <c r="M449" s="10">
        <v>25</v>
      </c>
      <c r="N449">
        <v>1138.8</v>
      </c>
      <c r="O449" s="3">
        <v>2250.81</v>
      </c>
      <c r="P449" s="11" t="s">
        <v>1471</v>
      </c>
      <c r="Q449" s="4">
        <v>0.123</v>
      </c>
      <c r="R449" s="3">
        <v>49349.009250000003</v>
      </c>
      <c r="S449" s="3">
        <v>28470</v>
      </c>
      <c r="T449" s="4">
        <v>0.42308872188756202</v>
      </c>
      <c r="U449" s="11" t="s">
        <v>654</v>
      </c>
      <c r="V449" s="3">
        <v>20879.009250000003</v>
      </c>
      <c r="W449" s="11" t="s">
        <v>1437</v>
      </c>
      <c r="X449" t="str">
        <f>TEXT(Table1_1[[#This Row],[OrderDate]],"mm yyyy")</f>
        <v>08 2024</v>
      </c>
      <c r="Y449" s="13">
        <f>DATE(YEAR(Table1_1[[#This Row],[OrderDate]]),MONTH(B449),1)</f>
        <v>45505</v>
      </c>
      <c r="Z449" s="2">
        <f t="shared" si="6"/>
        <v>44927</v>
      </c>
      <c r="AA449">
        <f>(YEAR(Table1_1[[#This Row],[OrderMonth]])-YEAR(Table1_1[[#This Row],[Firstmonth]]))*12+(MONTH(Table1_1[[#This Row],[OrderMonth]])-MONTH(Table1_1[[#This Row],[Firstmonth]]))</f>
        <v>19</v>
      </c>
    </row>
    <row r="450" spans="1:27" x14ac:dyDescent="0.25">
      <c r="A450" s="11" t="s">
        <v>117</v>
      </c>
      <c r="B450" s="2">
        <v>45057</v>
      </c>
      <c r="C450" s="2">
        <v>45084</v>
      </c>
      <c r="D450" s="11" t="s">
        <v>1413</v>
      </c>
      <c r="E450">
        <v>27</v>
      </c>
      <c r="F450" s="11" t="s">
        <v>1485</v>
      </c>
      <c r="G450" s="11" t="s">
        <v>1449</v>
      </c>
      <c r="H450" s="11" t="s">
        <v>1503</v>
      </c>
      <c r="I450" s="11" t="s">
        <v>642</v>
      </c>
      <c r="J450" s="11" t="s">
        <v>649</v>
      </c>
      <c r="K450" s="11" t="s">
        <v>671</v>
      </c>
      <c r="L450" s="11" t="s">
        <v>781</v>
      </c>
      <c r="M450" s="10">
        <v>23</v>
      </c>
      <c r="N450">
        <v>12.85</v>
      </c>
      <c r="O450" s="3">
        <v>15.41</v>
      </c>
      <c r="P450" s="11" t="s">
        <v>1468</v>
      </c>
      <c r="Q450" s="4">
        <v>0.13700000000000001</v>
      </c>
      <c r="R450" s="3">
        <v>305.87308999999999</v>
      </c>
      <c r="S450" s="3">
        <v>295.55</v>
      </c>
      <c r="T450" s="4">
        <v>3.3749585489851297E-2</v>
      </c>
      <c r="U450" s="11" t="s">
        <v>654</v>
      </c>
      <c r="V450" s="3">
        <v>10.323089999999979</v>
      </c>
      <c r="W450" s="11" t="s">
        <v>1435</v>
      </c>
      <c r="X450" t="str">
        <f>TEXT(Table1_1[[#This Row],[OrderDate]],"mm yyyy")</f>
        <v>05 2023</v>
      </c>
      <c r="Y450" s="13">
        <f>DATE(YEAR(Table1_1[[#This Row],[OrderDate]]),MONTH(B450),1)</f>
        <v>45047</v>
      </c>
      <c r="Z450" s="2">
        <f t="shared" ref="Z450:Z513" si="7">_xlfn.MINIFS(Y450:Y1081,G450:G1081,G450)</f>
        <v>44927</v>
      </c>
      <c r="AA450">
        <f>(YEAR(Table1_1[[#This Row],[OrderMonth]])-YEAR(Table1_1[[#This Row],[Firstmonth]]))*12+(MONTH(Table1_1[[#This Row],[OrderMonth]])-MONTH(Table1_1[[#This Row],[Firstmonth]]))</f>
        <v>4</v>
      </c>
    </row>
    <row r="451" spans="1:27" x14ac:dyDescent="0.25">
      <c r="A451" s="11" t="s">
        <v>204</v>
      </c>
      <c r="B451" s="2">
        <v>45050</v>
      </c>
      <c r="C451" s="2">
        <v>45072</v>
      </c>
      <c r="D451" s="11" t="s">
        <v>1413</v>
      </c>
      <c r="E451">
        <v>22</v>
      </c>
      <c r="F451" s="11" t="s">
        <v>1473</v>
      </c>
      <c r="G451" s="11" t="s">
        <v>1498</v>
      </c>
      <c r="H451" s="11" t="s">
        <v>1499</v>
      </c>
      <c r="I451" s="11" t="s">
        <v>647</v>
      </c>
      <c r="J451" s="11" t="s">
        <v>649</v>
      </c>
      <c r="K451" s="11" t="s">
        <v>670</v>
      </c>
      <c r="L451" s="11" t="s">
        <v>869</v>
      </c>
      <c r="M451" s="10">
        <v>15</v>
      </c>
      <c r="N451">
        <v>249.71</v>
      </c>
      <c r="O451" s="3">
        <v>361.33</v>
      </c>
      <c r="P451" s="11" t="s">
        <v>1468</v>
      </c>
      <c r="Q451" s="4">
        <v>9.4E-2</v>
      </c>
      <c r="R451" s="3">
        <v>4910.4746999999998</v>
      </c>
      <c r="S451" s="3">
        <v>3745.65</v>
      </c>
      <c r="T451" s="4">
        <v>0.237212239378812</v>
      </c>
      <c r="U451" s="11" t="s">
        <v>654</v>
      </c>
      <c r="V451" s="3">
        <v>1164.8246999999997</v>
      </c>
      <c r="W451" s="11" t="s">
        <v>1435</v>
      </c>
      <c r="X451" t="str">
        <f>TEXT(Table1_1[[#This Row],[OrderDate]],"mm yyyy")</f>
        <v>05 2023</v>
      </c>
      <c r="Y451" s="13">
        <f>DATE(YEAR(Table1_1[[#This Row],[OrderDate]]),MONTH(B451),1)</f>
        <v>45047</v>
      </c>
      <c r="Z451" s="2">
        <f t="shared" si="7"/>
        <v>44958</v>
      </c>
      <c r="AA451">
        <f>(YEAR(Table1_1[[#This Row],[OrderMonth]])-YEAR(Table1_1[[#This Row],[Firstmonth]]))*12+(MONTH(Table1_1[[#This Row],[OrderMonth]])-MONTH(Table1_1[[#This Row],[Firstmonth]]))</f>
        <v>3</v>
      </c>
    </row>
    <row r="452" spans="1:27" x14ac:dyDescent="0.25">
      <c r="A452" s="11" t="s">
        <v>147</v>
      </c>
      <c r="B452" s="2">
        <v>45640</v>
      </c>
      <c r="C452" s="2">
        <v>45669</v>
      </c>
      <c r="D452" s="11" t="s">
        <v>1413</v>
      </c>
      <c r="E452">
        <v>29</v>
      </c>
      <c r="F452" s="11" t="s">
        <v>1476</v>
      </c>
      <c r="G452" s="11" t="s">
        <v>1457</v>
      </c>
      <c r="H452" s="11" t="s">
        <v>1513</v>
      </c>
      <c r="I452" s="11" t="s">
        <v>643</v>
      </c>
      <c r="J452" s="11" t="s">
        <v>649</v>
      </c>
      <c r="K452" s="11" t="s">
        <v>668</v>
      </c>
      <c r="L452" s="11" t="s">
        <v>811</v>
      </c>
      <c r="M452" s="10">
        <v>7</v>
      </c>
      <c r="N452">
        <v>1412.15</v>
      </c>
      <c r="O452" s="3">
        <v>1631.04</v>
      </c>
      <c r="P452" s="11" t="s">
        <v>1466</v>
      </c>
      <c r="Q452" s="4">
        <v>8.9999999999999993E-3</v>
      </c>
      <c r="R452" s="3">
        <v>11314.524479999998</v>
      </c>
      <c r="S452" s="3">
        <v>9885.0500000000011</v>
      </c>
      <c r="T452" s="4">
        <v>0.12633977526203499</v>
      </c>
      <c r="U452" s="11" t="s">
        <v>654</v>
      </c>
      <c r="V452" s="3">
        <v>1429.4744799999971</v>
      </c>
      <c r="W452" s="11" t="s">
        <v>1440</v>
      </c>
      <c r="X452" t="str">
        <f>TEXT(Table1_1[[#This Row],[OrderDate]],"mm yyyy")</f>
        <v>12 2024</v>
      </c>
      <c r="Y452" s="13">
        <f>DATE(YEAR(Table1_1[[#This Row],[OrderDate]]),MONTH(B452),1)</f>
        <v>45627</v>
      </c>
      <c r="Z452" s="2">
        <f t="shared" si="7"/>
        <v>44927</v>
      </c>
      <c r="AA452">
        <f>(YEAR(Table1_1[[#This Row],[OrderMonth]])-YEAR(Table1_1[[#This Row],[Firstmonth]]))*12+(MONTH(Table1_1[[#This Row],[OrderMonth]])-MONTH(Table1_1[[#This Row],[Firstmonth]]))</f>
        <v>23</v>
      </c>
    </row>
    <row r="453" spans="1:27" x14ac:dyDescent="0.25">
      <c r="A453" s="11" t="s">
        <v>121</v>
      </c>
      <c r="B453" s="2">
        <v>45452</v>
      </c>
      <c r="C453" s="2">
        <v>45480</v>
      </c>
      <c r="D453" s="11" t="s">
        <v>1413</v>
      </c>
      <c r="E453">
        <v>28</v>
      </c>
      <c r="F453" s="11" t="s">
        <v>1476</v>
      </c>
      <c r="G453" s="11" t="s">
        <v>1457</v>
      </c>
      <c r="H453" s="11" t="s">
        <v>1513</v>
      </c>
      <c r="I453" s="11" t="s">
        <v>642</v>
      </c>
      <c r="J453" s="11" t="s">
        <v>649</v>
      </c>
      <c r="K453" s="11" t="s">
        <v>668</v>
      </c>
      <c r="L453" s="11" t="s">
        <v>785</v>
      </c>
      <c r="M453" s="10">
        <v>10</v>
      </c>
      <c r="N453">
        <v>550.22</v>
      </c>
      <c r="O453" s="3">
        <v>1025.05</v>
      </c>
      <c r="P453" s="11" t="s">
        <v>1466</v>
      </c>
      <c r="Q453" s="4">
        <v>0</v>
      </c>
      <c r="R453" s="3">
        <v>10250.5</v>
      </c>
      <c r="S453" s="3">
        <v>5502.2000000000007</v>
      </c>
      <c r="T453" s="4">
        <v>0.46322618408858102</v>
      </c>
      <c r="U453" s="11" t="s">
        <v>654</v>
      </c>
      <c r="V453" s="3">
        <v>4748.2999999999993</v>
      </c>
      <c r="W453" s="11" t="s">
        <v>1436</v>
      </c>
      <c r="X453" t="str">
        <f>TEXT(Table1_1[[#This Row],[OrderDate]],"mm yyyy")</f>
        <v>06 2024</v>
      </c>
      <c r="Y453" s="13">
        <f>DATE(YEAR(Table1_1[[#This Row],[OrderDate]]),MONTH(B453),1)</f>
        <v>45444</v>
      </c>
      <c r="Z453" s="2">
        <f t="shared" si="7"/>
        <v>44927</v>
      </c>
      <c r="AA453">
        <f>(YEAR(Table1_1[[#This Row],[OrderMonth]])-YEAR(Table1_1[[#This Row],[Firstmonth]]))*12+(MONTH(Table1_1[[#This Row],[OrderMonth]])-MONTH(Table1_1[[#This Row],[Firstmonth]]))</f>
        <v>17</v>
      </c>
    </row>
    <row r="454" spans="1:27" x14ac:dyDescent="0.25">
      <c r="A454" s="11" t="s">
        <v>66</v>
      </c>
      <c r="B454" s="2">
        <v>45753</v>
      </c>
      <c r="C454" s="2">
        <v>45777</v>
      </c>
      <c r="D454" s="11" t="s">
        <v>1413</v>
      </c>
      <c r="E454">
        <v>24</v>
      </c>
      <c r="F454" s="11" t="s">
        <v>1473</v>
      </c>
      <c r="G454" s="11" t="s">
        <v>1454</v>
      </c>
      <c r="H454" s="11" t="s">
        <v>1478</v>
      </c>
      <c r="I454" s="11" t="s">
        <v>643</v>
      </c>
      <c r="J454" s="11" t="s">
        <v>649</v>
      </c>
      <c r="K454" s="11" t="s">
        <v>673</v>
      </c>
      <c r="L454" s="11" t="s">
        <v>730</v>
      </c>
      <c r="M454" s="10">
        <v>12</v>
      </c>
      <c r="N454">
        <v>855.78</v>
      </c>
      <c r="O454" s="3">
        <v>977.38</v>
      </c>
      <c r="P454" s="11" t="s">
        <v>1466</v>
      </c>
      <c r="Q454" s="4">
        <v>0.14699999999999999</v>
      </c>
      <c r="R454" s="3">
        <v>10004.461679999999</v>
      </c>
      <c r="S454" s="3">
        <v>10269.36</v>
      </c>
      <c r="T454" s="4">
        <v>-2.6478018355506599E-2</v>
      </c>
      <c r="U454" s="11" t="s">
        <v>664</v>
      </c>
      <c r="V454" s="3">
        <v>-264.89832000000206</v>
      </c>
      <c r="W454" s="11" t="s">
        <v>1431</v>
      </c>
      <c r="X454" t="str">
        <f>TEXT(Table1_1[[#This Row],[OrderDate]],"mm yyyy")</f>
        <v>04 2025</v>
      </c>
      <c r="Y454" s="13">
        <f>DATE(YEAR(Table1_1[[#This Row],[OrderDate]]),MONTH(B454),1)</f>
        <v>45748</v>
      </c>
      <c r="Z454" s="2">
        <f t="shared" si="7"/>
        <v>45413</v>
      </c>
      <c r="AA454">
        <f>(YEAR(Table1_1[[#This Row],[OrderMonth]])-YEAR(Table1_1[[#This Row],[Firstmonth]]))*12+(MONTH(Table1_1[[#This Row],[OrderMonth]])-MONTH(Table1_1[[#This Row],[Firstmonth]]))</f>
        <v>11</v>
      </c>
    </row>
    <row r="455" spans="1:27" x14ac:dyDescent="0.25">
      <c r="A455" s="11" t="s">
        <v>52</v>
      </c>
      <c r="B455" s="2">
        <v>45302</v>
      </c>
      <c r="C455" s="2">
        <v>45324</v>
      </c>
      <c r="D455" s="11" t="s">
        <v>1413</v>
      </c>
      <c r="E455">
        <v>22</v>
      </c>
      <c r="F455" s="11" t="s">
        <v>1485</v>
      </c>
      <c r="G455" s="11" t="s">
        <v>1490</v>
      </c>
      <c r="H455" s="11" t="s">
        <v>1515</v>
      </c>
      <c r="I455" s="11" t="s">
        <v>645</v>
      </c>
      <c r="J455" s="11" t="s">
        <v>649</v>
      </c>
      <c r="K455" s="11" t="s">
        <v>670</v>
      </c>
      <c r="L455" s="11" t="s">
        <v>716</v>
      </c>
      <c r="M455" s="10">
        <v>19</v>
      </c>
      <c r="N455">
        <v>1206.2</v>
      </c>
      <c r="O455" s="3">
        <v>1759.79</v>
      </c>
      <c r="P455" s="11" t="s">
        <v>1471</v>
      </c>
      <c r="Q455" s="4">
        <v>0</v>
      </c>
      <c r="R455" s="3">
        <v>33436.01</v>
      </c>
      <c r="S455" s="3">
        <v>22917.8</v>
      </c>
      <c r="T455" s="4">
        <v>0.31457730751964702</v>
      </c>
      <c r="U455" s="11" t="s">
        <v>664</v>
      </c>
      <c r="V455" s="3">
        <v>10518.210000000003</v>
      </c>
      <c r="W455" s="11" t="s">
        <v>1433</v>
      </c>
      <c r="X455" t="str">
        <f>TEXT(Table1_1[[#This Row],[OrderDate]],"mm yyyy")</f>
        <v>01 2024</v>
      </c>
      <c r="Y455" s="13">
        <f>DATE(YEAR(Table1_1[[#This Row],[OrderDate]]),MONTH(B455),1)</f>
        <v>45292</v>
      </c>
      <c r="Z455" s="2">
        <f t="shared" si="7"/>
        <v>44958</v>
      </c>
      <c r="AA455">
        <f>(YEAR(Table1_1[[#This Row],[OrderMonth]])-YEAR(Table1_1[[#This Row],[Firstmonth]]))*12+(MONTH(Table1_1[[#This Row],[OrderMonth]])-MONTH(Table1_1[[#This Row],[Firstmonth]]))</f>
        <v>11</v>
      </c>
    </row>
    <row r="456" spans="1:27" x14ac:dyDescent="0.25">
      <c r="A456" s="11" t="s">
        <v>483</v>
      </c>
      <c r="B456" s="2">
        <v>45328</v>
      </c>
      <c r="C456" s="2">
        <v>45350</v>
      </c>
      <c r="D456" s="11" t="s">
        <v>1413</v>
      </c>
      <c r="E456">
        <v>22</v>
      </c>
      <c r="F456" s="11" t="s">
        <v>1485</v>
      </c>
      <c r="G456" s="11" t="s">
        <v>1449</v>
      </c>
      <c r="H456" s="11" t="s">
        <v>1512</v>
      </c>
      <c r="I456" s="11" t="s">
        <v>644</v>
      </c>
      <c r="J456" s="11" t="s">
        <v>649</v>
      </c>
      <c r="K456" s="11" t="s">
        <v>673</v>
      </c>
      <c r="L456" s="11" t="s">
        <v>1147</v>
      </c>
      <c r="M456" s="10">
        <v>15</v>
      </c>
      <c r="N456">
        <v>834.93</v>
      </c>
      <c r="O456" s="3">
        <v>1588.53</v>
      </c>
      <c r="P456" s="11" t="s">
        <v>1466</v>
      </c>
      <c r="Q456" s="4">
        <v>0.126</v>
      </c>
      <c r="R456" s="3">
        <v>20825.6283</v>
      </c>
      <c r="S456" s="3">
        <v>12523.949999999999</v>
      </c>
      <c r="T456" s="4">
        <v>0.39862798761274398</v>
      </c>
      <c r="U456" s="11" t="s">
        <v>664</v>
      </c>
      <c r="V456" s="3">
        <v>8301.6783000000014</v>
      </c>
      <c r="W456" s="11" t="s">
        <v>1433</v>
      </c>
      <c r="X456" t="str">
        <f>TEXT(Table1_1[[#This Row],[OrderDate]],"mm yyyy")</f>
        <v>02 2024</v>
      </c>
      <c r="Y456" s="13">
        <f>DATE(YEAR(Table1_1[[#This Row],[OrderDate]]),MONTH(B456),1)</f>
        <v>45323</v>
      </c>
      <c r="Z456" s="2">
        <f t="shared" si="7"/>
        <v>44927</v>
      </c>
      <c r="AA456">
        <f>(YEAR(Table1_1[[#This Row],[OrderMonth]])-YEAR(Table1_1[[#This Row],[Firstmonth]]))*12+(MONTH(Table1_1[[#This Row],[OrderMonth]])-MONTH(Table1_1[[#This Row],[Firstmonth]]))</f>
        <v>13</v>
      </c>
    </row>
    <row r="457" spans="1:27" x14ac:dyDescent="0.25">
      <c r="A457" s="11" t="s">
        <v>628</v>
      </c>
      <c r="B457" s="2">
        <v>45849</v>
      </c>
      <c r="C457" s="2">
        <v>45854</v>
      </c>
      <c r="D457" s="11" t="s">
        <v>1413</v>
      </c>
      <c r="E457">
        <v>5</v>
      </c>
      <c r="F457" s="11" t="s">
        <v>1464</v>
      </c>
      <c r="G457" s="11" t="s">
        <v>1469</v>
      </c>
      <c r="H457" s="11" t="s">
        <v>1470</v>
      </c>
      <c r="I457" s="11" t="s">
        <v>647</v>
      </c>
      <c r="J457" s="11" t="s">
        <v>649</v>
      </c>
      <c r="K457" s="11" t="s">
        <v>669</v>
      </c>
      <c r="L457" s="11" t="s">
        <v>1291</v>
      </c>
      <c r="M457" s="10">
        <v>8</v>
      </c>
      <c r="N457">
        <v>930.03</v>
      </c>
      <c r="O457" s="3">
        <v>1086.68</v>
      </c>
      <c r="P457" s="11" t="s">
        <v>1466</v>
      </c>
      <c r="Q457" s="4">
        <v>0.109</v>
      </c>
      <c r="R457" s="3">
        <v>7745.8550400000004</v>
      </c>
      <c r="S457" s="3">
        <v>7440.24</v>
      </c>
      <c r="T457" s="4">
        <v>3.9455300728168601E-2</v>
      </c>
      <c r="U457" s="11" t="s">
        <v>664</v>
      </c>
      <c r="V457" s="3">
        <v>305.61504000000059</v>
      </c>
      <c r="W457" s="11" t="s">
        <v>1438</v>
      </c>
      <c r="X457" t="str">
        <f>TEXT(Table1_1[[#This Row],[OrderDate]],"mm yyyy")</f>
        <v>07 2025</v>
      </c>
      <c r="Y457" s="13">
        <f>DATE(YEAR(Table1_1[[#This Row],[OrderDate]]),MONTH(B457),1)</f>
        <v>45839</v>
      </c>
      <c r="Z457" s="2">
        <f t="shared" si="7"/>
        <v>44927</v>
      </c>
      <c r="AA457">
        <f>(YEAR(Table1_1[[#This Row],[OrderMonth]])-YEAR(Table1_1[[#This Row],[Firstmonth]]))*12+(MONTH(Table1_1[[#This Row],[OrderMonth]])-MONTH(Table1_1[[#This Row],[Firstmonth]]))</f>
        <v>30</v>
      </c>
    </row>
    <row r="458" spans="1:27" x14ac:dyDescent="0.25">
      <c r="A458" s="11" t="s">
        <v>212</v>
      </c>
      <c r="B458" s="2">
        <v>45153</v>
      </c>
      <c r="C458" s="2">
        <v>45176</v>
      </c>
      <c r="D458" s="11" t="s">
        <v>1413</v>
      </c>
      <c r="E458">
        <v>23</v>
      </c>
      <c r="F458" s="11" t="s">
        <v>1473</v>
      </c>
      <c r="G458" s="11" t="s">
        <v>1516</v>
      </c>
      <c r="H458" s="11" t="s">
        <v>1517</v>
      </c>
      <c r="I458" s="11" t="s">
        <v>647</v>
      </c>
      <c r="J458" s="11" t="s">
        <v>649</v>
      </c>
      <c r="K458" s="11" t="s">
        <v>671</v>
      </c>
      <c r="L458" s="11" t="s">
        <v>877</v>
      </c>
      <c r="M458" s="10">
        <v>42</v>
      </c>
      <c r="N458">
        <v>590.33000000000004</v>
      </c>
      <c r="O458" s="3">
        <v>973.04</v>
      </c>
      <c r="P458" s="11" t="s">
        <v>1466</v>
      </c>
      <c r="Q458" s="4">
        <v>0</v>
      </c>
      <c r="R458" s="3">
        <v>40867.68</v>
      </c>
      <c r="S458" s="3">
        <v>24793.86</v>
      </c>
      <c r="T458" s="4">
        <v>0.39331373838691103</v>
      </c>
      <c r="U458" s="11" t="s">
        <v>664</v>
      </c>
      <c r="V458" s="3">
        <v>16073.82</v>
      </c>
      <c r="W458" s="11" t="s">
        <v>1430</v>
      </c>
      <c r="X458" t="str">
        <f>TEXT(Table1_1[[#This Row],[OrderDate]],"mm yyyy")</f>
        <v>08 2023</v>
      </c>
      <c r="Y458" s="13">
        <f>DATE(YEAR(Table1_1[[#This Row],[OrderDate]]),MONTH(B458),1)</f>
        <v>45139</v>
      </c>
      <c r="Z458" s="2">
        <f t="shared" si="7"/>
        <v>44958</v>
      </c>
      <c r="AA458">
        <f>(YEAR(Table1_1[[#This Row],[OrderMonth]])-YEAR(Table1_1[[#This Row],[Firstmonth]]))*12+(MONTH(Table1_1[[#This Row],[OrderMonth]])-MONTH(Table1_1[[#This Row],[Firstmonth]]))</f>
        <v>6</v>
      </c>
    </row>
    <row r="459" spans="1:27" x14ac:dyDescent="0.25">
      <c r="A459" s="11" t="s">
        <v>166</v>
      </c>
      <c r="B459" s="2">
        <v>45511</v>
      </c>
      <c r="C459" s="2">
        <v>45521</v>
      </c>
      <c r="D459" s="11" t="s">
        <v>1413</v>
      </c>
      <c r="E459">
        <v>10</v>
      </c>
      <c r="F459" s="11" t="s">
        <v>1476</v>
      </c>
      <c r="G459" s="11" t="s">
        <v>1451</v>
      </c>
      <c r="H459" s="11" t="s">
        <v>1487</v>
      </c>
      <c r="I459" s="11" t="s">
        <v>645</v>
      </c>
      <c r="J459" s="11" t="s">
        <v>649</v>
      </c>
      <c r="K459" s="11" t="s">
        <v>670</v>
      </c>
      <c r="L459" s="11" t="s">
        <v>830</v>
      </c>
      <c r="M459" s="10">
        <v>12</v>
      </c>
      <c r="N459">
        <v>436.58</v>
      </c>
      <c r="O459" s="3">
        <v>527.48</v>
      </c>
      <c r="P459" s="11" t="s">
        <v>1468</v>
      </c>
      <c r="Q459" s="4">
        <v>0.111</v>
      </c>
      <c r="R459" s="3">
        <v>5627.1566400000002</v>
      </c>
      <c r="S459" s="3">
        <v>5238.96</v>
      </c>
      <c r="T459" s="4">
        <v>6.8986286473802505E-2</v>
      </c>
      <c r="U459" s="11" t="s">
        <v>664</v>
      </c>
      <c r="V459" s="3">
        <v>388.19664000000012</v>
      </c>
      <c r="W459" s="11" t="s">
        <v>1437</v>
      </c>
      <c r="X459" t="str">
        <f>TEXT(Table1_1[[#This Row],[OrderDate]],"mm yyyy")</f>
        <v>08 2024</v>
      </c>
      <c r="Y459" s="13">
        <f>DATE(YEAR(Table1_1[[#This Row],[OrderDate]]),MONTH(B459),1)</f>
        <v>45505</v>
      </c>
      <c r="Z459" s="2">
        <f t="shared" si="7"/>
        <v>45017</v>
      </c>
      <c r="AA459">
        <f>(YEAR(Table1_1[[#This Row],[OrderMonth]])-YEAR(Table1_1[[#This Row],[Firstmonth]]))*12+(MONTH(Table1_1[[#This Row],[OrderMonth]])-MONTH(Table1_1[[#This Row],[Firstmonth]]))</f>
        <v>16</v>
      </c>
    </row>
    <row r="460" spans="1:27" x14ac:dyDescent="0.25">
      <c r="A460" s="11" t="s">
        <v>284</v>
      </c>
      <c r="B460" s="2">
        <v>45367</v>
      </c>
      <c r="C460" s="2">
        <v>45395</v>
      </c>
      <c r="D460" s="11" t="s">
        <v>1413</v>
      </c>
      <c r="E460">
        <v>28</v>
      </c>
      <c r="F460" s="11" t="s">
        <v>1464</v>
      </c>
      <c r="G460" s="11" t="s">
        <v>1456</v>
      </c>
      <c r="H460" s="11" t="s">
        <v>1504</v>
      </c>
      <c r="I460" s="11" t="s">
        <v>646</v>
      </c>
      <c r="J460" s="11" t="s">
        <v>649</v>
      </c>
      <c r="K460" s="11" t="s">
        <v>669</v>
      </c>
      <c r="L460" s="11" t="s">
        <v>949</v>
      </c>
      <c r="M460" s="10">
        <v>21</v>
      </c>
      <c r="N460">
        <v>287.61</v>
      </c>
      <c r="O460" s="3">
        <v>628.54</v>
      </c>
      <c r="P460" s="11" t="s">
        <v>1468</v>
      </c>
      <c r="Q460" s="4">
        <v>0.13500000000000001</v>
      </c>
      <c r="R460" s="3">
        <v>11417.429099999999</v>
      </c>
      <c r="S460" s="3">
        <v>6039.81</v>
      </c>
      <c r="T460" s="4">
        <v>0.47100087531964602</v>
      </c>
      <c r="U460" s="11" t="s">
        <v>664</v>
      </c>
      <c r="V460" s="3">
        <v>5377.619099999999</v>
      </c>
      <c r="W460" s="11" t="s">
        <v>1433</v>
      </c>
      <c r="X460" t="str">
        <f>TEXT(Table1_1[[#This Row],[OrderDate]],"mm yyyy")</f>
        <v>03 2024</v>
      </c>
      <c r="Y460" s="13">
        <f>DATE(YEAR(Table1_1[[#This Row],[OrderDate]]),MONTH(B460),1)</f>
        <v>45352</v>
      </c>
      <c r="Z460" s="2">
        <f t="shared" si="7"/>
        <v>44958</v>
      </c>
      <c r="AA460">
        <f>(YEAR(Table1_1[[#This Row],[OrderMonth]])-YEAR(Table1_1[[#This Row],[Firstmonth]]))*12+(MONTH(Table1_1[[#This Row],[OrderMonth]])-MONTH(Table1_1[[#This Row],[Firstmonth]]))</f>
        <v>13</v>
      </c>
    </row>
    <row r="461" spans="1:27" x14ac:dyDescent="0.25">
      <c r="A461" s="11" t="s">
        <v>205</v>
      </c>
      <c r="B461" s="2">
        <v>45557</v>
      </c>
      <c r="C461" s="2">
        <v>45566</v>
      </c>
      <c r="D461" s="11" t="s">
        <v>1413</v>
      </c>
      <c r="E461">
        <v>9</v>
      </c>
      <c r="F461" s="11" t="s">
        <v>1473</v>
      </c>
      <c r="G461" s="11" t="s">
        <v>1488</v>
      </c>
      <c r="H461" s="11" t="s">
        <v>1489</v>
      </c>
      <c r="I461" s="11" t="s">
        <v>644</v>
      </c>
      <c r="J461" s="11" t="s">
        <v>649</v>
      </c>
      <c r="K461" s="11" t="s">
        <v>673</v>
      </c>
      <c r="L461" s="11" t="s">
        <v>870</v>
      </c>
      <c r="M461" s="10">
        <v>13</v>
      </c>
      <c r="N461">
        <v>1378.8</v>
      </c>
      <c r="O461" s="3">
        <v>1952.04</v>
      </c>
      <c r="P461" s="11" t="s">
        <v>1471</v>
      </c>
      <c r="Q461" s="4">
        <v>0.159</v>
      </c>
      <c r="R461" s="3">
        <v>21341.653320000001</v>
      </c>
      <c r="S461" s="3">
        <v>17924.399999999998</v>
      </c>
      <c r="T461" s="4">
        <v>0.160121302167231</v>
      </c>
      <c r="U461" s="11" t="s">
        <v>664</v>
      </c>
      <c r="V461" s="3">
        <v>3417.2533200000034</v>
      </c>
      <c r="W461" s="11" t="s">
        <v>1437</v>
      </c>
      <c r="X461" t="str">
        <f>TEXT(Table1_1[[#This Row],[OrderDate]],"mm yyyy")</f>
        <v>09 2024</v>
      </c>
      <c r="Y461" s="13">
        <f>DATE(YEAR(Table1_1[[#This Row],[OrderDate]]),MONTH(B461),1)</f>
        <v>45536</v>
      </c>
      <c r="Z461" s="2">
        <f t="shared" si="7"/>
        <v>44958</v>
      </c>
      <c r="AA461">
        <f>(YEAR(Table1_1[[#This Row],[OrderMonth]])-YEAR(Table1_1[[#This Row],[Firstmonth]]))*12+(MONTH(Table1_1[[#This Row],[OrderMonth]])-MONTH(Table1_1[[#This Row],[Firstmonth]]))</f>
        <v>19</v>
      </c>
    </row>
    <row r="462" spans="1:27" x14ac:dyDescent="0.25">
      <c r="A462" s="11" t="s">
        <v>373</v>
      </c>
      <c r="B462" s="2">
        <v>45360</v>
      </c>
      <c r="C462" s="2">
        <v>45377</v>
      </c>
      <c r="D462" s="11" t="s">
        <v>1413</v>
      </c>
      <c r="E462">
        <v>17</v>
      </c>
      <c r="F462" s="11" t="s">
        <v>1476</v>
      </c>
      <c r="G462" s="11" t="s">
        <v>1457</v>
      </c>
      <c r="H462" s="11" t="s">
        <v>1513</v>
      </c>
      <c r="I462" s="11" t="s">
        <v>647</v>
      </c>
      <c r="J462" s="11" t="s">
        <v>649</v>
      </c>
      <c r="K462" s="11" t="s">
        <v>673</v>
      </c>
      <c r="L462" s="11" t="s">
        <v>1038</v>
      </c>
      <c r="M462" s="10">
        <v>9</v>
      </c>
      <c r="N462">
        <v>1029.67</v>
      </c>
      <c r="O462" s="3">
        <v>1118.43</v>
      </c>
      <c r="P462" s="11" t="s">
        <v>1466</v>
      </c>
      <c r="Q462" s="4">
        <v>0.27200000000000002</v>
      </c>
      <c r="R462" s="3">
        <v>7327.9533600000004</v>
      </c>
      <c r="S462" s="3">
        <v>9267.0300000000007</v>
      </c>
      <c r="T462" s="4">
        <v>-0.264613671067361</v>
      </c>
      <c r="U462" s="11" t="s">
        <v>664</v>
      </c>
      <c r="V462" s="3">
        <v>-1939.0766400000002</v>
      </c>
      <c r="W462" s="11" t="s">
        <v>1433</v>
      </c>
      <c r="X462" t="str">
        <f>TEXT(Table1_1[[#This Row],[OrderDate]],"mm yyyy")</f>
        <v>03 2024</v>
      </c>
      <c r="Y462" s="13">
        <f>DATE(YEAR(Table1_1[[#This Row],[OrderDate]]),MONTH(B462),1)</f>
        <v>45352</v>
      </c>
      <c r="Z462" s="2">
        <f t="shared" si="7"/>
        <v>44927</v>
      </c>
      <c r="AA462">
        <f>(YEAR(Table1_1[[#This Row],[OrderMonth]])-YEAR(Table1_1[[#This Row],[Firstmonth]]))*12+(MONTH(Table1_1[[#This Row],[OrderMonth]])-MONTH(Table1_1[[#This Row],[Firstmonth]]))</f>
        <v>14</v>
      </c>
    </row>
    <row r="463" spans="1:27" x14ac:dyDescent="0.25">
      <c r="A463" s="11" t="s">
        <v>441</v>
      </c>
      <c r="B463" s="2">
        <v>45654</v>
      </c>
      <c r="C463" s="2">
        <v>45665</v>
      </c>
      <c r="D463" s="11" t="s">
        <v>1413</v>
      </c>
      <c r="E463">
        <v>11</v>
      </c>
      <c r="F463" s="11" t="s">
        <v>1476</v>
      </c>
      <c r="G463" s="11" t="s">
        <v>1457</v>
      </c>
      <c r="H463" s="11" t="s">
        <v>1513</v>
      </c>
      <c r="I463" s="11" t="s">
        <v>647</v>
      </c>
      <c r="J463" s="11" t="s">
        <v>649</v>
      </c>
      <c r="K463" s="11" t="s">
        <v>672</v>
      </c>
      <c r="L463" s="11" t="s">
        <v>1105</v>
      </c>
      <c r="M463" s="10">
        <v>17</v>
      </c>
      <c r="N463">
        <v>1201.31</v>
      </c>
      <c r="O463" s="3">
        <v>2764.65</v>
      </c>
      <c r="P463" s="11" t="s">
        <v>1471</v>
      </c>
      <c r="Q463" s="4">
        <v>0</v>
      </c>
      <c r="R463" s="3">
        <v>46999.05</v>
      </c>
      <c r="S463" s="3">
        <v>20422.27</v>
      </c>
      <c r="T463" s="4">
        <v>0.56547483406579502</v>
      </c>
      <c r="U463" s="11" t="s">
        <v>664</v>
      </c>
      <c r="V463" s="3">
        <v>26576.780000000002</v>
      </c>
      <c r="W463" s="11" t="s">
        <v>1440</v>
      </c>
      <c r="X463" t="str">
        <f>TEXT(Table1_1[[#This Row],[OrderDate]],"mm yyyy")</f>
        <v>12 2024</v>
      </c>
      <c r="Y463" s="13">
        <f>DATE(YEAR(Table1_1[[#This Row],[OrderDate]]),MONTH(B463),1)</f>
        <v>45627</v>
      </c>
      <c r="Z463" s="2">
        <f t="shared" si="7"/>
        <v>44927</v>
      </c>
      <c r="AA463">
        <f>(YEAR(Table1_1[[#This Row],[OrderMonth]])-YEAR(Table1_1[[#This Row],[Firstmonth]]))*12+(MONTH(Table1_1[[#This Row],[OrderMonth]])-MONTH(Table1_1[[#This Row],[Firstmonth]]))</f>
        <v>23</v>
      </c>
    </row>
    <row r="464" spans="1:27" x14ac:dyDescent="0.25">
      <c r="A464" s="11" t="s">
        <v>572</v>
      </c>
      <c r="B464" s="2">
        <v>45626</v>
      </c>
      <c r="C464" s="2">
        <v>45645</v>
      </c>
      <c r="D464" s="11" t="s">
        <v>1413</v>
      </c>
      <c r="E464">
        <v>19</v>
      </c>
      <c r="F464" s="11" t="s">
        <v>1485</v>
      </c>
      <c r="G464" s="11" t="s">
        <v>1449</v>
      </c>
      <c r="H464" s="11" t="s">
        <v>1512</v>
      </c>
      <c r="I464" s="11" t="s">
        <v>642</v>
      </c>
      <c r="J464" s="11" t="s">
        <v>649</v>
      </c>
      <c r="K464" s="11" t="s">
        <v>671</v>
      </c>
      <c r="L464" s="11" t="s">
        <v>1235</v>
      </c>
      <c r="M464" s="10">
        <v>5</v>
      </c>
      <c r="N464">
        <v>1195.98</v>
      </c>
      <c r="O464" s="3">
        <v>1841.9</v>
      </c>
      <c r="P464" s="11" t="s">
        <v>1471</v>
      </c>
      <c r="Q464" s="4">
        <v>5.5E-2</v>
      </c>
      <c r="R464" s="3">
        <v>8702.9774999999991</v>
      </c>
      <c r="S464" s="3">
        <v>5979.9</v>
      </c>
      <c r="T464" s="4">
        <v>0.31289032977506798</v>
      </c>
      <c r="U464" s="11" t="s">
        <v>657</v>
      </c>
      <c r="V464" s="3">
        <v>2723.0774999999994</v>
      </c>
      <c r="W464" s="11" t="s">
        <v>1440</v>
      </c>
      <c r="X464" t="str">
        <f>TEXT(Table1_1[[#This Row],[OrderDate]],"mm yyyy")</f>
        <v>11 2024</v>
      </c>
      <c r="Y464" s="13">
        <f>DATE(YEAR(Table1_1[[#This Row],[OrderDate]]),MONTH(B464),1)</f>
        <v>45597</v>
      </c>
      <c r="Z464" s="2">
        <f t="shared" si="7"/>
        <v>44927</v>
      </c>
      <c r="AA464">
        <f>(YEAR(Table1_1[[#This Row],[OrderMonth]])-YEAR(Table1_1[[#This Row],[Firstmonth]]))*12+(MONTH(Table1_1[[#This Row],[OrderMonth]])-MONTH(Table1_1[[#This Row],[Firstmonth]]))</f>
        <v>22</v>
      </c>
    </row>
    <row r="465" spans="1:27" x14ac:dyDescent="0.25">
      <c r="A465" s="11" t="s">
        <v>482</v>
      </c>
      <c r="B465" s="2">
        <v>45841</v>
      </c>
      <c r="C465" s="2">
        <v>45861</v>
      </c>
      <c r="D465" s="11" t="s">
        <v>1413</v>
      </c>
      <c r="E465">
        <v>20</v>
      </c>
      <c r="F465" s="11" t="s">
        <v>1476</v>
      </c>
      <c r="G465" s="11" t="s">
        <v>1457</v>
      </c>
      <c r="H465" s="11" t="s">
        <v>1477</v>
      </c>
      <c r="I465" s="11" t="s">
        <v>646</v>
      </c>
      <c r="J465" s="11" t="s">
        <v>649</v>
      </c>
      <c r="K465" s="11" t="s">
        <v>668</v>
      </c>
      <c r="L465" s="11" t="s">
        <v>1146</v>
      </c>
      <c r="M465" s="10">
        <v>13</v>
      </c>
      <c r="N465">
        <v>647.36</v>
      </c>
      <c r="O465" s="3">
        <v>1383.6</v>
      </c>
      <c r="P465" s="11" t="s">
        <v>1466</v>
      </c>
      <c r="Q465" s="4">
        <v>7.3999999999999996E-2</v>
      </c>
      <c r="R465" s="3">
        <v>16655.7768</v>
      </c>
      <c r="S465" s="3">
        <v>8415.68</v>
      </c>
      <c r="T465" s="4">
        <v>0.49472906000997802</v>
      </c>
      <c r="U465" s="11" t="s">
        <v>665</v>
      </c>
      <c r="V465" s="3">
        <v>8240.0967999999993</v>
      </c>
      <c r="W465" s="11" t="s">
        <v>1438</v>
      </c>
      <c r="X465" t="str">
        <f>TEXT(Table1_1[[#This Row],[OrderDate]],"mm yyyy")</f>
        <v>07 2025</v>
      </c>
      <c r="Y465" s="13">
        <f>DATE(YEAR(Table1_1[[#This Row],[OrderDate]]),MONTH(B465),1)</f>
        <v>45839</v>
      </c>
      <c r="Z465" s="2">
        <f t="shared" si="7"/>
        <v>44927</v>
      </c>
      <c r="AA465">
        <f>(YEAR(Table1_1[[#This Row],[OrderMonth]])-YEAR(Table1_1[[#This Row],[Firstmonth]]))*12+(MONTH(Table1_1[[#This Row],[OrderMonth]])-MONTH(Table1_1[[#This Row],[Firstmonth]]))</f>
        <v>30</v>
      </c>
    </row>
    <row r="466" spans="1:27" x14ac:dyDescent="0.25">
      <c r="A466" s="11" t="s">
        <v>116</v>
      </c>
      <c r="B466" s="2">
        <v>45433</v>
      </c>
      <c r="C466" s="2">
        <v>45439</v>
      </c>
      <c r="D466" s="11" t="s">
        <v>1413</v>
      </c>
      <c r="E466">
        <v>6</v>
      </c>
      <c r="F466" s="11" t="s">
        <v>1485</v>
      </c>
      <c r="G466" s="11" t="s">
        <v>1490</v>
      </c>
      <c r="H466" s="11" t="s">
        <v>1491</v>
      </c>
      <c r="I466" s="11" t="s">
        <v>644</v>
      </c>
      <c r="J466" s="11" t="s">
        <v>649</v>
      </c>
      <c r="K466" s="11" t="s">
        <v>668</v>
      </c>
      <c r="L466" s="11" t="s">
        <v>780</v>
      </c>
      <c r="M466" s="10">
        <v>4</v>
      </c>
      <c r="N466">
        <v>1157.51</v>
      </c>
      <c r="O466" s="3">
        <v>1394.3</v>
      </c>
      <c r="P466" s="11" t="s">
        <v>1466</v>
      </c>
      <c r="Q466" s="4">
        <v>0.27800000000000002</v>
      </c>
      <c r="R466" s="3">
        <v>4026.7383999999997</v>
      </c>
      <c r="S466" s="3">
        <v>4630.04</v>
      </c>
      <c r="T466" s="4">
        <v>-0.14982388724333301</v>
      </c>
      <c r="U466" s="11" t="s">
        <v>665</v>
      </c>
      <c r="V466" s="3">
        <v>-603.30160000000024</v>
      </c>
      <c r="W466" s="11" t="s">
        <v>1436</v>
      </c>
      <c r="X466" t="str">
        <f>TEXT(Table1_1[[#This Row],[OrderDate]],"mm yyyy")</f>
        <v>05 2024</v>
      </c>
      <c r="Y466" s="13">
        <f>DATE(YEAR(Table1_1[[#This Row],[OrderDate]]),MONTH(B466),1)</f>
        <v>45413</v>
      </c>
      <c r="Z466" s="2">
        <f t="shared" si="7"/>
        <v>44958</v>
      </c>
      <c r="AA466">
        <f>(YEAR(Table1_1[[#This Row],[OrderMonth]])-YEAR(Table1_1[[#This Row],[Firstmonth]]))*12+(MONTH(Table1_1[[#This Row],[OrderMonth]])-MONTH(Table1_1[[#This Row],[Firstmonth]]))</f>
        <v>15</v>
      </c>
    </row>
    <row r="467" spans="1:27" x14ac:dyDescent="0.25">
      <c r="A467" s="11" t="s">
        <v>81</v>
      </c>
      <c r="B467" s="2">
        <v>45369</v>
      </c>
      <c r="C467" s="2">
        <v>45372</v>
      </c>
      <c r="D467" s="11" t="s">
        <v>1413</v>
      </c>
      <c r="E467">
        <v>3</v>
      </c>
      <c r="F467" s="11" t="s">
        <v>1464</v>
      </c>
      <c r="G467" s="11" t="s">
        <v>1455</v>
      </c>
      <c r="H467" s="11" t="s">
        <v>1483</v>
      </c>
      <c r="I467" s="11" t="s">
        <v>646</v>
      </c>
      <c r="J467" s="11" t="s">
        <v>649</v>
      </c>
      <c r="K467" s="11" t="s">
        <v>674</v>
      </c>
      <c r="L467" s="11" t="s">
        <v>745</v>
      </c>
      <c r="M467" s="10">
        <v>40</v>
      </c>
      <c r="N467">
        <v>910.63</v>
      </c>
      <c r="O467" s="3">
        <v>1269.4000000000001</v>
      </c>
      <c r="P467" s="11" t="s">
        <v>1466</v>
      </c>
      <c r="Q467" s="4">
        <v>6.8000000000000005E-2</v>
      </c>
      <c r="R467" s="3">
        <v>47323.231999999996</v>
      </c>
      <c r="S467" s="3">
        <v>36425.199999999997</v>
      </c>
      <c r="T467" s="4">
        <v>0.230289258349895</v>
      </c>
      <c r="U467" s="11" t="s">
        <v>665</v>
      </c>
      <c r="V467" s="3">
        <v>10898.031999999999</v>
      </c>
      <c r="W467" s="11" t="s">
        <v>1433</v>
      </c>
      <c r="X467" t="str">
        <f>TEXT(Table1_1[[#This Row],[OrderDate]],"mm yyyy")</f>
        <v>03 2024</v>
      </c>
      <c r="Y467" s="13">
        <f>DATE(YEAR(Table1_1[[#This Row],[OrderDate]]),MONTH(B467),1)</f>
        <v>45352</v>
      </c>
      <c r="Z467" s="2">
        <f t="shared" si="7"/>
        <v>44927</v>
      </c>
      <c r="AA467">
        <f>(YEAR(Table1_1[[#This Row],[OrderMonth]])-YEAR(Table1_1[[#This Row],[Firstmonth]]))*12+(MONTH(Table1_1[[#This Row],[OrderMonth]])-MONTH(Table1_1[[#This Row],[Firstmonth]]))</f>
        <v>14</v>
      </c>
    </row>
    <row r="468" spans="1:27" x14ac:dyDescent="0.25">
      <c r="A468" s="11" t="s">
        <v>183</v>
      </c>
      <c r="B468" s="2">
        <v>44981</v>
      </c>
      <c r="C468" s="2">
        <v>44994</v>
      </c>
      <c r="D468" s="11" t="s">
        <v>1413</v>
      </c>
      <c r="E468">
        <v>13</v>
      </c>
      <c r="F468" s="11" t="s">
        <v>1473</v>
      </c>
      <c r="G468" s="11" t="s">
        <v>1516</v>
      </c>
      <c r="H468" s="11" t="s">
        <v>1517</v>
      </c>
      <c r="I468" s="11" t="s">
        <v>647</v>
      </c>
      <c r="J468" s="11" t="s">
        <v>649</v>
      </c>
      <c r="K468" s="11" t="s">
        <v>668</v>
      </c>
      <c r="L468" s="11" t="s">
        <v>847</v>
      </c>
      <c r="M468" s="10">
        <v>6</v>
      </c>
      <c r="N468">
        <v>6.85</v>
      </c>
      <c r="O468" s="3">
        <v>10.18</v>
      </c>
      <c r="P468" s="11" t="s">
        <v>1468</v>
      </c>
      <c r="Q468" s="4">
        <v>4.7E-2</v>
      </c>
      <c r="R468" s="3">
        <v>58.209239999999994</v>
      </c>
      <c r="S468" s="3">
        <v>41.099999999999994</v>
      </c>
      <c r="T468" s="4">
        <v>0.29392653125173901</v>
      </c>
      <c r="U468" s="11" t="s">
        <v>665</v>
      </c>
      <c r="V468" s="3">
        <v>17.10924</v>
      </c>
      <c r="W468" s="11" t="s">
        <v>1432</v>
      </c>
      <c r="X468" t="str">
        <f>TEXT(Table1_1[[#This Row],[OrderDate]],"mm yyyy")</f>
        <v>02 2023</v>
      </c>
      <c r="Y468" s="13">
        <f>DATE(YEAR(Table1_1[[#This Row],[OrderDate]]),MONTH(B468),1)</f>
        <v>44958</v>
      </c>
      <c r="Z468" s="2">
        <f t="shared" si="7"/>
        <v>44958</v>
      </c>
      <c r="AA468">
        <f>(YEAR(Table1_1[[#This Row],[OrderMonth]])-YEAR(Table1_1[[#This Row],[Firstmonth]]))*12+(MONTH(Table1_1[[#This Row],[OrderMonth]])-MONTH(Table1_1[[#This Row],[Firstmonth]]))</f>
        <v>0</v>
      </c>
    </row>
    <row r="469" spans="1:27" x14ac:dyDescent="0.25">
      <c r="A469" s="11" t="s">
        <v>304</v>
      </c>
      <c r="B469" s="2">
        <v>45758</v>
      </c>
      <c r="C469" s="2">
        <v>45781</v>
      </c>
      <c r="D469" s="11" t="s">
        <v>1413</v>
      </c>
      <c r="E469">
        <v>23</v>
      </c>
      <c r="F469" s="11" t="s">
        <v>1476</v>
      </c>
      <c r="G469" s="11" t="s">
        <v>1451</v>
      </c>
      <c r="H469" s="11" t="s">
        <v>1487</v>
      </c>
      <c r="I469" s="11" t="s">
        <v>646</v>
      </c>
      <c r="J469" s="11" t="s">
        <v>649</v>
      </c>
      <c r="K469" s="11" t="s">
        <v>668</v>
      </c>
      <c r="L469" s="11" t="s">
        <v>969</v>
      </c>
      <c r="M469" s="10">
        <v>7</v>
      </c>
      <c r="N469">
        <v>786.2</v>
      </c>
      <c r="O469" s="3">
        <v>1075.3</v>
      </c>
      <c r="P469" s="11" t="s">
        <v>1466</v>
      </c>
      <c r="Q469" s="4">
        <v>0.08</v>
      </c>
      <c r="R469" s="3">
        <v>6924.9319999999998</v>
      </c>
      <c r="S469" s="3">
        <v>5503.4000000000005</v>
      </c>
      <c r="T469" s="4">
        <v>0.20527739478163801</v>
      </c>
      <c r="U469" s="11" t="s">
        <v>665</v>
      </c>
      <c r="V469" s="3">
        <v>1421.5319999999992</v>
      </c>
      <c r="W469" s="11" t="s">
        <v>1431</v>
      </c>
      <c r="X469" t="str">
        <f>TEXT(Table1_1[[#This Row],[OrderDate]],"mm yyyy")</f>
        <v>04 2025</v>
      </c>
      <c r="Y469" s="13">
        <f>DATE(YEAR(Table1_1[[#This Row],[OrderDate]]),MONTH(B469),1)</f>
        <v>45748</v>
      </c>
      <c r="Z469" s="2">
        <f t="shared" si="7"/>
        <v>45017</v>
      </c>
      <c r="AA469">
        <f>(YEAR(Table1_1[[#This Row],[OrderMonth]])-YEAR(Table1_1[[#This Row],[Firstmonth]]))*12+(MONTH(Table1_1[[#This Row],[OrderMonth]])-MONTH(Table1_1[[#This Row],[Firstmonth]]))</f>
        <v>24</v>
      </c>
    </row>
    <row r="470" spans="1:27" x14ac:dyDescent="0.25">
      <c r="A470" s="11" t="s">
        <v>533</v>
      </c>
      <c r="B470" s="2">
        <v>45406</v>
      </c>
      <c r="C470" s="2">
        <v>45422</v>
      </c>
      <c r="D470" s="11" t="s">
        <v>1413</v>
      </c>
      <c r="E470">
        <v>16</v>
      </c>
      <c r="F470" s="11" t="s">
        <v>1485</v>
      </c>
      <c r="G470" s="11" t="s">
        <v>1449</v>
      </c>
      <c r="H470" s="11" t="s">
        <v>1512</v>
      </c>
      <c r="I470" s="11" t="s">
        <v>644</v>
      </c>
      <c r="J470" s="11" t="s">
        <v>649</v>
      </c>
      <c r="K470" s="11" t="s">
        <v>673</v>
      </c>
      <c r="L470" s="11" t="s">
        <v>1197</v>
      </c>
      <c r="M470" s="10">
        <v>15</v>
      </c>
      <c r="N470">
        <v>513.30999999999995</v>
      </c>
      <c r="O470" s="3">
        <v>1186.26</v>
      </c>
      <c r="P470" s="11" t="s">
        <v>1466</v>
      </c>
      <c r="Q470" s="4">
        <v>9.4E-2</v>
      </c>
      <c r="R470" s="3">
        <v>16121.273400000002</v>
      </c>
      <c r="S470" s="3">
        <v>7699.65</v>
      </c>
      <c r="T470" s="4">
        <v>0.52239194702820402</v>
      </c>
      <c r="U470" s="11" t="s">
        <v>666</v>
      </c>
      <c r="V470" s="3">
        <v>8421.6234000000022</v>
      </c>
      <c r="W470" s="11" t="s">
        <v>1436</v>
      </c>
      <c r="X470" t="str">
        <f>TEXT(Table1_1[[#This Row],[OrderDate]],"mm yyyy")</f>
        <v>04 2024</v>
      </c>
      <c r="Y470" s="13">
        <f>DATE(YEAR(Table1_1[[#This Row],[OrderDate]]),MONTH(B470),1)</f>
        <v>45383</v>
      </c>
      <c r="Z470" s="2">
        <f t="shared" si="7"/>
        <v>44927</v>
      </c>
      <c r="AA470">
        <f>(YEAR(Table1_1[[#This Row],[OrderMonth]])-YEAR(Table1_1[[#This Row],[Firstmonth]]))*12+(MONTH(Table1_1[[#This Row],[OrderMonth]])-MONTH(Table1_1[[#This Row],[Firstmonth]]))</f>
        <v>15</v>
      </c>
    </row>
    <row r="471" spans="1:27" x14ac:dyDescent="0.25">
      <c r="A471" s="11" t="s">
        <v>143</v>
      </c>
      <c r="B471" s="2">
        <v>44953</v>
      </c>
      <c r="C471" s="2">
        <v>44957</v>
      </c>
      <c r="D471" s="11" t="s">
        <v>1413</v>
      </c>
      <c r="E471">
        <v>4</v>
      </c>
      <c r="F471" s="11" t="s">
        <v>1464</v>
      </c>
      <c r="G471" s="11" t="s">
        <v>1469</v>
      </c>
      <c r="H471" s="11" t="s">
        <v>1482</v>
      </c>
      <c r="I471" s="11" t="s">
        <v>647</v>
      </c>
      <c r="J471" s="11" t="s">
        <v>649</v>
      </c>
      <c r="K471" s="11" t="s">
        <v>672</v>
      </c>
      <c r="L471" s="11" t="s">
        <v>807</v>
      </c>
      <c r="M471" s="10">
        <v>17</v>
      </c>
      <c r="N471">
        <v>941.2</v>
      </c>
      <c r="O471" s="3">
        <v>668.02</v>
      </c>
      <c r="P471" s="11" t="s">
        <v>1468</v>
      </c>
      <c r="Q471" s="4">
        <v>0.22</v>
      </c>
      <c r="R471" s="3">
        <v>8857.9452000000001</v>
      </c>
      <c r="S471" s="3">
        <v>16000.400000000001</v>
      </c>
      <c r="T471" s="4">
        <v>-0.80633314371825204</v>
      </c>
      <c r="U471" s="11" t="s">
        <v>666</v>
      </c>
      <c r="V471" s="3">
        <v>-7142.4548000000013</v>
      </c>
      <c r="W471" s="11" t="s">
        <v>1432</v>
      </c>
      <c r="X471" t="str">
        <f>TEXT(Table1_1[[#This Row],[OrderDate]],"mm yyyy")</f>
        <v>01 2023</v>
      </c>
      <c r="Y471" s="13">
        <f>DATE(YEAR(Table1_1[[#This Row],[OrderDate]]),MONTH(B471),1)</f>
        <v>44927</v>
      </c>
      <c r="Z471" s="2">
        <f t="shared" si="7"/>
        <v>44927</v>
      </c>
      <c r="AA471">
        <f>(YEAR(Table1_1[[#This Row],[OrderMonth]])-YEAR(Table1_1[[#This Row],[Firstmonth]]))*12+(MONTH(Table1_1[[#This Row],[OrderMonth]])-MONTH(Table1_1[[#This Row],[Firstmonth]]))</f>
        <v>0</v>
      </c>
    </row>
    <row r="472" spans="1:27" x14ac:dyDescent="0.25">
      <c r="A472" s="11" t="s">
        <v>178</v>
      </c>
      <c r="B472" s="2">
        <v>45435</v>
      </c>
      <c r="C472" s="2">
        <v>45457</v>
      </c>
      <c r="D472" s="11" t="s">
        <v>1413</v>
      </c>
      <c r="E472">
        <v>22</v>
      </c>
      <c r="F472" s="11" t="s">
        <v>1464</v>
      </c>
      <c r="G472" s="11" t="s">
        <v>1456</v>
      </c>
      <c r="H472" s="11" t="s">
        <v>1472</v>
      </c>
      <c r="I472" s="11" t="s">
        <v>646</v>
      </c>
      <c r="J472" s="11" t="s">
        <v>649</v>
      </c>
      <c r="K472" s="11" t="s">
        <v>673</v>
      </c>
      <c r="L472" s="11" t="s">
        <v>842</v>
      </c>
      <c r="M472" s="10">
        <v>12</v>
      </c>
      <c r="N472">
        <v>1481.74</v>
      </c>
      <c r="O472" s="3">
        <v>1848.97</v>
      </c>
      <c r="P472" s="11" t="s">
        <v>1471</v>
      </c>
      <c r="Q472" s="4">
        <v>0.254</v>
      </c>
      <c r="R472" s="3">
        <v>16551.979439999999</v>
      </c>
      <c r="S472" s="3">
        <v>17780.88</v>
      </c>
      <c r="T472" s="4">
        <v>-7.4244930309072601E-2</v>
      </c>
      <c r="U472" s="11" t="s">
        <v>666</v>
      </c>
      <c r="V472" s="3">
        <v>-1228.9005600000019</v>
      </c>
      <c r="W472" s="11" t="s">
        <v>1436</v>
      </c>
      <c r="X472" t="str">
        <f>TEXT(Table1_1[[#This Row],[OrderDate]],"mm yyyy")</f>
        <v>05 2024</v>
      </c>
      <c r="Y472" s="13">
        <f>DATE(YEAR(Table1_1[[#This Row],[OrderDate]]),MONTH(B472),1)</f>
        <v>45413</v>
      </c>
      <c r="Z472" s="2">
        <f t="shared" si="7"/>
        <v>44958</v>
      </c>
      <c r="AA472">
        <f>(YEAR(Table1_1[[#This Row],[OrderMonth]])-YEAR(Table1_1[[#This Row],[Firstmonth]]))*12+(MONTH(Table1_1[[#This Row],[OrderMonth]])-MONTH(Table1_1[[#This Row],[Firstmonth]]))</f>
        <v>15</v>
      </c>
    </row>
    <row r="473" spans="1:27" x14ac:dyDescent="0.25">
      <c r="A473" s="11" t="s">
        <v>420</v>
      </c>
      <c r="B473" s="2">
        <v>45534</v>
      </c>
      <c r="C473" s="2">
        <v>45540</v>
      </c>
      <c r="D473" s="11" t="s">
        <v>1413</v>
      </c>
      <c r="E473">
        <v>6</v>
      </c>
      <c r="F473" s="11" t="s">
        <v>1476</v>
      </c>
      <c r="G473" s="11" t="s">
        <v>1451</v>
      </c>
      <c r="H473" s="11" t="s">
        <v>1484</v>
      </c>
      <c r="I473" s="11" t="s">
        <v>643</v>
      </c>
      <c r="J473" s="11" t="s">
        <v>649</v>
      </c>
      <c r="K473" s="11" t="s">
        <v>672</v>
      </c>
      <c r="L473" s="11" t="s">
        <v>1084</v>
      </c>
      <c r="M473" s="10">
        <v>23</v>
      </c>
      <c r="N473">
        <v>466.16</v>
      </c>
      <c r="O473" s="3">
        <v>876.81</v>
      </c>
      <c r="P473" s="11" t="s">
        <v>1466</v>
      </c>
      <c r="Q473" s="4">
        <v>0.24099999999999999</v>
      </c>
      <c r="R473" s="3">
        <v>15306.472169999997</v>
      </c>
      <c r="S473" s="3">
        <v>10721.68</v>
      </c>
      <c r="T473" s="4">
        <v>0.299532911246916</v>
      </c>
      <c r="U473" s="11" t="s">
        <v>666</v>
      </c>
      <c r="V473" s="3">
        <v>4584.792169999997</v>
      </c>
      <c r="W473" s="11" t="s">
        <v>1437</v>
      </c>
      <c r="X473" t="str">
        <f>TEXT(Table1_1[[#This Row],[OrderDate]],"mm yyyy")</f>
        <v>08 2024</v>
      </c>
      <c r="Y473" s="13">
        <f>DATE(YEAR(Table1_1[[#This Row],[OrderDate]]),MONTH(B473),1)</f>
        <v>45505</v>
      </c>
      <c r="Z473" s="2">
        <f t="shared" si="7"/>
        <v>45017</v>
      </c>
      <c r="AA473">
        <f>(YEAR(Table1_1[[#This Row],[OrderMonth]])-YEAR(Table1_1[[#This Row],[Firstmonth]]))*12+(MONTH(Table1_1[[#This Row],[OrderMonth]])-MONTH(Table1_1[[#This Row],[Firstmonth]]))</f>
        <v>16</v>
      </c>
    </row>
    <row r="474" spans="1:27" x14ac:dyDescent="0.25">
      <c r="A474" s="11" t="s">
        <v>35</v>
      </c>
      <c r="B474" s="2">
        <v>44964</v>
      </c>
      <c r="C474" s="2">
        <v>44969</v>
      </c>
      <c r="D474" s="11" t="s">
        <v>1413</v>
      </c>
      <c r="E474">
        <v>5</v>
      </c>
      <c r="F474" s="11" t="s">
        <v>1473</v>
      </c>
      <c r="G474" s="11" t="s">
        <v>1488</v>
      </c>
      <c r="H474" s="11" t="s">
        <v>1489</v>
      </c>
      <c r="I474" s="11" t="s">
        <v>643</v>
      </c>
      <c r="J474" s="11" t="s">
        <v>649</v>
      </c>
      <c r="K474" s="11" t="s">
        <v>668</v>
      </c>
      <c r="L474" s="11" t="s">
        <v>699</v>
      </c>
      <c r="M474" s="10">
        <v>12</v>
      </c>
      <c r="N474">
        <v>948.55</v>
      </c>
      <c r="O474" s="3">
        <v>2089.16</v>
      </c>
      <c r="P474" s="11" t="s">
        <v>1471</v>
      </c>
      <c r="Q474" s="4">
        <v>7.0000000000000001E-3</v>
      </c>
      <c r="R474" s="3">
        <v>24894.430559999997</v>
      </c>
      <c r="S474" s="3">
        <v>11382.599999999999</v>
      </c>
      <c r="T474" s="4">
        <v>0.54276519912492405</v>
      </c>
      <c r="U474" s="11" t="s">
        <v>666</v>
      </c>
      <c r="V474" s="3">
        <v>13511.830559999999</v>
      </c>
      <c r="W474" s="11" t="s">
        <v>1432</v>
      </c>
      <c r="X474" t="str">
        <f>TEXT(Table1_1[[#This Row],[OrderDate]],"mm yyyy")</f>
        <v>02 2023</v>
      </c>
      <c r="Y474" s="13">
        <f>DATE(YEAR(Table1_1[[#This Row],[OrderDate]]),MONTH(B474),1)</f>
        <v>44958</v>
      </c>
      <c r="Z474" s="2">
        <f t="shared" si="7"/>
        <v>44958</v>
      </c>
      <c r="AA474">
        <f>(YEAR(Table1_1[[#This Row],[OrderMonth]])-YEAR(Table1_1[[#This Row],[Firstmonth]]))*12+(MONTH(Table1_1[[#This Row],[OrderMonth]])-MONTH(Table1_1[[#This Row],[Firstmonth]]))</f>
        <v>0</v>
      </c>
    </row>
    <row r="475" spans="1:27" x14ac:dyDescent="0.25">
      <c r="A475" s="11" t="s">
        <v>638</v>
      </c>
      <c r="B475" s="2">
        <v>45100</v>
      </c>
      <c r="C475" s="2">
        <v>45125</v>
      </c>
      <c r="D475" s="11" t="s">
        <v>1413</v>
      </c>
      <c r="E475">
        <v>25</v>
      </c>
      <c r="F475" s="11" t="s">
        <v>1473</v>
      </c>
      <c r="G475" s="11" t="s">
        <v>1452</v>
      </c>
      <c r="H475" s="11" t="s">
        <v>1475</v>
      </c>
      <c r="I475" s="11" t="s">
        <v>647</v>
      </c>
      <c r="J475" s="11" t="s">
        <v>649</v>
      </c>
      <c r="K475" s="11" t="s">
        <v>671</v>
      </c>
      <c r="L475" s="11" t="s">
        <v>1301</v>
      </c>
      <c r="M475" s="10">
        <v>6</v>
      </c>
      <c r="N475">
        <v>807.02</v>
      </c>
      <c r="O475" s="3">
        <v>1435.54</v>
      </c>
      <c r="P475" s="11" t="s">
        <v>1466</v>
      </c>
      <c r="Q475" s="4">
        <v>0</v>
      </c>
      <c r="R475" s="3">
        <v>8613.24</v>
      </c>
      <c r="S475" s="3">
        <v>4842.12</v>
      </c>
      <c r="T475" s="4">
        <v>0.43782827368098398</v>
      </c>
      <c r="U475" s="11" t="s">
        <v>666</v>
      </c>
      <c r="V475" s="3">
        <v>3771.12</v>
      </c>
      <c r="W475" s="11" t="s">
        <v>1435</v>
      </c>
      <c r="X475" t="str">
        <f>TEXT(Table1_1[[#This Row],[OrderDate]],"mm yyyy")</f>
        <v>06 2023</v>
      </c>
      <c r="Y475" s="13">
        <f>DATE(YEAR(Table1_1[[#This Row],[OrderDate]]),MONTH(B475),1)</f>
        <v>45078</v>
      </c>
      <c r="Z475" s="2">
        <f t="shared" si="7"/>
        <v>45017</v>
      </c>
      <c r="AA475">
        <f>(YEAR(Table1_1[[#This Row],[OrderMonth]])-YEAR(Table1_1[[#This Row],[Firstmonth]]))*12+(MONTH(Table1_1[[#This Row],[OrderMonth]])-MONTH(Table1_1[[#This Row],[Firstmonth]]))</f>
        <v>2</v>
      </c>
    </row>
    <row r="476" spans="1:27" x14ac:dyDescent="0.25">
      <c r="A476" s="11" t="s">
        <v>160</v>
      </c>
      <c r="B476" s="2">
        <v>45558</v>
      </c>
      <c r="C476" s="2">
        <v>45583</v>
      </c>
      <c r="D476" s="11" t="s">
        <v>1413</v>
      </c>
      <c r="E476">
        <v>25</v>
      </c>
      <c r="F476" s="11" t="s">
        <v>1473</v>
      </c>
      <c r="G476" s="11" t="s">
        <v>1452</v>
      </c>
      <c r="H476" s="11" t="s">
        <v>1475</v>
      </c>
      <c r="I476" s="11" t="s">
        <v>646</v>
      </c>
      <c r="J476" s="11" t="s">
        <v>649</v>
      </c>
      <c r="K476" s="11" t="s">
        <v>671</v>
      </c>
      <c r="L476" s="11" t="s">
        <v>824</v>
      </c>
      <c r="M476" s="10">
        <v>18</v>
      </c>
      <c r="N476">
        <v>1297</v>
      </c>
      <c r="O476" s="3">
        <v>2411.52</v>
      </c>
      <c r="P476" s="11" t="s">
        <v>1471</v>
      </c>
      <c r="Q476" s="4">
        <v>2.1000000000000001E-2</v>
      </c>
      <c r="R476" s="3">
        <v>42495.805439999996</v>
      </c>
      <c r="S476" s="3">
        <v>23346</v>
      </c>
      <c r="T476" s="4">
        <v>0.45062813239385902</v>
      </c>
      <c r="U476" s="11" t="s">
        <v>666</v>
      </c>
      <c r="V476" s="3">
        <v>19149.805439999996</v>
      </c>
      <c r="W476" s="11" t="s">
        <v>1437</v>
      </c>
      <c r="X476" t="str">
        <f>TEXT(Table1_1[[#This Row],[OrderDate]],"mm yyyy")</f>
        <v>09 2024</v>
      </c>
      <c r="Y476" s="13">
        <f>DATE(YEAR(Table1_1[[#This Row],[OrderDate]]),MONTH(B476),1)</f>
        <v>45536</v>
      </c>
      <c r="Z476" s="2">
        <f t="shared" si="7"/>
        <v>45017</v>
      </c>
      <c r="AA476">
        <f>(YEAR(Table1_1[[#This Row],[OrderMonth]])-YEAR(Table1_1[[#This Row],[Firstmonth]]))*12+(MONTH(Table1_1[[#This Row],[OrderMonth]])-MONTH(Table1_1[[#This Row],[Firstmonth]]))</f>
        <v>17</v>
      </c>
    </row>
    <row r="477" spans="1:27" x14ac:dyDescent="0.25">
      <c r="A477" s="11" t="s">
        <v>550</v>
      </c>
      <c r="B477" s="2">
        <v>44952</v>
      </c>
      <c r="C477" s="2">
        <v>44972</v>
      </c>
      <c r="D477" s="11" t="s">
        <v>1413</v>
      </c>
      <c r="E477">
        <v>20</v>
      </c>
      <c r="F477" s="11" t="s">
        <v>1464</v>
      </c>
      <c r="G477" s="11" t="s">
        <v>1455</v>
      </c>
      <c r="H477" s="11" t="s">
        <v>1465</v>
      </c>
      <c r="I477" s="11" t="s">
        <v>646</v>
      </c>
      <c r="J477" s="11" t="s">
        <v>649</v>
      </c>
      <c r="K477" s="11" t="s">
        <v>670</v>
      </c>
      <c r="L477" s="11" t="s">
        <v>1213</v>
      </c>
      <c r="M477" s="10">
        <v>22</v>
      </c>
      <c r="N477">
        <v>492.62</v>
      </c>
      <c r="O477" s="3">
        <v>366.7</v>
      </c>
      <c r="P477" s="11" t="s">
        <v>1468</v>
      </c>
      <c r="Q477" s="4">
        <v>8.8999999999999996E-2</v>
      </c>
      <c r="R477" s="3">
        <v>7349.4013999999997</v>
      </c>
      <c r="S477" s="3">
        <v>10837.64</v>
      </c>
      <c r="T477" s="4">
        <v>-0.47462894052840798</v>
      </c>
      <c r="U477" s="11" t="s">
        <v>660</v>
      </c>
      <c r="V477" s="3">
        <v>-3488.2385999999997</v>
      </c>
      <c r="W477" s="11" t="s">
        <v>1432</v>
      </c>
      <c r="X477" t="str">
        <f>TEXT(Table1_1[[#This Row],[OrderDate]],"mm yyyy")</f>
        <v>01 2023</v>
      </c>
      <c r="Y477" s="13">
        <f>DATE(YEAR(Table1_1[[#This Row],[OrderDate]]),MONTH(B477),1)</f>
        <v>44927</v>
      </c>
      <c r="Z477" s="2">
        <f t="shared" si="7"/>
        <v>44927</v>
      </c>
      <c r="AA477">
        <f>(YEAR(Table1_1[[#This Row],[OrderMonth]])-YEAR(Table1_1[[#This Row],[Firstmonth]]))*12+(MONTH(Table1_1[[#This Row],[OrderMonth]])-MONTH(Table1_1[[#This Row],[Firstmonth]]))</f>
        <v>0</v>
      </c>
    </row>
    <row r="478" spans="1:27" x14ac:dyDescent="0.25">
      <c r="A478" s="11" t="s">
        <v>59</v>
      </c>
      <c r="B478" s="2">
        <v>45579</v>
      </c>
      <c r="C478" s="2">
        <v>45604</v>
      </c>
      <c r="D478" s="11" t="s">
        <v>1413</v>
      </c>
      <c r="E478">
        <v>25</v>
      </c>
      <c r="F478" s="11" t="s">
        <v>1485</v>
      </c>
      <c r="G478" s="11" t="s">
        <v>1450</v>
      </c>
      <c r="H478" s="11" t="s">
        <v>1514</v>
      </c>
      <c r="I478" s="11" t="s">
        <v>647</v>
      </c>
      <c r="J478" s="11" t="s">
        <v>649</v>
      </c>
      <c r="K478" s="11" t="s">
        <v>670</v>
      </c>
      <c r="L478" s="11" t="s">
        <v>723</v>
      </c>
      <c r="M478" s="10">
        <v>5</v>
      </c>
      <c r="N478">
        <v>859.35</v>
      </c>
      <c r="O478" s="3">
        <v>1825.61</v>
      </c>
      <c r="P478" s="11" t="s">
        <v>1471</v>
      </c>
      <c r="Q478" s="4">
        <v>0.187</v>
      </c>
      <c r="R478" s="3">
        <v>7421.1046499999993</v>
      </c>
      <c r="S478" s="3">
        <v>4296.75</v>
      </c>
      <c r="T478" s="4">
        <v>0.42100937762682</v>
      </c>
      <c r="U478" s="11" t="s">
        <v>660</v>
      </c>
      <c r="V478" s="3">
        <v>3124.3546499999993</v>
      </c>
      <c r="W478" s="11" t="s">
        <v>1440</v>
      </c>
      <c r="X478" t="str">
        <f>TEXT(Table1_1[[#This Row],[OrderDate]],"mm yyyy")</f>
        <v>10 2024</v>
      </c>
      <c r="Y478" s="13">
        <f>DATE(YEAR(Table1_1[[#This Row],[OrderDate]]),MONTH(B478),1)</f>
        <v>45566</v>
      </c>
      <c r="Z478" s="2">
        <f t="shared" si="7"/>
        <v>44927</v>
      </c>
      <c r="AA478">
        <f>(YEAR(Table1_1[[#This Row],[OrderMonth]])-YEAR(Table1_1[[#This Row],[Firstmonth]]))*12+(MONTH(Table1_1[[#This Row],[OrderMonth]])-MONTH(Table1_1[[#This Row],[Firstmonth]]))</f>
        <v>21</v>
      </c>
    </row>
    <row r="479" spans="1:27" x14ac:dyDescent="0.25">
      <c r="A479" s="11" t="s">
        <v>578</v>
      </c>
      <c r="B479" s="2">
        <v>45600</v>
      </c>
      <c r="C479" s="2">
        <v>45603</v>
      </c>
      <c r="D479" s="11" t="s">
        <v>1413</v>
      </c>
      <c r="E479">
        <v>3</v>
      </c>
      <c r="F479" s="11" t="s">
        <v>1464</v>
      </c>
      <c r="G479" s="11" t="s">
        <v>1456</v>
      </c>
      <c r="H479" s="11" t="s">
        <v>1481</v>
      </c>
      <c r="I479" s="11" t="s">
        <v>642</v>
      </c>
      <c r="J479" s="11" t="s">
        <v>649</v>
      </c>
      <c r="K479" s="11" t="s">
        <v>673</v>
      </c>
      <c r="L479" s="11" t="s">
        <v>1241</v>
      </c>
      <c r="M479" s="10">
        <v>14</v>
      </c>
      <c r="N479">
        <v>740.68</v>
      </c>
      <c r="O479" s="3">
        <v>1837.19</v>
      </c>
      <c r="P479" s="11" t="s">
        <v>1471</v>
      </c>
      <c r="Q479" s="4">
        <v>0.19700000000000001</v>
      </c>
      <c r="R479" s="3">
        <v>20653.689979999999</v>
      </c>
      <c r="S479" s="3">
        <v>10369.519999999999</v>
      </c>
      <c r="T479" s="4">
        <v>0.49793378277483002</v>
      </c>
      <c r="U479" s="11" t="s">
        <v>660</v>
      </c>
      <c r="V479" s="3">
        <v>10284.169980000001</v>
      </c>
      <c r="W479" s="11" t="s">
        <v>1440</v>
      </c>
      <c r="X479" t="str">
        <f>TEXT(Table1_1[[#This Row],[OrderDate]],"mm yyyy")</f>
        <v>11 2024</v>
      </c>
      <c r="Y479" s="13">
        <f>DATE(YEAR(Table1_1[[#This Row],[OrderDate]]),MONTH(B479),1)</f>
        <v>45597</v>
      </c>
      <c r="Z479" s="2">
        <f t="shared" si="7"/>
        <v>44958</v>
      </c>
      <c r="AA479">
        <f>(YEAR(Table1_1[[#This Row],[OrderMonth]])-YEAR(Table1_1[[#This Row],[Firstmonth]]))*12+(MONTH(Table1_1[[#This Row],[OrderMonth]])-MONTH(Table1_1[[#This Row],[Firstmonth]]))</f>
        <v>21</v>
      </c>
    </row>
    <row r="480" spans="1:27" x14ac:dyDescent="0.25">
      <c r="A480" s="11" t="s">
        <v>376</v>
      </c>
      <c r="B480" s="2">
        <v>45445</v>
      </c>
      <c r="C480" s="2">
        <v>45458</v>
      </c>
      <c r="D480" s="11" t="s">
        <v>1413</v>
      </c>
      <c r="E480">
        <v>13</v>
      </c>
      <c r="F480" s="11" t="s">
        <v>1485</v>
      </c>
      <c r="G480" s="11" t="s">
        <v>1449</v>
      </c>
      <c r="H480" s="11" t="s">
        <v>1503</v>
      </c>
      <c r="I480" s="11" t="s">
        <v>643</v>
      </c>
      <c r="J480" s="11" t="s">
        <v>649</v>
      </c>
      <c r="K480" s="11" t="s">
        <v>671</v>
      </c>
      <c r="L480" s="11" t="s">
        <v>1041</v>
      </c>
      <c r="M480" s="10">
        <v>21</v>
      </c>
      <c r="N480">
        <v>1295.18</v>
      </c>
      <c r="O480" s="3">
        <v>3024.03</v>
      </c>
      <c r="P480" s="11" t="s">
        <v>1471</v>
      </c>
      <c r="Q480" s="4">
        <v>0.192</v>
      </c>
      <c r="R480" s="3">
        <v>51311.741040000008</v>
      </c>
      <c r="S480" s="3">
        <v>27198.780000000002</v>
      </c>
      <c r="T480" s="4">
        <v>0.469930673784832</v>
      </c>
      <c r="U480" s="11" t="s">
        <v>660</v>
      </c>
      <c r="V480" s="3">
        <v>24112.961040000006</v>
      </c>
      <c r="W480" s="11" t="s">
        <v>1436</v>
      </c>
      <c r="X480" t="str">
        <f>TEXT(Table1_1[[#This Row],[OrderDate]],"mm yyyy")</f>
        <v>06 2024</v>
      </c>
      <c r="Y480" s="13">
        <f>DATE(YEAR(Table1_1[[#This Row],[OrderDate]]),MONTH(B480),1)</f>
        <v>45444</v>
      </c>
      <c r="Z480" s="2">
        <f t="shared" si="7"/>
        <v>44927</v>
      </c>
      <c r="AA480">
        <f>(YEAR(Table1_1[[#This Row],[OrderMonth]])-YEAR(Table1_1[[#This Row],[Firstmonth]]))*12+(MONTH(Table1_1[[#This Row],[OrderMonth]])-MONTH(Table1_1[[#This Row],[Firstmonth]]))</f>
        <v>17</v>
      </c>
    </row>
    <row r="481" spans="1:27" x14ac:dyDescent="0.25">
      <c r="A481" s="11" t="s">
        <v>72</v>
      </c>
      <c r="B481" s="2">
        <v>45910</v>
      </c>
      <c r="C481" s="2">
        <v>45912</v>
      </c>
      <c r="D481" s="11" t="s">
        <v>1413</v>
      </c>
      <c r="E481">
        <v>2</v>
      </c>
      <c r="F481" s="11" t="s">
        <v>1476</v>
      </c>
      <c r="G481" s="11" t="s">
        <v>1451</v>
      </c>
      <c r="H481" s="11" t="s">
        <v>1510</v>
      </c>
      <c r="I481" s="11" t="s">
        <v>645</v>
      </c>
      <c r="J481" s="11" t="s">
        <v>649</v>
      </c>
      <c r="K481" s="11" t="s">
        <v>668</v>
      </c>
      <c r="L481" s="11" t="s">
        <v>736</v>
      </c>
      <c r="M481" s="10">
        <v>33</v>
      </c>
      <c r="N481">
        <v>1470.15</v>
      </c>
      <c r="O481" s="3">
        <v>2593.7800000000002</v>
      </c>
      <c r="P481" s="11" t="s">
        <v>1471</v>
      </c>
      <c r="Q481" s="4">
        <v>0.11</v>
      </c>
      <c r="R481" s="3">
        <v>76179.318599999999</v>
      </c>
      <c r="S481" s="3">
        <v>48514.950000000004</v>
      </c>
      <c r="T481" s="4">
        <v>0.36314801849645301</v>
      </c>
      <c r="U481" s="11" t="s">
        <v>660</v>
      </c>
      <c r="V481" s="3">
        <v>27664.368599999994</v>
      </c>
      <c r="W481" s="11" t="s">
        <v>1438</v>
      </c>
      <c r="X481" t="str">
        <f>TEXT(Table1_1[[#This Row],[OrderDate]],"mm yyyy")</f>
        <v>09 2025</v>
      </c>
      <c r="Y481" s="13">
        <f>DATE(YEAR(Table1_1[[#This Row],[OrderDate]]),MONTH(B481),1)</f>
        <v>45901</v>
      </c>
      <c r="Z481" s="2">
        <f t="shared" si="7"/>
        <v>45017</v>
      </c>
      <c r="AA481">
        <f>(YEAR(Table1_1[[#This Row],[OrderMonth]])-YEAR(Table1_1[[#This Row],[Firstmonth]]))*12+(MONTH(Table1_1[[#This Row],[OrderMonth]])-MONTH(Table1_1[[#This Row],[Firstmonth]]))</f>
        <v>29</v>
      </c>
    </row>
    <row r="482" spans="1:27" x14ac:dyDescent="0.25">
      <c r="A482" s="11" t="s">
        <v>189</v>
      </c>
      <c r="B482" s="2">
        <v>45021</v>
      </c>
      <c r="C482" s="2">
        <v>45032</v>
      </c>
      <c r="D482" s="11" t="s">
        <v>1413</v>
      </c>
      <c r="E482">
        <v>11</v>
      </c>
      <c r="F482" s="11" t="s">
        <v>1473</v>
      </c>
      <c r="G482" s="11" t="s">
        <v>1452</v>
      </c>
      <c r="H482" s="11" t="s">
        <v>1475</v>
      </c>
      <c r="I482" s="11" t="s">
        <v>644</v>
      </c>
      <c r="J482" s="11" t="s">
        <v>649</v>
      </c>
      <c r="K482" s="11" t="s">
        <v>673</v>
      </c>
      <c r="L482" s="11" t="s">
        <v>853</v>
      </c>
      <c r="M482" s="10">
        <v>16</v>
      </c>
      <c r="N482">
        <v>213.1</v>
      </c>
      <c r="O482" s="3">
        <v>501.31</v>
      </c>
      <c r="P482" s="11" t="s">
        <v>1468</v>
      </c>
      <c r="Q482" s="4">
        <v>5.6000000000000001E-2</v>
      </c>
      <c r="R482" s="3">
        <v>7571.7862399999995</v>
      </c>
      <c r="S482" s="3">
        <v>3409.6</v>
      </c>
      <c r="T482" s="4">
        <v>0.54969674368409005</v>
      </c>
      <c r="U482" s="11" t="s">
        <v>660</v>
      </c>
      <c r="V482" s="3">
        <v>4162.1862399999991</v>
      </c>
      <c r="W482" s="11" t="s">
        <v>1435</v>
      </c>
      <c r="X482" t="str">
        <f>TEXT(Table1_1[[#This Row],[OrderDate]],"mm yyyy")</f>
        <v>04 2023</v>
      </c>
      <c r="Y482" s="13">
        <f>DATE(YEAR(Table1_1[[#This Row],[OrderDate]]),MONTH(B482),1)</f>
        <v>45017</v>
      </c>
      <c r="Z482" s="2">
        <f t="shared" si="7"/>
        <v>45017</v>
      </c>
      <c r="AA482">
        <f>(YEAR(Table1_1[[#This Row],[OrderMonth]])-YEAR(Table1_1[[#This Row],[Firstmonth]]))*12+(MONTH(Table1_1[[#This Row],[OrderMonth]])-MONTH(Table1_1[[#This Row],[Firstmonth]]))</f>
        <v>0</v>
      </c>
    </row>
    <row r="483" spans="1:27" x14ac:dyDescent="0.25">
      <c r="A483" s="11" t="s">
        <v>432</v>
      </c>
      <c r="B483" s="2">
        <v>45841</v>
      </c>
      <c r="C483" s="2">
        <v>45844</v>
      </c>
      <c r="D483" s="11" t="s">
        <v>1413</v>
      </c>
      <c r="E483">
        <v>3</v>
      </c>
      <c r="F483" s="11" t="s">
        <v>1485</v>
      </c>
      <c r="G483" s="11" t="s">
        <v>1450</v>
      </c>
      <c r="H483" s="11" t="s">
        <v>1514</v>
      </c>
      <c r="I483" s="11" t="s">
        <v>645</v>
      </c>
      <c r="J483" s="11" t="s">
        <v>649</v>
      </c>
      <c r="K483" s="11" t="s">
        <v>672</v>
      </c>
      <c r="L483" s="11" t="s">
        <v>1096</v>
      </c>
      <c r="M483" s="10">
        <v>55</v>
      </c>
      <c r="N483">
        <v>1313.3</v>
      </c>
      <c r="O483" s="3">
        <v>2884.34</v>
      </c>
      <c r="P483" s="11" t="s">
        <v>1471</v>
      </c>
      <c r="Q483" s="4">
        <v>0.157</v>
      </c>
      <c r="R483" s="3">
        <v>133732.4241</v>
      </c>
      <c r="S483" s="3">
        <v>72231.5</v>
      </c>
      <c r="T483" s="4">
        <v>0.45988042551305203</v>
      </c>
      <c r="U483" s="11" t="s">
        <v>1366</v>
      </c>
      <c r="V483" s="3">
        <v>61500.924100000004</v>
      </c>
      <c r="W483" s="11" t="s">
        <v>1438</v>
      </c>
      <c r="X483" t="str">
        <f>TEXT(Table1_1[[#This Row],[OrderDate]],"mm yyyy")</f>
        <v>07 2025</v>
      </c>
      <c r="Y483" s="13">
        <f>DATE(YEAR(Table1_1[[#This Row],[OrderDate]]),MONTH(B483),1)</f>
        <v>45839</v>
      </c>
      <c r="Z483" s="2">
        <f t="shared" si="7"/>
        <v>44927</v>
      </c>
      <c r="AA483">
        <f>(YEAR(Table1_1[[#This Row],[OrderMonth]])-YEAR(Table1_1[[#This Row],[Firstmonth]]))*12+(MONTH(Table1_1[[#This Row],[OrderMonth]])-MONTH(Table1_1[[#This Row],[Firstmonth]]))</f>
        <v>30</v>
      </c>
    </row>
    <row r="484" spans="1:27" x14ac:dyDescent="0.25">
      <c r="A484" s="11" t="s">
        <v>245</v>
      </c>
      <c r="B484" s="2">
        <v>45302</v>
      </c>
      <c r="C484" s="2">
        <v>45324</v>
      </c>
      <c r="D484" s="11" t="s">
        <v>1413</v>
      </c>
      <c r="E484">
        <v>22</v>
      </c>
      <c r="F484" s="11" t="s">
        <v>1476</v>
      </c>
      <c r="G484" s="11" t="s">
        <v>1451</v>
      </c>
      <c r="H484" s="11" t="s">
        <v>1484</v>
      </c>
      <c r="I484" s="11" t="s">
        <v>646</v>
      </c>
      <c r="J484" s="11" t="s">
        <v>649</v>
      </c>
      <c r="K484" s="11" t="s">
        <v>669</v>
      </c>
      <c r="L484" s="11" t="s">
        <v>910</v>
      </c>
      <c r="M484" s="10">
        <v>15</v>
      </c>
      <c r="N484">
        <v>1237.68</v>
      </c>
      <c r="O484" s="3">
        <v>1432.8</v>
      </c>
      <c r="P484" s="11" t="s">
        <v>1466</v>
      </c>
      <c r="Q484" s="4">
        <v>6.8000000000000005E-2</v>
      </c>
      <c r="R484" s="3">
        <v>20030.543999999998</v>
      </c>
      <c r="S484" s="3">
        <v>18565.2</v>
      </c>
      <c r="T484" s="4">
        <v>7.3155476955593296E-2</v>
      </c>
      <c r="U484" s="11" t="s">
        <v>1366</v>
      </c>
      <c r="V484" s="3">
        <v>1465.3439999999973</v>
      </c>
      <c r="W484" s="11" t="s">
        <v>1433</v>
      </c>
      <c r="X484" t="str">
        <f>TEXT(Table1_1[[#This Row],[OrderDate]],"mm yyyy")</f>
        <v>01 2024</v>
      </c>
      <c r="Y484" s="13">
        <f>DATE(YEAR(Table1_1[[#This Row],[OrderDate]]),MONTH(B484),1)</f>
        <v>45292</v>
      </c>
      <c r="Z484" s="2">
        <f t="shared" si="7"/>
        <v>45017</v>
      </c>
      <c r="AA484">
        <f>(YEAR(Table1_1[[#This Row],[OrderMonth]])-YEAR(Table1_1[[#This Row],[Firstmonth]]))*12+(MONTH(Table1_1[[#This Row],[OrderMonth]])-MONTH(Table1_1[[#This Row],[Firstmonth]]))</f>
        <v>9</v>
      </c>
    </row>
    <row r="485" spans="1:27" x14ac:dyDescent="0.25">
      <c r="A485" s="11" t="s">
        <v>87</v>
      </c>
      <c r="B485" s="2">
        <v>45532</v>
      </c>
      <c r="C485" s="2">
        <v>45560</v>
      </c>
      <c r="D485" s="11" t="s">
        <v>1413</v>
      </c>
      <c r="E485">
        <v>28</v>
      </c>
      <c r="F485" s="11" t="s">
        <v>1473</v>
      </c>
      <c r="G485" s="11" t="s">
        <v>1505</v>
      </c>
      <c r="H485" s="11" t="s">
        <v>1506</v>
      </c>
      <c r="I485" s="11" t="s">
        <v>644</v>
      </c>
      <c r="J485" s="11" t="s">
        <v>649</v>
      </c>
      <c r="K485" s="11" t="s">
        <v>674</v>
      </c>
      <c r="L485" s="11" t="s">
        <v>751</v>
      </c>
      <c r="M485" s="10">
        <v>11</v>
      </c>
      <c r="N485">
        <v>1394.65</v>
      </c>
      <c r="O485" s="3">
        <v>3144.1</v>
      </c>
      <c r="P485" s="11" t="s">
        <v>1471</v>
      </c>
      <c r="Q485" s="4">
        <v>0.13400000000000001</v>
      </c>
      <c r="R485" s="3">
        <v>29950.696599999999</v>
      </c>
      <c r="S485" s="3">
        <v>15341.150000000001</v>
      </c>
      <c r="T485" s="4">
        <v>0.48778653782630199</v>
      </c>
      <c r="U485" s="11" t="s">
        <v>1366</v>
      </c>
      <c r="V485" s="3">
        <v>14609.546599999998</v>
      </c>
      <c r="W485" s="11" t="s">
        <v>1437</v>
      </c>
      <c r="X485" t="str">
        <f>TEXT(Table1_1[[#This Row],[OrderDate]],"mm yyyy")</f>
        <v>08 2024</v>
      </c>
      <c r="Y485" s="13">
        <f>DATE(YEAR(Table1_1[[#This Row],[OrderDate]]),MONTH(B485),1)</f>
        <v>45505</v>
      </c>
      <c r="Z485" s="2">
        <f t="shared" si="7"/>
        <v>45047</v>
      </c>
      <c r="AA485">
        <f>(YEAR(Table1_1[[#This Row],[OrderMonth]])-YEAR(Table1_1[[#This Row],[Firstmonth]]))*12+(MONTH(Table1_1[[#This Row],[OrderMonth]])-MONTH(Table1_1[[#This Row],[Firstmonth]]))</f>
        <v>15</v>
      </c>
    </row>
    <row r="486" spans="1:27" x14ac:dyDescent="0.25">
      <c r="A486" s="11" t="s">
        <v>419</v>
      </c>
      <c r="B486" s="2">
        <v>45276</v>
      </c>
      <c r="C486" s="2">
        <v>45279</v>
      </c>
      <c r="D486" s="11" t="s">
        <v>1413</v>
      </c>
      <c r="E486">
        <v>3</v>
      </c>
      <c r="F486" s="11" t="s">
        <v>1476</v>
      </c>
      <c r="G486" s="11" t="s">
        <v>1457</v>
      </c>
      <c r="H486" s="11" t="s">
        <v>1477</v>
      </c>
      <c r="I486" s="11" t="s">
        <v>643</v>
      </c>
      <c r="J486" s="11" t="s">
        <v>648</v>
      </c>
      <c r="K486" s="11" t="s">
        <v>674</v>
      </c>
      <c r="L486" s="11" t="s">
        <v>1083</v>
      </c>
      <c r="M486" s="10">
        <v>13</v>
      </c>
      <c r="N486">
        <v>1415.05</v>
      </c>
      <c r="O486" s="3">
        <v>1972.38</v>
      </c>
      <c r="P486" s="11" t="s">
        <v>1471</v>
      </c>
      <c r="Q486" s="4">
        <v>0</v>
      </c>
      <c r="R486" s="3">
        <v>25640.940000000002</v>
      </c>
      <c r="S486" s="3">
        <v>18395.649999999998</v>
      </c>
      <c r="T486" s="4">
        <v>0.28256725377462799</v>
      </c>
      <c r="U486" s="11" t="s">
        <v>661</v>
      </c>
      <c r="V486" s="3">
        <v>7245.2900000000045</v>
      </c>
      <c r="W486" s="11" t="s">
        <v>1439</v>
      </c>
      <c r="X486" t="str">
        <f>TEXT(Table1_1[[#This Row],[OrderDate]],"mm yyyy")</f>
        <v>12 2023</v>
      </c>
      <c r="Y486" s="13">
        <f>DATE(YEAR(Table1_1[[#This Row],[OrderDate]]),MONTH(B486),1)</f>
        <v>45261</v>
      </c>
      <c r="Z486" s="2">
        <f t="shared" si="7"/>
        <v>44927</v>
      </c>
      <c r="AA486">
        <f>(YEAR(Table1_1[[#This Row],[OrderMonth]])-YEAR(Table1_1[[#This Row],[Firstmonth]]))*12+(MONTH(Table1_1[[#This Row],[OrderMonth]])-MONTH(Table1_1[[#This Row],[Firstmonth]]))</f>
        <v>11</v>
      </c>
    </row>
    <row r="487" spans="1:27" x14ac:dyDescent="0.25">
      <c r="A487" s="11" t="s">
        <v>56</v>
      </c>
      <c r="B487" s="2">
        <v>45035</v>
      </c>
      <c r="C487" s="2">
        <v>45046</v>
      </c>
      <c r="D487" s="11" t="s">
        <v>1413</v>
      </c>
      <c r="E487">
        <v>11</v>
      </c>
      <c r="F487" s="11" t="s">
        <v>1476</v>
      </c>
      <c r="G487" s="11" t="s">
        <v>1453</v>
      </c>
      <c r="H487" s="11" t="s">
        <v>1479</v>
      </c>
      <c r="I487" s="11" t="s">
        <v>646</v>
      </c>
      <c r="J487" s="11" t="s">
        <v>648</v>
      </c>
      <c r="K487" s="11" t="s">
        <v>670</v>
      </c>
      <c r="L487" s="11" t="s">
        <v>720</v>
      </c>
      <c r="M487" s="10">
        <v>23</v>
      </c>
      <c r="N487">
        <v>826.55</v>
      </c>
      <c r="O487" s="3">
        <v>1397.05</v>
      </c>
      <c r="P487" s="11" t="s">
        <v>1466</v>
      </c>
      <c r="Q487" s="4">
        <v>0.16900000000000001</v>
      </c>
      <c r="R487" s="3">
        <v>26701.816649999997</v>
      </c>
      <c r="S487" s="3">
        <v>19010.649999999998</v>
      </c>
      <c r="T487" s="4">
        <v>0.28803907804527601</v>
      </c>
      <c r="U487" s="11" t="s">
        <v>661</v>
      </c>
      <c r="V487" s="3">
        <v>7691.1666499999992</v>
      </c>
      <c r="W487" s="11" t="s">
        <v>1435</v>
      </c>
      <c r="X487" t="str">
        <f>TEXT(Table1_1[[#This Row],[OrderDate]],"mm yyyy")</f>
        <v>04 2023</v>
      </c>
      <c r="Y487" s="13">
        <f>DATE(YEAR(Table1_1[[#This Row],[OrderDate]]),MONTH(B487),1)</f>
        <v>45017</v>
      </c>
      <c r="Z487" s="2">
        <f t="shared" si="7"/>
        <v>44927</v>
      </c>
      <c r="AA487">
        <f>(YEAR(Table1_1[[#This Row],[OrderMonth]])-YEAR(Table1_1[[#This Row],[Firstmonth]]))*12+(MONTH(Table1_1[[#This Row],[OrderMonth]])-MONTH(Table1_1[[#This Row],[Firstmonth]]))</f>
        <v>3</v>
      </c>
    </row>
    <row r="488" spans="1:27" x14ac:dyDescent="0.25">
      <c r="A488" s="11" t="s">
        <v>427</v>
      </c>
      <c r="B488" s="2">
        <v>45813</v>
      </c>
      <c r="C488" s="2">
        <v>45822</v>
      </c>
      <c r="D488" s="11" t="s">
        <v>1413</v>
      </c>
      <c r="E488">
        <v>9</v>
      </c>
      <c r="F488" s="11" t="s">
        <v>1476</v>
      </c>
      <c r="G488" s="11" t="s">
        <v>1453</v>
      </c>
      <c r="H488" s="11" t="s">
        <v>1479</v>
      </c>
      <c r="I488" s="11" t="s">
        <v>644</v>
      </c>
      <c r="J488" s="11" t="s">
        <v>648</v>
      </c>
      <c r="K488" s="11" t="s">
        <v>674</v>
      </c>
      <c r="L488" s="11" t="s">
        <v>1091</v>
      </c>
      <c r="M488" s="10">
        <v>11</v>
      </c>
      <c r="N488">
        <v>618.69000000000005</v>
      </c>
      <c r="O488" s="3">
        <v>796.15</v>
      </c>
      <c r="P488" s="11" t="s">
        <v>1468</v>
      </c>
      <c r="Q488" s="4">
        <v>0.09</v>
      </c>
      <c r="R488" s="3">
        <v>7969.4615000000003</v>
      </c>
      <c r="S488" s="3">
        <v>6805.59</v>
      </c>
      <c r="T488" s="4">
        <v>0.14604142325049199</v>
      </c>
      <c r="U488" s="11" t="s">
        <v>661</v>
      </c>
      <c r="V488" s="3">
        <v>1163.8715000000002</v>
      </c>
      <c r="W488" s="11" t="s">
        <v>1431</v>
      </c>
      <c r="X488" t="str">
        <f>TEXT(Table1_1[[#This Row],[OrderDate]],"mm yyyy")</f>
        <v>06 2025</v>
      </c>
      <c r="Y488" s="13">
        <f>DATE(YEAR(Table1_1[[#This Row],[OrderDate]]),MONTH(B488),1)</f>
        <v>45809</v>
      </c>
      <c r="Z488" s="2">
        <f t="shared" si="7"/>
        <v>44927</v>
      </c>
      <c r="AA488">
        <f>(YEAR(Table1_1[[#This Row],[OrderMonth]])-YEAR(Table1_1[[#This Row],[Firstmonth]]))*12+(MONTH(Table1_1[[#This Row],[OrderMonth]])-MONTH(Table1_1[[#This Row],[Firstmonth]]))</f>
        <v>29</v>
      </c>
    </row>
    <row r="489" spans="1:27" x14ac:dyDescent="0.25">
      <c r="A489" s="11" t="s">
        <v>433</v>
      </c>
      <c r="B489" s="2">
        <v>45915</v>
      </c>
      <c r="C489" s="2">
        <v>45925</v>
      </c>
      <c r="D489" s="11" t="s">
        <v>1413</v>
      </c>
      <c r="E489">
        <v>10</v>
      </c>
      <c r="F489" s="11" t="s">
        <v>1476</v>
      </c>
      <c r="G489" s="11" t="s">
        <v>1453</v>
      </c>
      <c r="H489" s="11" t="s">
        <v>1479</v>
      </c>
      <c r="I489" s="11" t="s">
        <v>645</v>
      </c>
      <c r="J489" s="11" t="s">
        <v>648</v>
      </c>
      <c r="K489" s="11" t="s">
        <v>671</v>
      </c>
      <c r="L489" s="11" t="s">
        <v>1097</v>
      </c>
      <c r="M489" s="10">
        <v>15</v>
      </c>
      <c r="N489">
        <v>1488.91</v>
      </c>
      <c r="O489" s="3">
        <v>1483.74</v>
      </c>
      <c r="P489" s="11" t="s">
        <v>1466</v>
      </c>
      <c r="Q489" s="4">
        <v>0.16800000000000001</v>
      </c>
      <c r="R489" s="3">
        <v>18517.075199999999</v>
      </c>
      <c r="S489" s="3">
        <v>22333.65</v>
      </c>
      <c r="T489" s="4">
        <v>-0.206111103334505</v>
      </c>
      <c r="U489" s="11" t="s">
        <v>661</v>
      </c>
      <c r="V489" s="3">
        <v>-3816.5748000000021</v>
      </c>
      <c r="W489" s="11" t="s">
        <v>1438</v>
      </c>
      <c r="X489" t="str">
        <f>TEXT(Table1_1[[#This Row],[OrderDate]],"mm yyyy")</f>
        <v>09 2025</v>
      </c>
      <c r="Y489" s="13">
        <f>DATE(YEAR(Table1_1[[#This Row],[OrderDate]]),MONTH(B489),1)</f>
        <v>45901</v>
      </c>
      <c r="Z489" s="2">
        <f t="shared" si="7"/>
        <v>44927</v>
      </c>
      <c r="AA489">
        <f>(YEAR(Table1_1[[#This Row],[OrderMonth]])-YEAR(Table1_1[[#This Row],[Firstmonth]]))*12+(MONTH(Table1_1[[#This Row],[OrderMonth]])-MONTH(Table1_1[[#This Row],[Firstmonth]]))</f>
        <v>32</v>
      </c>
    </row>
    <row r="490" spans="1:27" x14ac:dyDescent="0.25">
      <c r="A490" s="11" t="s">
        <v>387</v>
      </c>
      <c r="B490" s="2">
        <v>44998</v>
      </c>
      <c r="C490" s="2">
        <v>45020</v>
      </c>
      <c r="D490" s="11" t="s">
        <v>1413</v>
      </c>
      <c r="E490">
        <v>22</v>
      </c>
      <c r="F490" s="11" t="s">
        <v>1485</v>
      </c>
      <c r="G490" s="11" t="s">
        <v>1490</v>
      </c>
      <c r="H490" s="11" t="s">
        <v>1515</v>
      </c>
      <c r="I490" s="11" t="s">
        <v>646</v>
      </c>
      <c r="J490" s="11" t="s">
        <v>648</v>
      </c>
      <c r="K490" s="11" t="s">
        <v>668</v>
      </c>
      <c r="L490" s="11" t="s">
        <v>1052</v>
      </c>
      <c r="M490" s="10">
        <v>29</v>
      </c>
      <c r="N490">
        <v>1113.7</v>
      </c>
      <c r="O490" s="3">
        <v>1620.6</v>
      </c>
      <c r="P490" s="11" t="s">
        <v>1466</v>
      </c>
      <c r="Q490" s="4">
        <v>0.13900000000000001</v>
      </c>
      <c r="R490" s="3">
        <v>40464.761399999996</v>
      </c>
      <c r="S490" s="3">
        <v>32297.300000000003</v>
      </c>
      <c r="T490" s="4">
        <v>0.20184133348182801</v>
      </c>
      <c r="U490" s="11" t="s">
        <v>661</v>
      </c>
      <c r="V490" s="3">
        <v>8167.4613999999929</v>
      </c>
      <c r="W490" s="11" t="s">
        <v>1432</v>
      </c>
      <c r="X490" t="str">
        <f>TEXT(Table1_1[[#This Row],[OrderDate]],"mm yyyy")</f>
        <v>03 2023</v>
      </c>
      <c r="Y490" s="13">
        <f>DATE(YEAR(Table1_1[[#This Row],[OrderDate]]),MONTH(B490),1)</f>
        <v>44986</v>
      </c>
      <c r="Z490" s="2">
        <f t="shared" si="7"/>
        <v>44958</v>
      </c>
      <c r="AA490">
        <f>(YEAR(Table1_1[[#This Row],[OrderMonth]])-YEAR(Table1_1[[#This Row],[Firstmonth]]))*12+(MONTH(Table1_1[[#This Row],[OrderMonth]])-MONTH(Table1_1[[#This Row],[Firstmonth]]))</f>
        <v>1</v>
      </c>
    </row>
    <row r="491" spans="1:27" x14ac:dyDescent="0.25">
      <c r="A491" s="11" t="s">
        <v>543</v>
      </c>
      <c r="B491" s="2">
        <v>45155</v>
      </c>
      <c r="C491" s="2">
        <v>45172</v>
      </c>
      <c r="D491" s="11" t="s">
        <v>1413</v>
      </c>
      <c r="E491">
        <v>17</v>
      </c>
      <c r="F491" s="11" t="s">
        <v>1485</v>
      </c>
      <c r="G491" s="11" t="s">
        <v>1490</v>
      </c>
      <c r="H491" s="11" t="s">
        <v>1515</v>
      </c>
      <c r="I491" s="11" t="s">
        <v>647</v>
      </c>
      <c r="J491" s="11" t="s">
        <v>648</v>
      </c>
      <c r="K491" s="11" t="s">
        <v>671</v>
      </c>
      <c r="L491" s="11" t="s">
        <v>1207</v>
      </c>
      <c r="M491" s="10">
        <v>4</v>
      </c>
      <c r="N491">
        <v>676.37</v>
      </c>
      <c r="O491" s="3">
        <v>1276.67</v>
      </c>
      <c r="P491" s="11" t="s">
        <v>1466</v>
      </c>
      <c r="Q491" s="4">
        <v>6.6000000000000003E-2</v>
      </c>
      <c r="R491" s="3">
        <v>4769.6391199999998</v>
      </c>
      <c r="S491" s="3">
        <v>2705.48</v>
      </c>
      <c r="T491" s="4">
        <v>0.43277050277128698</v>
      </c>
      <c r="U491" s="11" t="s">
        <v>661</v>
      </c>
      <c r="V491" s="3">
        <v>2064.1591199999998</v>
      </c>
      <c r="W491" s="11" t="s">
        <v>1430</v>
      </c>
      <c r="X491" t="str">
        <f>TEXT(Table1_1[[#This Row],[OrderDate]],"mm yyyy")</f>
        <v>08 2023</v>
      </c>
      <c r="Y491" s="13">
        <f>DATE(YEAR(Table1_1[[#This Row],[OrderDate]]),MONTH(B491),1)</f>
        <v>45139</v>
      </c>
      <c r="Z491" s="2">
        <f t="shared" si="7"/>
        <v>44958</v>
      </c>
      <c r="AA491">
        <f>(YEAR(Table1_1[[#This Row],[OrderMonth]])-YEAR(Table1_1[[#This Row],[Firstmonth]]))*12+(MONTH(Table1_1[[#This Row],[OrderMonth]])-MONTH(Table1_1[[#This Row],[Firstmonth]]))</f>
        <v>6</v>
      </c>
    </row>
    <row r="492" spans="1:27" x14ac:dyDescent="0.25">
      <c r="A492" s="11" t="s">
        <v>636</v>
      </c>
      <c r="B492" s="2">
        <v>45282</v>
      </c>
      <c r="C492" s="2">
        <v>45307</v>
      </c>
      <c r="D492" s="11" t="s">
        <v>1413</v>
      </c>
      <c r="E492">
        <v>25</v>
      </c>
      <c r="F492" s="11" t="s">
        <v>1476</v>
      </c>
      <c r="G492" s="11" t="s">
        <v>1453</v>
      </c>
      <c r="H492" s="11" t="s">
        <v>1480</v>
      </c>
      <c r="I492" s="11" t="s">
        <v>646</v>
      </c>
      <c r="J492" s="11" t="s">
        <v>648</v>
      </c>
      <c r="K492" s="11" t="s">
        <v>668</v>
      </c>
      <c r="L492" s="11" t="s">
        <v>1299</v>
      </c>
      <c r="M492" s="10">
        <v>5</v>
      </c>
      <c r="N492">
        <v>1346.81</v>
      </c>
      <c r="O492" s="3">
        <v>978.09</v>
      </c>
      <c r="P492" s="11" t="s">
        <v>1466</v>
      </c>
      <c r="Q492" s="4">
        <v>0.159</v>
      </c>
      <c r="R492" s="3">
        <v>4112.8684499999999</v>
      </c>
      <c r="S492" s="3">
        <v>6734.0499999999993</v>
      </c>
      <c r="T492" s="4">
        <v>-0.63731227532939905</v>
      </c>
      <c r="U492" s="11" t="s">
        <v>661</v>
      </c>
      <c r="V492" s="3">
        <v>-2621.1815499999993</v>
      </c>
      <c r="W492" s="11" t="s">
        <v>1439</v>
      </c>
      <c r="X492" t="str">
        <f>TEXT(Table1_1[[#This Row],[OrderDate]],"mm yyyy")</f>
        <v>12 2023</v>
      </c>
      <c r="Y492" s="13">
        <f>DATE(YEAR(Table1_1[[#This Row],[OrderDate]]),MONTH(B492),1)</f>
        <v>45261</v>
      </c>
      <c r="Z492" s="2">
        <f t="shared" si="7"/>
        <v>44927</v>
      </c>
      <c r="AA492">
        <f>(YEAR(Table1_1[[#This Row],[OrderMonth]])-YEAR(Table1_1[[#This Row],[Firstmonth]]))*12+(MONTH(Table1_1[[#This Row],[OrderMonth]])-MONTH(Table1_1[[#This Row],[Firstmonth]]))</f>
        <v>11</v>
      </c>
    </row>
    <row r="493" spans="1:27" x14ac:dyDescent="0.25">
      <c r="A493" s="11" t="s">
        <v>38</v>
      </c>
      <c r="B493" s="2">
        <v>45492</v>
      </c>
      <c r="C493" s="2">
        <v>45492</v>
      </c>
      <c r="D493" s="11" t="s">
        <v>1413</v>
      </c>
      <c r="E493">
        <v>0</v>
      </c>
      <c r="F493" s="11" t="s">
        <v>1485</v>
      </c>
      <c r="G493" s="11" t="s">
        <v>1449</v>
      </c>
      <c r="H493" s="11" t="s">
        <v>1512</v>
      </c>
      <c r="I493" s="11" t="s">
        <v>646</v>
      </c>
      <c r="J493" s="11" t="s">
        <v>648</v>
      </c>
      <c r="K493" s="11" t="s">
        <v>671</v>
      </c>
      <c r="L493" s="11" t="s">
        <v>702</v>
      </c>
      <c r="M493" s="10">
        <v>10</v>
      </c>
      <c r="N493">
        <v>857.24</v>
      </c>
      <c r="O493" s="3">
        <v>758.23</v>
      </c>
      <c r="P493" s="11" t="s">
        <v>1468</v>
      </c>
      <c r="Q493" s="4">
        <v>0.125</v>
      </c>
      <c r="R493" s="3">
        <v>6634.5124999999998</v>
      </c>
      <c r="S493" s="3">
        <v>8572.4</v>
      </c>
      <c r="T493" s="4">
        <v>-0.29209192084572899</v>
      </c>
      <c r="U493" s="11" t="s">
        <v>661</v>
      </c>
      <c r="V493" s="3">
        <v>-1937.8874999999998</v>
      </c>
      <c r="W493" s="11" t="s">
        <v>1437</v>
      </c>
      <c r="X493" t="str">
        <f>TEXT(Table1_1[[#This Row],[OrderDate]],"mm yyyy")</f>
        <v>07 2024</v>
      </c>
      <c r="Y493" s="13">
        <f>DATE(YEAR(Table1_1[[#This Row],[OrderDate]]),MONTH(B493),1)</f>
        <v>45474</v>
      </c>
      <c r="Z493" s="2">
        <f t="shared" si="7"/>
        <v>44927</v>
      </c>
      <c r="AA493">
        <f>(YEAR(Table1_1[[#This Row],[OrderMonth]])-YEAR(Table1_1[[#This Row],[Firstmonth]]))*12+(MONTH(Table1_1[[#This Row],[OrderMonth]])-MONTH(Table1_1[[#This Row],[Firstmonth]]))</f>
        <v>18</v>
      </c>
    </row>
    <row r="494" spans="1:27" x14ac:dyDescent="0.25">
      <c r="A494" s="11" t="s">
        <v>616</v>
      </c>
      <c r="B494" s="2">
        <v>45038</v>
      </c>
      <c r="C494" s="2">
        <v>45060</v>
      </c>
      <c r="D494" s="11" t="s">
        <v>1413</v>
      </c>
      <c r="E494">
        <v>22</v>
      </c>
      <c r="F494" s="11" t="s">
        <v>1476</v>
      </c>
      <c r="G494" s="11" t="s">
        <v>1451</v>
      </c>
      <c r="H494" s="11" t="s">
        <v>1484</v>
      </c>
      <c r="I494" s="11" t="s">
        <v>647</v>
      </c>
      <c r="J494" s="11" t="s">
        <v>648</v>
      </c>
      <c r="K494" s="11" t="s">
        <v>674</v>
      </c>
      <c r="L494" s="11" t="s">
        <v>1279</v>
      </c>
      <c r="M494" s="10">
        <v>11</v>
      </c>
      <c r="N494">
        <v>1209.22</v>
      </c>
      <c r="O494" s="3">
        <v>1404.33</v>
      </c>
      <c r="P494" s="11" t="s">
        <v>1466</v>
      </c>
      <c r="Q494" s="4">
        <v>0.10299999999999999</v>
      </c>
      <c r="R494" s="3">
        <v>13856.52411</v>
      </c>
      <c r="S494" s="3">
        <v>13301.42</v>
      </c>
      <c r="T494" s="4">
        <v>4.00608482757513E-2</v>
      </c>
      <c r="U494" s="11" t="s">
        <v>661</v>
      </c>
      <c r="V494" s="3">
        <v>555.10411000000022</v>
      </c>
      <c r="W494" s="11" t="s">
        <v>1435</v>
      </c>
      <c r="X494" t="str">
        <f>TEXT(Table1_1[[#This Row],[OrderDate]],"mm yyyy")</f>
        <v>04 2023</v>
      </c>
      <c r="Y494" s="13">
        <f>DATE(YEAR(Table1_1[[#This Row],[OrderDate]]),MONTH(B494),1)</f>
        <v>45017</v>
      </c>
      <c r="Z494" s="2">
        <f t="shared" si="7"/>
        <v>45017</v>
      </c>
      <c r="AA494">
        <f>(YEAR(Table1_1[[#This Row],[OrderMonth]])-YEAR(Table1_1[[#This Row],[Firstmonth]]))*12+(MONTH(Table1_1[[#This Row],[OrderMonth]])-MONTH(Table1_1[[#This Row],[Firstmonth]]))</f>
        <v>0</v>
      </c>
    </row>
    <row r="495" spans="1:27" x14ac:dyDescent="0.25">
      <c r="A495" s="11" t="s">
        <v>372</v>
      </c>
      <c r="B495" s="2">
        <v>45108</v>
      </c>
      <c r="C495" s="2">
        <v>45115</v>
      </c>
      <c r="D495" s="11" t="s">
        <v>1413</v>
      </c>
      <c r="E495">
        <v>7</v>
      </c>
      <c r="F495" s="11" t="s">
        <v>1485</v>
      </c>
      <c r="G495" s="11" t="s">
        <v>1495</v>
      </c>
      <c r="H495" s="11" t="s">
        <v>1496</v>
      </c>
      <c r="I495" s="11" t="s">
        <v>642</v>
      </c>
      <c r="J495" s="11" t="s">
        <v>648</v>
      </c>
      <c r="K495" s="11" t="s">
        <v>672</v>
      </c>
      <c r="L495" s="11" t="s">
        <v>1037</v>
      </c>
      <c r="M495" s="10">
        <v>10</v>
      </c>
      <c r="N495">
        <v>834.26</v>
      </c>
      <c r="O495" s="3">
        <v>1780.56</v>
      </c>
      <c r="P495" s="11" t="s">
        <v>1471</v>
      </c>
      <c r="Q495" s="4">
        <v>1.4E-2</v>
      </c>
      <c r="R495" s="3">
        <v>17556.321599999999</v>
      </c>
      <c r="S495" s="3">
        <v>8342.6</v>
      </c>
      <c r="T495" s="4">
        <v>0.52480934274979296</v>
      </c>
      <c r="U495" s="11" t="s">
        <v>661</v>
      </c>
      <c r="V495" s="3">
        <v>9213.7215999999989</v>
      </c>
      <c r="W495" s="11" t="s">
        <v>1430</v>
      </c>
      <c r="X495" t="str">
        <f>TEXT(Table1_1[[#This Row],[OrderDate]],"mm yyyy")</f>
        <v>07 2023</v>
      </c>
      <c r="Y495" s="13">
        <f>DATE(YEAR(Table1_1[[#This Row],[OrderDate]]),MONTH(B495),1)</f>
        <v>45108</v>
      </c>
      <c r="Z495" s="2">
        <f t="shared" si="7"/>
        <v>45047</v>
      </c>
      <c r="AA495">
        <f>(YEAR(Table1_1[[#This Row],[OrderMonth]])-YEAR(Table1_1[[#This Row],[Firstmonth]]))*12+(MONTH(Table1_1[[#This Row],[OrderMonth]])-MONTH(Table1_1[[#This Row],[Firstmonth]]))</f>
        <v>2</v>
      </c>
    </row>
    <row r="496" spans="1:27" x14ac:dyDescent="0.25">
      <c r="A496" s="11" t="s">
        <v>80</v>
      </c>
      <c r="B496" s="2">
        <v>45037</v>
      </c>
      <c r="C496" s="2">
        <v>45056</v>
      </c>
      <c r="D496" s="11" t="s">
        <v>1413</v>
      </c>
      <c r="E496">
        <v>19</v>
      </c>
      <c r="F496" s="11" t="s">
        <v>1476</v>
      </c>
      <c r="G496" s="11" t="s">
        <v>1457</v>
      </c>
      <c r="H496" s="11" t="s">
        <v>1511</v>
      </c>
      <c r="I496" s="11" t="s">
        <v>642</v>
      </c>
      <c r="J496" s="11" t="s">
        <v>648</v>
      </c>
      <c r="K496" s="11" t="s">
        <v>668</v>
      </c>
      <c r="L496" s="11" t="s">
        <v>744</v>
      </c>
      <c r="M496" s="10">
        <v>19</v>
      </c>
      <c r="N496">
        <v>882.33</v>
      </c>
      <c r="O496" s="3">
        <v>1880.15</v>
      </c>
      <c r="P496" s="11" t="s">
        <v>1471</v>
      </c>
      <c r="Q496" s="4">
        <v>0.05</v>
      </c>
      <c r="R496" s="3">
        <v>33936.707499999997</v>
      </c>
      <c r="S496" s="3">
        <v>16764.27</v>
      </c>
      <c r="T496" s="4">
        <v>0.50601365792483</v>
      </c>
      <c r="U496" s="11" t="s">
        <v>661</v>
      </c>
      <c r="V496" s="3">
        <v>17172.437499999996</v>
      </c>
      <c r="W496" s="11" t="s">
        <v>1435</v>
      </c>
      <c r="X496" t="str">
        <f>TEXT(Table1_1[[#This Row],[OrderDate]],"mm yyyy")</f>
        <v>04 2023</v>
      </c>
      <c r="Y496" s="13">
        <f>DATE(YEAR(Table1_1[[#This Row],[OrderDate]]),MONTH(B496),1)</f>
        <v>45017</v>
      </c>
      <c r="Z496" s="2">
        <f t="shared" si="7"/>
        <v>44927</v>
      </c>
      <c r="AA496">
        <f>(YEAR(Table1_1[[#This Row],[OrderMonth]])-YEAR(Table1_1[[#This Row],[Firstmonth]]))*12+(MONTH(Table1_1[[#This Row],[OrderMonth]])-MONTH(Table1_1[[#This Row],[Firstmonth]]))</f>
        <v>3</v>
      </c>
    </row>
    <row r="497" spans="1:27" x14ac:dyDescent="0.25">
      <c r="A497" s="11" t="s">
        <v>1363</v>
      </c>
      <c r="B497" s="2">
        <v>44955</v>
      </c>
      <c r="C497" s="2">
        <v>44985</v>
      </c>
      <c r="D497" s="11" t="s">
        <v>1413</v>
      </c>
      <c r="E497">
        <v>30</v>
      </c>
      <c r="F497" s="11" t="s">
        <v>1476</v>
      </c>
      <c r="G497" s="11" t="s">
        <v>1453</v>
      </c>
      <c r="H497" s="11" t="s">
        <v>1497</v>
      </c>
      <c r="I497" s="11" t="s">
        <v>644</v>
      </c>
      <c r="J497" s="11" t="s">
        <v>648</v>
      </c>
      <c r="K497" s="11" t="s">
        <v>674</v>
      </c>
      <c r="L497" s="11" t="s">
        <v>862</v>
      </c>
      <c r="M497" s="10">
        <v>7</v>
      </c>
      <c r="N497">
        <v>1262.0999999999999</v>
      </c>
      <c r="O497" s="3">
        <v>1395.53</v>
      </c>
      <c r="P497" s="11" t="s">
        <v>1466</v>
      </c>
      <c r="Q497" s="4">
        <v>0.23300000000000001</v>
      </c>
      <c r="R497" s="3">
        <v>7492.6005699999996</v>
      </c>
      <c r="S497" s="3">
        <v>8834.6999999999989</v>
      </c>
      <c r="T497" s="4">
        <v>-0.179123312054522</v>
      </c>
      <c r="U497" s="11" t="s">
        <v>658</v>
      </c>
      <c r="V497" s="3">
        <v>-1342.0994299999993</v>
      </c>
      <c r="W497" s="11" t="s">
        <v>1432</v>
      </c>
      <c r="X497" t="str">
        <f>TEXT(Table1_1[[#This Row],[OrderDate]],"mm yyyy")</f>
        <v>01 2023</v>
      </c>
      <c r="Y497" s="13">
        <f>DATE(YEAR(Table1_1[[#This Row],[OrderDate]]),MONTH(B497),1)</f>
        <v>44927</v>
      </c>
      <c r="Z497" s="2">
        <f t="shared" si="7"/>
        <v>44927</v>
      </c>
      <c r="AA497">
        <f>(YEAR(Table1_1[[#This Row],[OrderMonth]])-YEAR(Table1_1[[#This Row],[Firstmonth]]))*12+(MONTH(Table1_1[[#This Row],[OrderMonth]])-MONTH(Table1_1[[#This Row],[Firstmonth]]))</f>
        <v>0</v>
      </c>
    </row>
    <row r="498" spans="1:27" x14ac:dyDescent="0.25">
      <c r="A498" s="11" t="s">
        <v>528</v>
      </c>
      <c r="B498" s="2">
        <v>45413</v>
      </c>
      <c r="C498" s="2">
        <v>45438</v>
      </c>
      <c r="D498" s="11" t="s">
        <v>1413</v>
      </c>
      <c r="E498">
        <v>25</v>
      </c>
      <c r="F498" s="11" t="s">
        <v>1464</v>
      </c>
      <c r="G498" s="11" t="s">
        <v>1455</v>
      </c>
      <c r="H498" s="11" t="s">
        <v>1465</v>
      </c>
      <c r="I498" s="11" t="s">
        <v>644</v>
      </c>
      <c r="J498" s="11" t="s">
        <v>648</v>
      </c>
      <c r="K498" s="11" t="s">
        <v>670</v>
      </c>
      <c r="L498" s="11" t="s">
        <v>1192</v>
      </c>
      <c r="M498" s="10">
        <v>12</v>
      </c>
      <c r="N498">
        <v>930.71</v>
      </c>
      <c r="O498" s="3">
        <v>1625.42</v>
      </c>
      <c r="P498" s="11" t="s">
        <v>1466</v>
      </c>
      <c r="Q498" s="4">
        <v>0.13800000000000001</v>
      </c>
      <c r="R498" s="3">
        <v>16813.34448</v>
      </c>
      <c r="S498" s="3">
        <v>11168.52</v>
      </c>
      <c r="T498" s="4">
        <v>0.33573477821231201</v>
      </c>
      <c r="U498" s="11" t="s">
        <v>658</v>
      </c>
      <c r="V498" s="3">
        <v>5644.8244799999993</v>
      </c>
      <c r="W498" s="11" t="s">
        <v>1436</v>
      </c>
      <c r="X498" t="str">
        <f>TEXT(Table1_1[[#This Row],[OrderDate]],"mm yyyy")</f>
        <v>05 2024</v>
      </c>
      <c r="Y498" s="13">
        <f>DATE(YEAR(Table1_1[[#This Row],[OrderDate]]),MONTH(B498),1)</f>
        <v>45413</v>
      </c>
      <c r="Z498" s="2">
        <f t="shared" si="7"/>
        <v>44927</v>
      </c>
      <c r="AA498">
        <f>(YEAR(Table1_1[[#This Row],[OrderMonth]])-YEAR(Table1_1[[#This Row],[Firstmonth]]))*12+(MONTH(Table1_1[[#This Row],[OrderMonth]])-MONTH(Table1_1[[#This Row],[Firstmonth]]))</f>
        <v>16</v>
      </c>
    </row>
    <row r="499" spans="1:27" x14ac:dyDescent="0.25">
      <c r="A499" s="11" t="s">
        <v>216</v>
      </c>
      <c r="B499" s="2">
        <v>45109</v>
      </c>
      <c r="C499" s="2">
        <v>45139</v>
      </c>
      <c r="D499" s="11" t="s">
        <v>1413</v>
      </c>
      <c r="E499">
        <v>30</v>
      </c>
      <c r="F499" s="11" t="s">
        <v>1464</v>
      </c>
      <c r="G499" s="11" t="s">
        <v>1469</v>
      </c>
      <c r="H499" s="11" t="s">
        <v>1507</v>
      </c>
      <c r="I499" s="11" t="s">
        <v>646</v>
      </c>
      <c r="J499" s="11" t="s">
        <v>648</v>
      </c>
      <c r="K499" s="11" t="s">
        <v>668</v>
      </c>
      <c r="L499" s="11" t="s">
        <v>881</v>
      </c>
      <c r="M499" s="10">
        <v>27</v>
      </c>
      <c r="N499">
        <v>137.46</v>
      </c>
      <c r="O499" s="3">
        <v>188.3</v>
      </c>
      <c r="P499" s="11" t="s">
        <v>1468</v>
      </c>
      <c r="Q499" s="4">
        <v>3.7999999999999999E-2</v>
      </c>
      <c r="R499" s="3">
        <v>4890.9041999999999</v>
      </c>
      <c r="S499" s="3">
        <v>3711.42</v>
      </c>
      <c r="T499" s="4">
        <v>0.24115872071262401</v>
      </c>
      <c r="U499" s="11" t="s">
        <v>658</v>
      </c>
      <c r="V499" s="3">
        <v>1179.4841999999999</v>
      </c>
      <c r="W499" s="11" t="s">
        <v>1430</v>
      </c>
      <c r="X499" t="str">
        <f>TEXT(Table1_1[[#This Row],[OrderDate]],"mm yyyy")</f>
        <v>07 2023</v>
      </c>
      <c r="Y499" s="13">
        <f>DATE(YEAR(Table1_1[[#This Row],[OrderDate]]),MONTH(B499),1)</f>
        <v>45108</v>
      </c>
      <c r="Z499" s="2">
        <f t="shared" si="7"/>
        <v>44986</v>
      </c>
      <c r="AA499">
        <f>(YEAR(Table1_1[[#This Row],[OrderMonth]])-YEAR(Table1_1[[#This Row],[Firstmonth]]))*12+(MONTH(Table1_1[[#This Row],[OrderMonth]])-MONTH(Table1_1[[#This Row],[Firstmonth]]))</f>
        <v>4</v>
      </c>
    </row>
    <row r="500" spans="1:27" x14ac:dyDescent="0.25">
      <c r="A500" s="11" t="s">
        <v>58</v>
      </c>
      <c r="B500" s="2">
        <v>45426</v>
      </c>
      <c r="C500" s="2">
        <v>45440</v>
      </c>
      <c r="D500" s="11" t="s">
        <v>1413</v>
      </c>
      <c r="E500">
        <v>14</v>
      </c>
      <c r="F500" s="11" t="s">
        <v>1464</v>
      </c>
      <c r="G500" s="11" t="s">
        <v>1469</v>
      </c>
      <c r="H500" s="11" t="s">
        <v>1507</v>
      </c>
      <c r="I500" s="11" t="s">
        <v>645</v>
      </c>
      <c r="J500" s="11" t="s">
        <v>648</v>
      </c>
      <c r="K500" s="11" t="s">
        <v>670</v>
      </c>
      <c r="L500" s="11" t="s">
        <v>722</v>
      </c>
      <c r="M500" s="10">
        <v>8</v>
      </c>
      <c r="N500">
        <v>1421.14</v>
      </c>
      <c r="O500" s="3">
        <v>3524</v>
      </c>
      <c r="P500" s="11" t="s">
        <v>1471</v>
      </c>
      <c r="Q500" s="4">
        <v>0</v>
      </c>
      <c r="R500" s="3">
        <v>28192</v>
      </c>
      <c r="S500" s="3">
        <v>11369.12</v>
      </c>
      <c r="T500" s="4">
        <v>0.59672531214528901</v>
      </c>
      <c r="U500" s="11" t="s">
        <v>658</v>
      </c>
      <c r="V500" s="3">
        <v>16822.879999999997</v>
      </c>
      <c r="W500" s="11" t="s">
        <v>1436</v>
      </c>
      <c r="X500" t="str">
        <f>TEXT(Table1_1[[#This Row],[OrderDate]],"mm yyyy")</f>
        <v>05 2024</v>
      </c>
      <c r="Y500" s="13">
        <f>DATE(YEAR(Table1_1[[#This Row],[OrderDate]]),MONTH(B500),1)</f>
        <v>45413</v>
      </c>
      <c r="Z500" s="2">
        <f t="shared" si="7"/>
        <v>44986</v>
      </c>
      <c r="AA500">
        <f>(YEAR(Table1_1[[#This Row],[OrderMonth]])-YEAR(Table1_1[[#This Row],[Firstmonth]]))*12+(MONTH(Table1_1[[#This Row],[OrderMonth]])-MONTH(Table1_1[[#This Row],[Firstmonth]]))</f>
        <v>14</v>
      </c>
    </row>
    <row r="501" spans="1:27" x14ac:dyDescent="0.25">
      <c r="A501" s="11" t="s">
        <v>545</v>
      </c>
      <c r="B501" s="2">
        <v>45667</v>
      </c>
      <c r="C501" s="2">
        <v>45694</v>
      </c>
      <c r="D501" s="11" t="s">
        <v>1413</v>
      </c>
      <c r="E501">
        <v>27</v>
      </c>
      <c r="F501" s="11" t="s">
        <v>1473</v>
      </c>
      <c r="G501" s="11" t="s">
        <v>1454</v>
      </c>
      <c r="H501" s="11" t="s">
        <v>1478</v>
      </c>
      <c r="I501" s="11" t="s">
        <v>644</v>
      </c>
      <c r="J501" s="11" t="s">
        <v>648</v>
      </c>
      <c r="K501" s="11" t="s">
        <v>672</v>
      </c>
      <c r="L501" s="11" t="s">
        <v>1209</v>
      </c>
      <c r="M501" s="10">
        <v>13</v>
      </c>
      <c r="N501">
        <v>725.62</v>
      </c>
      <c r="O501" s="3">
        <v>1559.19</v>
      </c>
      <c r="P501" s="11" t="s">
        <v>1466</v>
      </c>
      <c r="Q501" s="4">
        <v>0.19</v>
      </c>
      <c r="R501" s="3">
        <v>16418.270700000001</v>
      </c>
      <c r="S501" s="3">
        <v>9433.06</v>
      </c>
      <c r="T501" s="4">
        <v>0.42545349797405901</v>
      </c>
      <c r="U501" s="11" t="s">
        <v>658</v>
      </c>
      <c r="V501" s="3">
        <v>6985.2107000000015</v>
      </c>
      <c r="W501" s="11" t="s">
        <v>1434</v>
      </c>
      <c r="X501" t="str">
        <f>TEXT(Table1_1[[#This Row],[OrderDate]],"mm yyyy")</f>
        <v>01 2025</v>
      </c>
      <c r="Y501" s="13">
        <f>DATE(YEAR(Table1_1[[#This Row],[OrderDate]]),MONTH(B501),1)</f>
        <v>45658</v>
      </c>
      <c r="Z501" s="2">
        <f t="shared" si="7"/>
        <v>45413</v>
      </c>
      <c r="AA501">
        <f>(YEAR(Table1_1[[#This Row],[OrderMonth]])-YEAR(Table1_1[[#This Row],[Firstmonth]]))*12+(MONTH(Table1_1[[#This Row],[OrderMonth]])-MONTH(Table1_1[[#This Row],[Firstmonth]]))</f>
        <v>8</v>
      </c>
    </row>
    <row r="502" spans="1:27" x14ac:dyDescent="0.25">
      <c r="A502" s="11" t="s">
        <v>223</v>
      </c>
      <c r="B502" s="2">
        <v>45686</v>
      </c>
      <c r="C502" s="2">
        <v>45694</v>
      </c>
      <c r="D502" s="11" t="s">
        <v>1413</v>
      </c>
      <c r="E502">
        <v>8</v>
      </c>
      <c r="F502" s="11" t="s">
        <v>1485</v>
      </c>
      <c r="G502" s="11" t="s">
        <v>1449</v>
      </c>
      <c r="H502" s="11" t="s">
        <v>1512</v>
      </c>
      <c r="I502" s="11" t="s">
        <v>643</v>
      </c>
      <c r="J502" s="11" t="s">
        <v>648</v>
      </c>
      <c r="K502" s="11" t="s">
        <v>671</v>
      </c>
      <c r="L502" s="11" t="s">
        <v>888</v>
      </c>
      <c r="M502" s="10">
        <v>22</v>
      </c>
      <c r="N502">
        <v>1445.27</v>
      </c>
      <c r="O502" s="3">
        <v>2691.45</v>
      </c>
      <c r="P502" s="11" t="s">
        <v>1471</v>
      </c>
      <c r="Q502" s="4">
        <v>0</v>
      </c>
      <c r="R502" s="3">
        <v>59211.899999999994</v>
      </c>
      <c r="S502" s="3">
        <v>31795.94</v>
      </c>
      <c r="T502" s="4">
        <v>0.46301436028906401</v>
      </c>
      <c r="U502" s="11" t="s">
        <v>658</v>
      </c>
      <c r="V502" s="3">
        <v>27415.959999999995</v>
      </c>
      <c r="W502" s="11" t="s">
        <v>1434</v>
      </c>
      <c r="X502" t="str">
        <f>TEXT(Table1_1[[#This Row],[OrderDate]],"mm yyyy")</f>
        <v>01 2025</v>
      </c>
      <c r="Y502" s="13">
        <f>DATE(YEAR(Table1_1[[#This Row],[OrderDate]]),MONTH(B502),1)</f>
        <v>45658</v>
      </c>
      <c r="Z502" s="2">
        <f t="shared" si="7"/>
        <v>44927</v>
      </c>
      <c r="AA502">
        <f>(YEAR(Table1_1[[#This Row],[OrderMonth]])-YEAR(Table1_1[[#This Row],[Firstmonth]]))*12+(MONTH(Table1_1[[#This Row],[OrderMonth]])-MONTH(Table1_1[[#This Row],[Firstmonth]]))</f>
        <v>24</v>
      </c>
    </row>
    <row r="503" spans="1:27" x14ac:dyDescent="0.25">
      <c r="A503" s="11" t="s">
        <v>575</v>
      </c>
      <c r="B503" s="2">
        <v>45315</v>
      </c>
      <c r="C503" s="2">
        <v>45326</v>
      </c>
      <c r="D503" s="11" t="s">
        <v>1413</v>
      </c>
      <c r="E503">
        <v>11</v>
      </c>
      <c r="F503" s="11" t="s">
        <v>1464</v>
      </c>
      <c r="G503" s="11" t="s">
        <v>1469</v>
      </c>
      <c r="H503" s="11" t="s">
        <v>1482</v>
      </c>
      <c r="I503" s="11" t="s">
        <v>645</v>
      </c>
      <c r="J503" s="11" t="s">
        <v>648</v>
      </c>
      <c r="K503" s="11" t="s">
        <v>672</v>
      </c>
      <c r="L503" s="11" t="s">
        <v>1238</v>
      </c>
      <c r="M503" s="10">
        <v>10</v>
      </c>
      <c r="N503">
        <v>525.34</v>
      </c>
      <c r="O503" s="3">
        <v>1233.79</v>
      </c>
      <c r="P503" s="11" t="s">
        <v>1466</v>
      </c>
      <c r="Q503" s="4">
        <v>0.14299999999999999</v>
      </c>
      <c r="R503" s="3">
        <v>10573.5803</v>
      </c>
      <c r="S503" s="3">
        <v>5253.4000000000005</v>
      </c>
      <c r="T503" s="4">
        <v>0.50315788494082703</v>
      </c>
      <c r="U503" s="11" t="s">
        <v>658</v>
      </c>
      <c r="V503" s="3">
        <v>5320.1802999999991</v>
      </c>
      <c r="W503" s="11" t="s">
        <v>1433</v>
      </c>
      <c r="X503" t="str">
        <f>TEXT(Table1_1[[#This Row],[OrderDate]],"mm yyyy")</f>
        <v>01 2024</v>
      </c>
      <c r="Y503" s="13">
        <f>DATE(YEAR(Table1_1[[#This Row],[OrderDate]]),MONTH(B503),1)</f>
        <v>45292</v>
      </c>
      <c r="Z503" s="2">
        <f t="shared" si="7"/>
        <v>44986</v>
      </c>
      <c r="AA503">
        <f>(YEAR(Table1_1[[#This Row],[OrderMonth]])-YEAR(Table1_1[[#This Row],[Firstmonth]]))*12+(MONTH(Table1_1[[#This Row],[OrderMonth]])-MONTH(Table1_1[[#This Row],[Firstmonth]]))</f>
        <v>10</v>
      </c>
    </row>
    <row r="504" spans="1:27" x14ac:dyDescent="0.25">
      <c r="A504" s="11" t="s">
        <v>615</v>
      </c>
      <c r="B504" s="2">
        <v>45186</v>
      </c>
      <c r="C504" s="2">
        <v>45201</v>
      </c>
      <c r="D504" s="11" t="s">
        <v>1413</v>
      </c>
      <c r="E504">
        <v>15</v>
      </c>
      <c r="F504" s="11" t="s">
        <v>1473</v>
      </c>
      <c r="G504" s="11" t="s">
        <v>1505</v>
      </c>
      <c r="H504" s="11" t="s">
        <v>1506</v>
      </c>
      <c r="I504" s="11" t="s">
        <v>646</v>
      </c>
      <c r="J504" s="11" t="s">
        <v>648</v>
      </c>
      <c r="K504" s="11" t="s">
        <v>672</v>
      </c>
      <c r="L504" s="11" t="s">
        <v>1278</v>
      </c>
      <c r="M504" s="10">
        <v>7</v>
      </c>
      <c r="N504">
        <v>689.33</v>
      </c>
      <c r="O504" s="3">
        <v>668.27</v>
      </c>
      <c r="P504" s="11" t="s">
        <v>1468</v>
      </c>
      <c r="Q504" s="4">
        <v>0.186</v>
      </c>
      <c r="R504" s="3">
        <v>3807.8024599999999</v>
      </c>
      <c r="S504" s="3">
        <v>4825.3100000000004</v>
      </c>
      <c r="T504" s="4">
        <v>-0.26721647214861</v>
      </c>
      <c r="U504" s="11" t="s">
        <v>658</v>
      </c>
      <c r="V504" s="3">
        <v>-1017.5075400000005</v>
      </c>
      <c r="W504" s="11" t="s">
        <v>1430</v>
      </c>
      <c r="X504" t="str">
        <f>TEXT(Table1_1[[#This Row],[OrderDate]],"mm yyyy")</f>
        <v>09 2023</v>
      </c>
      <c r="Y504" s="13">
        <f>DATE(YEAR(Table1_1[[#This Row],[OrderDate]]),MONTH(B504),1)</f>
        <v>45170</v>
      </c>
      <c r="Z504" s="2">
        <f t="shared" si="7"/>
        <v>45047</v>
      </c>
      <c r="AA504">
        <f>(YEAR(Table1_1[[#This Row],[OrderMonth]])-YEAR(Table1_1[[#This Row],[Firstmonth]]))*12+(MONTH(Table1_1[[#This Row],[OrderMonth]])-MONTH(Table1_1[[#This Row],[Firstmonth]]))</f>
        <v>4</v>
      </c>
    </row>
    <row r="505" spans="1:27" x14ac:dyDescent="0.25">
      <c r="A505" s="11" t="s">
        <v>136</v>
      </c>
      <c r="B505" s="2">
        <v>45150</v>
      </c>
      <c r="C505" s="2">
        <v>45175</v>
      </c>
      <c r="D505" s="11" t="s">
        <v>1413</v>
      </c>
      <c r="E505">
        <v>25</v>
      </c>
      <c r="F505" s="11" t="s">
        <v>1476</v>
      </c>
      <c r="G505" s="11" t="s">
        <v>1457</v>
      </c>
      <c r="H505" s="11" t="s">
        <v>1511</v>
      </c>
      <c r="I505" s="11" t="s">
        <v>646</v>
      </c>
      <c r="J505" s="11" t="s">
        <v>648</v>
      </c>
      <c r="K505" s="11" t="s">
        <v>668</v>
      </c>
      <c r="L505" s="11" t="s">
        <v>800</v>
      </c>
      <c r="M505" s="10">
        <v>5</v>
      </c>
      <c r="N505">
        <v>950.77</v>
      </c>
      <c r="O505" s="3">
        <v>694.78</v>
      </c>
      <c r="P505" s="11" t="s">
        <v>1468</v>
      </c>
      <c r="Q505" s="4">
        <v>8.4000000000000005E-2</v>
      </c>
      <c r="R505" s="3">
        <v>3182.0924</v>
      </c>
      <c r="S505" s="3">
        <v>4753.8500000000004</v>
      </c>
      <c r="T505" s="4">
        <v>-0.49393839097821302</v>
      </c>
      <c r="U505" s="11" t="s">
        <v>658</v>
      </c>
      <c r="V505" s="3">
        <v>-1571.7576000000004</v>
      </c>
      <c r="W505" s="11" t="s">
        <v>1430</v>
      </c>
      <c r="X505" t="str">
        <f>TEXT(Table1_1[[#This Row],[OrderDate]],"mm yyyy")</f>
        <v>08 2023</v>
      </c>
      <c r="Y505" s="13">
        <f>DATE(YEAR(Table1_1[[#This Row],[OrderDate]]),MONTH(B505),1)</f>
        <v>45139</v>
      </c>
      <c r="Z505" s="2">
        <f t="shared" si="7"/>
        <v>44927</v>
      </c>
      <c r="AA505">
        <f>(YEAR(Table1_1[[#This Row],[OrderMonth]])-YEAR(Table1_1[[#This Row],[Firstmonth]]))*12+(MONTH(Table1_1[[#This Row],[OrderMonth]])-MONTH(Table1_1[[#This Row],[Firstmonth]]))</f>
        <v>7</v>
      </c>
    </row>
    <row r="506" spans="1:27" x14ac:dyDescent="0.25">
      <c r="A506" s="11" t="s">
        <v>190</v>
      </c>
      <c r="B506" s="2">
        <v>45890</v>
      </c>
      <c r="C506" s="2">
        <v>45912</v>
      </c>
      <c r="D506" s="11" t="s">
        <v>1413</v>
      </c>
      <c r="E506">
        <v>22</v>
      </c>
      <c r="F506" s="11" t="s">
        <v>1476</v>
      </c>
      <c r="G506" s="11" t="s">
        <v>1457</v>
      </c>
      <c r="H506" s="11" t="s">
        <v>1513</v>
      </c>
      <c r="I506" s="11" t="s">
        <v>643</v>
      </c>
      <c r="J506" s="11" t="s">
        <v>648</v>
      </c>
      <c r="K506" s="11" t="s">
        <v>669</v>
      </c>
      <c r="L506" s="11" t="s">
        <v>854</v>
      </c>
      <c r="M506" s="10">
        <v>9</v>
      </c>
      <c r="N506">
        <v>352.66</v>
      </c>
      <c r="O506" s="3">
        <v>411.18</v>
      </c>
      <c r="P506" s="11" t="s">
        <v>1468</v>
      </c>
      <c r="Q506" s="4">
        <v>0.17299999999999999</v>
      </c>
      <c r="R506" s="3">
        <v>3060.4127399999998</v>
      </c>
      <c r="S506" s="3">
        <v>3173.94</v>
      </c>
      <c r="T506" s="4">
        <v>-3.7095408248758101E-2</v>
      </c>
      <c r="U506" s="11" t="s">
        <v>658</v>
      </c>
      <c r="V506" s="3">
        <v>-113.5272600000003</v>
      </c>
      <c r="W506" s="11" t="s">
        <v>1438</v>
      </c>
      <c r="X506" t="str">
        <f>TEXT(Table1_1[[#This Row],[OrderDate]],"mm yyyy")</f>
        <v>08 2025</v>
      </c>
      <c r="Y506" s="13">
        <f>DATE(YEAR(Table1_1[[#This Row],[OrderDate]]),MONTH(B506),1)</f>
        <v>45870</v>
      </c>
      <c r="Z506" s="2">
        <f t="shared" si="7"/>
        <v>44927</v>
      </c>
      <c r="AA506">
        <f>(YEAR(Table1_1[[#This Row],[OrderMonth]])-YEAR(Table1_1[[#This Row],[Firstmonth]]))*12+(MONTH(Table1_1[[#This Row],[OrderMonth]])-MONTH(Table1_1[[#This Row],[Firstmonth]]))</f>
        <v>31</v>
      </c>
    </row>
    <row r="507" spans="1:27" x14ac:dyDescent="0.25">
      <c r="A507" s="11" t="s">
        <v>407</v>
      </c>
      <c r="B507" s="2">
        <v>45638</v>
      </c>
      <c r="C507" s="2">
        <v>45646</v>
      </c>
      <c r="D507" s="11" t="s">
        <v>1413</v>
      </c>
      <c r="E507">
        <v>8</v>
      </c>
      <c r="F507" s="11" t="s">
        <v>1476</v>
      </c>
      <c r="G507" s="11" t="s">
        <v>1451</v>
      </c>
      <c r="H507" s="11" t="s">
        <v>1510</v>
      </c>
      <c r="I507" s="11" t="s">
        <v>642</v>
      </c>
      <c r="J507" s="11" t="s">
        <v>648</v>
      </c>
      <c r="K507" s="11" t="s">
        <v>672</v>
      </c>
      <c r="L507" s="11" t="s">
        <v>1071</v>
      </c>
      <c r="M507" s="10">
        <v>38</v>
      </c>
      <c r="N507">
        <v>1202.47</v>
      </c>
      <c r="O507" s="3">
        <v>1444.72</v>
      </c>
      <c r="P507" s="11" t="s">
        <v>1466</v>
      </c>
      <c r="Q507" s="4">
        <v>0.24099999999999999</v>
      </c>
      <c r="R507" s="3">
        <v>41668.614240000003</v>
      </c>
      <c r="S507" s="3">
        <v>45693.86</v>
      </c>
      <c r="T507" s="4">
        <v>-9.6601382921343806E-2</v>
      </c>
      <c r="U507" s="11" t="s">
        <v>658</v>
      </c>
      <c r="V507" s="3">
        <v>-4025.245759999998</v>
      </c>
      <c r="W507" s="11" t="s">
        <v>1440</v>
      </c>
      <c r="X507" t="str">
        <f>TEXT(Table1_1[[#This Row],[OrderDate]],"mm yyyy")</f>
        <v>12 2024</v>
      </c>
      <c r="Y507" s="13">
        <f>DATE(YEAR(Table1_1[[#This Row],[OrderDate]]),MONTH(B507),1)</f>
        <v>45627</v>
      </c>
      <c r="Z507" s="2">
        <f t="shared" si="7"/>
        <v>45017</v>
      </c>
      <c r="AA507">
        <f>(YEAR(Table1_1[[#This Row],[OrderMonth]])-YEAR(Table1_1[[#This Row],[Firstmonth]]))*12+(MONTH(Table1_1[[#This Row],[OrderMonth]])-MONTH(Table1_1[[#This Row],[Firstmonth]]))</f>
        <v>20</v>
      </c>
    </row>
    <row r="508" spans="1:27" x14ac:dyDescent="0.25">
      <c r="A508" s="11" t="s">
        <v>36</v>
      </c>
      <c r="B508" s="2">
        <v>45473</v>
      </c>
      <c r="C508" s="2">
        <v>45487</v>
      </c>
      <c r="D508" s="11" t="s">
        <v>1413</v>
      </c>
      <c r="E508">
        <v>14</v>
      </c>
      <c r="F508" s="11" t="s">
        <v>1473</v>
      </c>
      <c r="G508" s="11" t="s">
        <v>1454</v>
      </c>
      <c r="H508" s="11" t="s">
        <v>1478</v>
      </c>
      <c r="I508" s="11" t="s">
        <v>643</v>
      </c>
      <c r="J508" s="11" t="s">
        <v>648</v>
      </c>
      <c r="K508" s="11" t="s">
        <v>674</v>
      </c>
      <c r="L508" s="11" t="s">
        <v>700</v>
      </c>
      <c r="M508" s="10">
        <v>28</v>
      </c>
      <c r="N508">
        <v>1491.85</v>
      </c>
      <c r="O508" s="3">
        <v>2583.02</v>
      </c>
      <c r="P508" s="11" t="s">
        <v>1471</v>
      </c>
      <c r="Q508" s="4">
        <v>0.16800000000000001</v>
      </c>
      <c r="R508" s="3">
        <v>60174.033919999994</v>
      </c>
      <c r="S508" s="3">
        <v>41771.799999999996</v>
      </c>
      <c r="T508" s="4">
        <v>0.30581685689321297</v>
      </c>
      <c r="U508" s="11" t="s">
        <v>653</v>
      </c>
      <c r="V508" s="3">
        <v>18402.233919999999</v>
      </c>
      <c r="W508" s="11" t="s">
        <v>1436</v>
      </c>
      <c r="X508" t="str">
        <f>TEXT(Table1_1[[#This Row],[OrderDate]],"mm yyyy")</f>
        <v>06 2024</v>
      </c>
      <c r="Y508" s="13">
        <f>DATE(YEAR(Table1_1[[#This Row],[OrderDate]]),MONTH(B508),1)</f>
        <v>45444</v>
      </c>
      <c r="Z508" s="2">
        <f t="shared" si="7"/>
        <v>45413</v>
      </c>
      <c r="AA508">
        <f>(YEAR(Table1_1[[#This Row],[OrderMonth]])-YEAR(Table1_1[[#This Row],[Firstmonth]]))*12+(MONTH(Table1_1[[#This Row],[OrderMonth]])-MONTH(Table1_1[[#This Row],[Firstmonth]]))</f>
        <v>1</v>
      </c>
    </row>
    <row r="509" spans="1:27" x14ac:dyDescent="0.25">
      <c r="A509" s="11" t="s">
        <v>11</v>
      </c>
      <c r="B509" s="2">
        <v>45362</v>
      </c>
      <c r="C509" s="2">
        <v>45388</v>
      </c>
      <c r="D509" s="11" t="s">
        <v>1413</v>
      </c>
      <c r="E509">
        <v>26</v>
      </c>
      <c r="F509" s="11" t="s">
        <v>1485</v>
      </c>
      <c r="G509" s="11" t="s">
        <v>1449</v>
      </c>
      <c r="H509" s="11" t="s">
        <v>1512</v>
      </c>
      <c r="I509" s="11" t="s">
        <v>642</v>
      </c>
      <c r="J509" s="11" t="s">
        <v>648</v>
      </c>
      <c r="K509" s="11" t="s">
        <v>668</v>
      </c>
      <c r="L509" s="11" t="s">
        <v>675</v>
      </c>
      <c r="M509" s="10">
        <v>6</v>
      </c>
      <c r="N509">
        <v>279.24</v>
      </c>
      <c r="O509" s="3">
        <v>608.9</v>
      </c>
      <c r="P509" s="11" t="s">
        <v>1468</v>
      </c>
      <c r="Q509" s="4">
        <v>0.112</v>
      </c>
      <c r="R509" s="3">
        <v>3244.2191999999995</v>
      </c>
      <c r="S509" s="3">
        <v>1675.44</v>
      </c>
      <c r="T509" s="4">
        <v>0.483561406701495</v>
      </c>
      <c r="U509" s="11" t="s">
        <v>653</v>
      </c>
      <c r="V509" s="3">
        <v>1568.7791999999995</v>
      </c>
      <c r="W509" s="11" t="s">
        <v>1433</v>
      </c>
      <c r="X509" t="str">
        <f>TEXT(Table1_1[[#This Row],[OrderDate]],"mm yyyy")</f>
        <v>03 2024</v>
      </c>
      <c r="Y509" s="13">
        <f>DATE(YEAR(Table1_1[[#This Row],[OrderDate]]),MONTH(B509),1)</f>
        <v>45352</v>
      </c>
      <c r="Z509" s="2">
        <f t="shared" si="7"/>
        <v>44927</v>
      </c>
      <c r="AA509">
        <f>(YEAR(Table1_1[[#This Row],[OrderMonth]])-YEAR(Table1_1[[#This Row],[Firstmonth]]))*12+(MONTH(Table1_1[[#This Row],[OrderMonth]])-MONTH(Table1_1[[#This Row],[Firstmonth]]))</f>
        <v>14</v>
      </c>
    </row>
    <row r="510" spans="1:27" x14ac:dyDescent="0.25">
      <c r="A510" s="11" t="s">
        <v>329</v>
      </c>
      <c r="B510" s="2">
        <v>45008</v>
      </c>
      <c r="C510" s="2">
        <v>45031</v>
      </c>
      <c r="D510" s="11" t="s">
        <v>1413</v>
      </c>
      <c r="E510">
        <v>23</v>
      </c>
      <c r="F510" s="11" t="s">
        <v>1485</v>
      </c>
      <c r="G510" s="11" t="s">
        <v>1449</v>
      </c>
      <c r="H510" s="11" t="s">
        <v>1503</v>
      </c>
      <c r="I510" s="11" t="s">
        <v>646</v>
      </c>
      <c r="J510" s="11" t="s">
        <v>648</v>
      </c>
      <c r="K510" s="11" t="s">
        <v>674</v>
      </c>
      <c r="L510" s="11" t="s">
        <v>994</v>
      </c>
      <c r="M510" s="10">
        <v>10</v>
      </c>
      <c r="N510">
        <v>875.36</v>
      </c>
      <c r="O510" s="3">
        <v>1178.6199999999999</v>
      </c>
      <c r="P510" s="11" t="s">
        <v>1466</v>
      </c>
      <c r="Q510" s="4">
        <v>0.151</v>
      </c>
      <c r="R510" s="3">
        <v>10006.483799999998</v>
      </c>
      <c r="S510" s="3">
        <v>8753.6</v>
      </c>
      <c r="T510" s="4">
        <v>0.12520719815685899</v>
      </c>
      <c r="U510" s="11" t="s">
        <v>653</v>
      </c>
      <c r="V510" s="3">
        <v>1252.8837999999978</v>
      </c>
      <c r="W510" s="11" t="s">
        <v>1432</v>
      </c>
      <c r="X510" t="str">
        <f>TEXT(Table1_1[[#This Row],[OrderDate]],"mm yyyy")</f>
        <v>03 2023</v>
      </c>
      <c r="Y510" s="13">
        <f>DATE(YEAR(Table1_1[[#This Row],[OrderDate]]),MONTH(B510),1)</f>
        <v>44986</v>
      </c>
      <c r="Z510" s="2">
        <f t="shared" si="7"/>
        <v>44927</v>
      </c>
      <c r="AA510">
        <f>(YEAR(Table1_1[[#This Row],[OrderMonth]])-YEAR(Table1_1[[#This Row],[Firstmonth]]))*12+(MONTH(Table1_1[[#This Row],[OrderMonth]])-MONTH(Table1_1[[#This Row],[Firstmonth]]))</f>
        <v>2</v>
      </c>
    </row>
    <row r="511" spans="1:27" x14ac:dyDescent="0.25">
      <c r="A511" s="11" t="s">
        <v>590</v>
      </c>
      <c r="B511" s="2">
        <v>45849</v>
      </c>
      <c r="C511" s="2">
        <v>45872</v>
      </c>
      <c r="D511" s="11" t="s">
        <v>1413</v>
      </c>
      <c r="E511">
        <v>23</v>
      </c>
      <c r="F511" s="11" t="s">
        <v>1485</v>
      </c>
      <c r="G511" s="11" t="s">
        <v>1449</v>
      </c>
      <c r="H511" s="11" t="s">
        <v>1494</v>
      </c>
      <c r="I511" s="11" t="s">
        <v>646</v>
      </c>
      <c r="J511" s="11" t="s">
        <v>648</v>
      </c>
      <c r="K511" s="11" t="s">
        <v>671</v>
      </c>
      <c r="L511" s="11" t="s">
        <v>1253</v>
      </c>
      <c r="M511" s="10">
        <v>5</v>
      </c>
      <c r="N511">
        <v>389.93</v>
      </c>
      <c r="O511" s="3">
        <v>486.13</v>
      </c>
      <c r="P511" s="11" t="s">
        <v>1468</v>
      </c>
      <c r="Q511" s="4">
        <v>0.13200000000000001</v>
      </c>
      <c r="R511" s="3">
        <v>2109.8042</v>
      </c>
      <c r="S511" s="3">
        <v>1949.65</v>
      </c>
      <c r="T511" s="4">
        <v>7.5909508569562995E-2</v>
      </c>
      <c r="U511" s="11" t="s">
        <v>653</v>
      </c>
      <c r="V511" s="3">
        <v>160.15419999999995</v>
      </c>
      <c r="W511" s="11" t="s">
        <v>1438</v>
      </c>
      <c r="X511" t="str">
        <f>TEXT(Table1_1[[#This Row],[OrderDate]],"mm yyyy")</f>
        <v>07 2025</v>
      </c>
      <c r="Y511" s="13">
        <f>DATE(YEAR(Table1_1[[#This Row],[OrderDate]]),MONTH(B511),1)</f>
        <v>45839</v>
      </c>
      <c r="Z511" s="2">
        <f t="shared" si="7"/>
        <v>44927</v>
      </c>
      <c r="AA511">
        <f>(YEAR(Table1_1[[#This Row],[OrderMonth]])-YEAR(Table1_1[[#This Row],[Firstmonth]]))*12+(MONTH(Table1_1[[#This Row],[OrderMonth]])-MONTH(Table1_1[[#This Row],[Firstmonth]]))</f>
        <v>30</v>
      </c>
    </row>
    <row r="512" spans="1:27" x14ac:dyDescent="0.25">
      <c r="A512" s="11" t="s">
        <v>198</v>
      </c>
      <c r="B512" s="2">
        <v>45126</v>
      </c>
      <c r="C512" s="2">
        <v>45138</v>
      </c>
      <c r="D512" s="11" t="s">
        <v>1413</v>
      </c>
      <c r="E512">
        <v>12</v>
      </c>
      <c r="F512" s="11" t="s">
        <v>1473</v>
      </c>
      <c r="G512" s="11" t="s">
        <v>1505</v>
      </c>
      <c r="H512" s="11" t="s">
        <v>1506</v>
      </c>
      <c r="I512" s="11" t="s">
        <v>642</v>
      </c>
      <c r="J512" s="11" t="s">
        <v>648</v>
      </c>
      <c r="K512" s="11" t="s">
        <v>673</v>
      </c>
      <c r="L512" s="11" t="s">
        <v>863</v>
      </c>
      <c r="M512" s="10">
        <v>14</v>
      </c>
      <c r="N512">
        <v>1334.64</v>
      </c>
      <c r="O512" s="3">
        <v>2273.42</v>
      </c>
      <c r="P512" s="11" t="s">
        <v>1471</v>
      </c>
      <c r="Q512" s="4">
        <v>0.11799999999999999</v>
      </c>
      <c r="R512" s="3">
        <v>28072.190160000002</v>
      </c>
      <c r="S512" s="3">
        <v>18684.960000000003</v>
      </c>
      <c r="T512" s="4">
        <v>0.334396073355753</v>
      </c>
      <c r="U512" s="11" t="s">
        <v>653</v>
      </c>
      <c r="V512" s="3">
        <v>9387.2301599999992</v>
      </c>
      <c r="W512" s="11" t="s">
        <v>1430</v>
      </c>
      <c r="X512" t="str">
        <f>TEXT(Table1_1[[#This Row],[OrderDate]],"mm yyyy")</f>
        <v>07 2023</v>
      </c>
      <c r="Y512" s="13">
        <f>DATE(YEAR(Table1_1[[#This Row],[OrderDate]]),MONTH(B512),1)</f>
        <v>45108</v>
      </c>
      <c r="Z512" s="2">
        <f t="shared" si="7"/>
        <v>45047</v>
      </c>
      <c r="AA512">
        <f>(YEAR(Table1_1[[#This Row],[OrderMonth]])-YEAR(Table1_1[[#This Row],[Firstmonth]]))*12+(MONTH(Table1_1[[#This Row],[OrderMonth]])-MONTH(Table1_1[[#This Row],[Firstmonth]]))</f>
        <v>2</v>
      </c>
    </row>
    <row r="513" spans="1:27" x14ac:dyDescent="0.25">
      <c r="A513" s="11" t="s">
        <v>505</v>
      </c>
      <c r="B513" s="2">
        <v>45508</v>
      </c>
      <c r="C513" s="2">
        <v>45521</v>
      </c>
      <c r="D513" s="11" t="s">
        <v>1413</v>
      </c>
      <c r="E513">
        <v>13</v>
      </c>
      <c r="F513" s="11" t="s">
        <v>1473</v>
      </c>
      <c r="G513" s="11" t="s">
        <v>1458</v>
      </c>
      <c r="H513" s="11" t="s">
        <v>1500</v>
      </c>
      <c r="I513" s="11" t="s">
        <v>645</v>
      </c>
      <c r="J513" s="11" t="s">
        <v>648</v>
      </c>
      <c r="K513" s="11" t="s">
        <v>673</v>
      </c>
      <c r="L513" s="11" t="s">
        <v>1169</v>
      </c>
      <c r="M513" s="10">
        <v>12</v>
      </c>
      <c r="N513">
        <v>352.79</v>
      </c>
      <c r="O513" s="3">
        <v>754.22</v>
      </c>
      <c r="P513" s="11" t="s">
        <v>1468</v>
      </c>
      <c r="Q513" s="4">
        <v>0.113</v>
      </c>
      <c r="R513" s="3">
        <v>8027.9176799999996</v>
      </c>
      <c r="S513" s="3">
        <v>4233.4800000000005</v>
      </c>
      <c r="T513" s="4">
        <v>0.47265528014233399</v>
      </c>
      <c r="U513" s="11" t="s">
        <v>667</v>
      </c>
      <c r="V513" s="3">
        <v>3794.4376799999991</v>
      </c>
      <c r="W513" s="11" t="s">
        <v>1437</v>
      </c>
      <c r="X513" t="str">
        <f>TEXT(Table1_1[[#This Row],[OrderDate]],"mm yyyy")</f>
        <v>08 2024</v>
      </c>
      <c r="Y513" s="13">
        <f>DATE(YEAR(Table1_1[[#This Row],[OrderDate]]),MONTH(B513),1)</f>
        <v>45505</v>
      </c>
      <c r="Z513" s="2">
        <f t="shared" si="7"/>
        <v>45292</v>
      </c>
      <c r="AA513">
        <f>(YEAR(Table1_1[[#This Row],[OrderMonth]])-YEAR(Table1_1[[#This Row],[Firstmonth]]))*12+(MONTH(Table1_1[[#This Row],[OrderMonth]])-MONTH(Table1_1[[#This Row],[Firstmonth]]))</f>
        <v>7</v>
      </c>
    </row>
    <row r="514" spans="1:27" x14ac:dyDescent="0.25">
      <c r="A514" s="11" t="s">
        <v>79</v>
      </c>
      <c r="B514" s="2">
        <v>45157</v>
      </c>
      <c r="C514" s="2">
        <v>45176</v>
      </c>
      <c r="D514" s="11" t="s">
        <v>1413</v>
      </c>
      <c r="E514">
        <v>19</v>
      </c>
      <c r="F514" s="11" t="s">
        <v>1485</v>
      </c>
      <c r="G514" s="11" t="s">
        <v>1490</v>
      </c>
      <c r="H514" s="11" t="s">
        <v>1491</v>
      </c>
      <c r="I514" s="11" t="s">
        <v>647</v>
      </c>
      <c r="J514" s="11" t="s">
        <v>648</v>
      </c>
      <c r="K514" s="11" t="s">
        <v>673</v>
      </c>
      <c r="L514" s="11" t="s">
        <v>743</v>
      </c>
      <c r="M514" s="10">
        <v>33</v>
      </c>
      <c r="N514">
        <v>494.61</v>
      </c>
      <c r="O514" s="3">
        <v>605.23</v>
      </c>
      <c r="P514" s="11" t="s">
        <v>1468</v>
      </c>
      <c r="Q514" s="4">
        <v>0.20399999999999999</v>
      </c>
      <c r="R514" s="3">
        <v>15898.181640000001</v>
      </c>
      <c r="S514" s="3">
        <v>16322.130000000001</v>
      </c>
      <c r="T514" s="4">
        <v>-2.66664685056398E-2</v>
      </c>
      <c r="U514" s="11" t="s">
        <v>667</v>
      </c>
      <c r="V514" s="3">
        <v>-423.94836000000032</v>
      </c>
      <c r="W514" s="11" t="s">
        <v>1430</v>
      </c>
      <c r="X514" t="str">
        <f>TEXT(Table1_1[[#This Row],[OrderDate]],"mm yyyy")</f>
        <v>08 2023</v>
      </c>
      <c r="Y514" s="13">
        <f>DATE(YEAR(Table1_1[[#This Row],[OrderDate]]),MONTH(B514),1)</f>
        <v>45139</v>
      </c>
      <c r="Z514" s="2">
        <f t="shared" ref="Z514:Z577" si="8">_xlfn.MINIFS(Y514:Y1145,G514:G1145,G514)</f>
        <v>44958</v>
      </c>
      <c r="AA514">
        <f>(YEAR(Table1_1[[#This Row],[OrderMonth]])-YEAR(Table1_1[[#This Row],[Firstmonth]]))*12+(MONTH(Table1_1[[#This Row],[OrderMonth]])-MONTH(Table1_1[[#This Row],[Firstmonth]]))</f>
        <v>6</v>
      </c>
    </row>
    <row r="515" spans="1:27" x14ac:dyDescent="0.25">
      <c r="A515" s="11" t="s">
        <v>614</v>
      </c>
      <c r="B515" s="2">
        <v>45026</v>
      </c>
      <c r="C515" s="2">
        <v>45041</v>
      </c>
      <c r="D515" s="11" t="s">
        <v>1413</v>
      </c>
      <c r="E515">
        <v>15</v>
      </c>
      <c r="F515" s="11" t="s">
        <v>1464</v>
      </c>
      <c r="G515" s="11" t="s">
        <v>1469</v>
      </c>
      <c r="H515" s="11" t="s">
        <v>1470</v>
      </c>
      <c r="I515" s="11" t="s">
        <v>646</v>
      </c>
      <c r="J515" s="11" t="s">
        <v>648</v>
      </c>
      <c r="K515" s="11" t="s">
        <v>669</v>
      </c>
      <c r="L515" s="11" t="s">
        <v>1277</v>
      </c>
      <c r="M515" s="10">
        <v>5</v>
      </c>
      <c r="N515">
        <v>405.66</v>
      </c>
      <c r="O515" s="3">
        <v>962.51</v>
      </c>
      <c r="P515" s="11" t="s">
        <v>1466</v>
      </c>
      <c r="Q515" s="4">
        <v>0.19</v>
      </c>
      <c r="R515" s="3">
        <v>3898.1655000000005</v>
      </c>
      <c r="S515" s="3">
        <v>2028.3000000000002</v>
      </c>
      <c r="T515" s="4">
        <v>0.47967832561239399</v>
      </c>
      <c r="U515" s="11" t="s">
        <v>667</v>
      </c>
      <c r="V515" s="3">
        <v>1869.8655000000003</v>
      </c>
      <c r="W515" s="11" t="s">
        <v>1435</v>
      </c>
      <c r="X515" t="str">
        <f>TEXT(Table1_1[[#This Row],[OrderDate]],"mm yyyy")</f>
        <v>04 2023</v>
      </c>
      <c r="Y515" s="13">
        <f>DATE(YEAR(Table1_1[[#This Row],[OrderDate]]),MONTH(B515),1)</f>
        <v>45017</v>
      </c>
      <c r="Z515" s="2">
        <f t="shared" si="8"/>
        <v>44986</v>
      </c>
      <c r="AA515">
        <f>(YEAR(Table1_1[[#This Row],[OrderMonth]])-YEAR(Table1_1[[#This Row],[Firstmonth]]))*12+(MONTH(Table1_1[[#This Row],[OrderMonth]])-MONTH(Table1_1[[#This Row],[Firstmonth]]))</f>
        <v>1</v>
      </c>
    </row>
    <row r="516" spans="1:27" x14ac:dyDescent="0.25">
      <c r="A516" s="11" t="s">
        <v>627</v>
      </c>
      <c r="B516" s="2">
        <v>45643</v>
      </c>
      <c r="C516" s="2">
        <v>45673</v>
      </c>
      <c r="D516" s="11" t="s">
        <v>1413</v>
      </c>
      <c r="E516">
        <v>30</v>
      </c>
      <c r="F516" s="11" t="s">
        <v>1464</v>
      </c>
      <c r="G516" s="11" t="s">
        <v>1469</v>
      </c>
      <c r="H516" s="11" t="s">
        <v>1482</v>
      </c>
      <c r="I516" s="11" t="s">
        <v>642</v>
      </c>
      <c r="J516" s="11" t="s">
        <v>648</v>
      </c>
      <c r="K516" s="11" t="s">
        <v>673</v>
      </c>
      <c r="L516" s="11" t="s">
        <v>1290</v>
      </c>
      <c r="M516" s="10">
        <v>11</v>
      </c>
      <c r="N516">
        <v>722.87</v>
      </c>
      <c r="O516" s="3">
        <v>33.659999999999997</v>
      </c>
      <c r="P516" s="11" t="s">
        <v>1468</v>
      </c>
      <c r="Q516" s="4">
        <v>0.10199999999999999</v>
      </c>
      <c r="R516" s="3">
        <v>332.49347999999998</v>
      </c>
      <c r="S516" s="3">
        <v>7951.57</v>
      </c>
      <c r="T516" s="4">
        <v>-22.914965189693302</v>
      </c>
      <c r="U516" s="11" t="s">
        <v>667</v>
      </c>
      <c r="V516" s="3">
        <v>-7619.0765199999996</v>
      </c>
      <c r="W516" s="11" t="s">
        <v>1440</v>
      </c>
      <c r="X516" t="str">
        <f>TEXT(Table1_1[[#This Row],[OrderDate]],"mm yyyy")</f>
        <v>12 2024</v>
      </c>
      <c r="Y516" s="13">
        <f>DATE(YEAR(Table1_1[[#This Row],[OrderDate]]),MONTH(B516),1)</f>
        <v>45627</v>
      </c>
      <c r="Z516" s="2">
        <f t="shared" si="8"/>
        <v>44986</v>
      </c>
      <c r="AA516">
        <f>(YEAR(Table1_1[[#This Row],[OrderMonth]])-YEAR(Table1_1[[#This Row],[Firstmonth]]))*12+(MONTH(Table1_1[[#This Row],[OrderMonth]])-MONTH(Table1_1[[#This Row],[Firstmonth]]))</f>
        <v>21</v>
      </c>
    </row>
    <row r="517" spans="1:27" x14ac:dyDescent="0.25">
      <c r="A517" s="11" t="s">
        <v>256</v>
      </c>
      <c r="B517" s="2">
        <v>45338</v>
      </c>
      <c r="C517" s="2">
        <v>45355</v>
      </c>
      <c r="D517" s="11" t="s">
        <v>1413</v>
      </c>
      <c r="E517">
        <v>17</v>
      </c>
      <c r="F517" s="11" t="s">
        <v>1473</v>
      </c>
      <c r="G517" s="11" t="s">
        <v>1452</v>
      </c>
      <c r="H517" s="11" t="s">
        <v>1492</v>
      </c>
      <c r="I517" s="11" t="s">
        <v>644</v>
      </c>
      <c r="J517" s="11" t="s">
        <v>648</v>
      </c>
      <c r="K517" s="11" t="s">
        <v>672</v>
      </c>
      <c r="L517" s="11" t="s">
        <v>921</v>
      </c>
      <c r="M517" s="10">
        <v>11</v>
      </c>
      <c r="N517">
        <v>1350.98</v>
      </c>
      <c r="O517" s="3">
        <v>2210.4</v>
      </c>
      <c r="P517" s="11" t="s">
        <v>1471</v>
      </c>
      <c r="Q517" s="4">
        <v>0.26300000000000001</v>
      </c>
      <c r="R517" s="3">
        <v>17919.712800000001</v>
      </c>
      <c r="S517" s="3">
        <v>14860.78</v>
      </c>
      <c r="T517" s="4">
        <v>0.170702110806151</v>
      </c>
      <c r="U517" s="11" t="s">
        <v>667</v>
      </c>
      <c r="V517" s="3">
        <v>3058.9328000000005</v>
      </c>
      <c r="W517" s="11" t="s">
        <v>1433</v>
      </c>
      <c r="X517" t="str">
        <f>TEXT(Table1_1[[#This Row],[OrderDate]],"mm yyyy")</f>
        <v>02 2024</v>
      </c>
      <c r="Y517" s="13">
        <f>DATE(YEAR(Table1_1[[#This Row],[OrderDate]]),MONTH(B517),1)</f>
        <v>45323</v>
      </c>
      <c r="Z517" s="2">
        <f t="shared" si="8"/>
        <v>45078</v>
      </c>
      <c r="AA517">
        <f>(YEAR(Table1_1[[#This Row],[OrderMonth]])-YEAR(Table1_1[[#This Row],[Firstmonth]]))*12+(MONTH(Table1_1[[#This Row],[OrderMonth]])-MONTH(Table1_1[[#This Row],[Firstmonth]]))</f>
        <v>8</v>
      </c>
    </row>
    <row r="518" spans="1:27" x14ac:dyDescent="0.25">
      <c r="A518" s="11" t="s">
        <v>566</v>
      </c>
      <c r="B518" s="2">
        <v>45053</v>
      </c>
      <c r="C518" s="2">
        <v>45066</v>
      </c>
      <c r="D518" s="11" t="s">
        <v>1413</v>
      </c>
      <c r="E518">
        <v>13</v>
      </c>
      <c r="F518" s="11" t="s">
        <v>1476</v>
      </c>
      <c r="G518" s="11" t="s">
        <v>1453</v>
      </c>
      <c r="H518" s="11" t="s">
        <v>1493</v>
      </c>
      <c r="I518" s="11" t="s">
        <v>647</v>
      </c>
      <c r="J518" s="11" t="s">
        <v>648</v>
      </c>
      <c r="K518" s="11" t="s">
        <v>674</v>
      </c>
      <c r="L518" s="11" t="s">
        <v>1229</v>
      </c>
      <c r="M518" s="10">
        <v>27</v>
      </c>
      <c r="N518">
        <v>1443.28</v>
      </c>
      <c r="O518" s="3">
        <v>2580.5700000000002</v>
      </c>
      <c r="P518" s="11" t="s">
        <v>1471</v>
      </c>
      <c r="Q518" s="4">
        <v>0</v>
      </c>
      <c r="R518" s="3">
        <v>69675.39</v>
      </c>
      <c r="S518" s="3">
        <v>38968.559999999998</v>
      </c>
      <c r="T518" s="4">
        <v>0.44071271075770102</v>
      </c>
      <c r="U518" s="11" t="s">
        <v>667</v>
      </c>
      <c r="V518" s="3">
        <v>30706.83</v>
      </c>
      <c r="W518" s="11" t="s">
        <v>1435</v>
      </c>
      <c r="X518" t="str">
        <f>TEXT(Table1_1[[#This Row],[OrderDate]],"mm yyyy")</f>
        <v>05 2023</v>
      </c>
      <c r="Y518" s="13">
        <f>DATE(YEAR(Table1_1[[#This Row],[OrderDate]]),MONTH(B518),1)</f>
        <v>45047</v>
      </c>
      <c r="Z518" s="2">
        <f t="shared" si="8"/>
        <v>45047</v>
      </c>
      <c r="AA518">
        <f>(YEAR(Table1_1[[#This Row],[OrderMonth]])-YEAR(Table1_1[[#This Row],[Firstmonth]]))*12+(MONTH(Table1_1[[#This Row],[OrderMonth]])-MONTH(Table1_1[[#This Row],[Firstmonth]]))</f>
        <v>0</v>
      </c>
    </row>
    <row r="519" spans="1:27" x14ac:dyDescent="0.25">
      <c r="A519" s="11" t="s">
        <v>532</v>
      </c>
      <c r="B519" s="2">
        <v>45482</v>
      </c>
      <c r="C519" s="2">
        <v>45485</v>
      </c>
      <c r="D519" s="11" t="s">
        <v>1413</v>
      </c>
      <c r="E519">
        <v>3</v>
      </c>
      <c r="F519" s="11" t="s">
        <v>1476</v>
      </c>
      <c r="G519" s="11" t="s">
        <v>1457</v>
      </c>
      <c r="H519" s="11" t="s">
        <v>1511</v>
      </c>
      <c r="I519" s="11" t="s">
        <v>646</v>
      </c>
      <c r="J519" s="11" t="s">
        <v>648</v>
      </c>
      <c r="K519" s="11" t="s">
        <v>674</v>
      </c>
      <c r="L519" s="11" t="s">
        <v>1196</v>
      </c>
      <c r="M519" s="10">
        <v>8</v>
      </c>
      <c r="N519">
        <v>748.39</v>
      </c>
      <c r="O519" s="3">
        <v>979.42</v>
      </c>
      <c r="P519" s="11" t="s">
        <v>1466</v>
      </c>
      <c r="Q519" s="4">
        <v>0</v>
      </c>
      <c r="R519" s="3">
        <v>7835.36</v>
      </c>
      <c r="S519" s="3">
        <v>5987.12</v>
      </c>
      <c r="T519" s="4">
        <v>0.23588450307324699</v>
      </c>
      <c r="U519" s="11" t="s">
        <v>667</v>
      </c>
      <c r="V519" s="3">
        <v>1848.2399999999998</v>
      </c>
      <c r="W519" s="11" t="s">
        <v>1437</v>
      </c>
      <c r="X519" t="str">
        <f>TEXT(Table1_1[[#This Row],[OrderDate]],"mm yyyy")</f>
        <v>07 2024</v>
      </c>
      <c r="Y519" s="13">
        <f>DATE(YEAR(Table1_1[[#This Row],[OrderDate]]),MONTH(B519),1)</f>
        <v>45474</v>
      </c>
      <c r="Z519" s="2">
        <f t="shared" si="8"/>
        <v>44927</v>
      </c>
      <c r="AA519">
        <f>(YEAR(Table1_1[[#This Row],[OrderMonth]])-YEAR(Table1_1[[#This Row],[Firstmonth]]))*12+(MONTH(Table1_1[[#This Row],[OrderMonth]])-MONTH(Table1_1[[#This Row],[Firstmonth]]))</f>
        <v>18</v>
      </c>
    </row>
    <row r="520" spans="1:27" x14ac:dyDescent="0.25">
      <c r="A520" s="11" t="s">
        <v>581</v>
      </c>
      <c r="B520" s="2">
        <v>45078</v>
      </c>
      <c r="C520" s="2">
        <v>45078</v>
      </c>
      <c r="D520" s="11" t="s">
        <v>1413</v>
      </c>
      <c r="E520">
        <v>0</v>
      </c>
      <c r="F520" s="11" t="s">
        <v>1476</v>
      </c>
      <c r="G520" s="11" t="s">
        <v>1453</v>
      </c>
      <c r="H520" s="11" t="s">
        <v>1497</v>
      </c>
      <c r="I520" s="11" t="s">
        <v>642</v>
      </c>
      <c r="J520" s="11" t="s">
        <v>648</v>
      </c>
      <c r="K520" s="11" t="s">
        <v>674</v>
      </c>
      <c r="L520" s="11" t="s">
        <v>1244</v>
      </c>
      <c r="M520" s="10">
        <v>7</v>
      </c>
      <c r="N520">
        <v>669.37</v>
      </c>
      <c r="O520" s="3">
        <v>997.2</v>
      </c>
      <c r="P520" s="11" t="s">
        <v>1466</v>
      </c>
      <c r="Q520" s="4">
        <v>8.2000000000000003E-2</v>
      </c>
      <c r="R520" s="3">
        <v>6408.0072000000009</v>
      </c>
      <c r="S520" s="3">
        <v>4685.59</v>
      </c>
      <c r="T520" s="4">
        <v>0.26879139586484901</v>
      </c>
      <c r="U520" s="11" t="s">
        <v>659</v>
      </c>
      <c r="V520" s="3">
        <v>1722.4172000000008</v>
      </c>
      <c r="W520" s="11" t="s">
        <v>1435</v>
      </c>
      <c r="X520" t="str">
        <f>TEXT(Table1_1[[#This Row],[OrderDate]],"mm yyyy")</f>
        <v>06 2023</v>
      </c>
      <c r="Y520" s="13">
        <f>DATE(YEAR(Table1_1[[#This Row],[OrderDate]]),MONTH(B520),1)</f>
        <v>45078</v>
      </c>
      <c r="Z520" s="2">
        <f t="shared" si="8"/>
        <v>45047</v>
      </c>
      <c r="AA520">
        <f>(YEAR(Table1_1[[#This Row],[OrderMonth]])-YEAR(Table1_1[[#This Row],[Firstmonth]]))*12+(MONTH(Table1_1[[#This Row],[OrderMonth]])-MONTH(Table1_1[[#This Row],[Firstmonth]]))</f>
        <v>1</v>
      </c>
    </row>
    <row r="521" spans="1:27" x14ac:dyDescent="0.25">
      <c r="A521" s="11" t="s">
        <v>199</v>
      </c>
      <c r="B521" s="2">
        <v>45431</v>
      </c>
      <c r="C521" s="2">
        <v>45451</v>
      </c>
      <c r="D521" s="11" t="s">
        <v>1413</v>
      </c>
      <c r="E521">
        <v>20</v>
      </c>
      <c r="F521" s="11" t="s">
        <v>1473</v>
      </c>
      <c r="G521" s="11" t="s">
        <v>1454</v>
      </c>
      <c r="H521" s="11" t="s">
        <v>1478</v>
      </c>
      <c r="I521" s="11" t="s">
        <v>646</v>
      </c>
      <c r="J521" s="11" t="s">
        <v>648</v>
      </c>
      <c r="K521" s="11" t="s">
        <v>673</v>
      </c>
      <c r="L521" s="11" t="s">
        <v>864</v>
      </c>
      <c r="M521" s="10">
        <v>3</v>
      </c>
      <c r="N521">
        <v>1075.9000000000001</v>
      </c>
      <c r="O521" s="3">
        <v>1242.1500000000001</v>
      </c>
      <c r="P521" s="11" t="s">
        <v>1466</v>
      </c>
      <c r="Q521" s="4">
        <v>1.2E-2</v>
      </c>
      <c r="R521" s="3">
        <v>3681.7326000000003</v>
      </c>
      <c r="S521" s="3">
        <v>3227.7000000000003</v>
      </c>
      <c r="T521" s="4">
        <v>0.123320362809618</v>
      </c>
      <c r="U521" s="11" t="s">
        <v>659</v>
      </c>
      <c r="V521" s="3">
        <v>454.0326</v>
      </c>
      <c r="W521" s="11" t="s">
        <v>1436</v>
      </c>
      <c r="X521" t="str">
        <f>TEXT(Table1_1[[#This Row],[OrderDate]],"mm yyyy")</f>
        <v>05 2024</v>
      </c>
      <c r="Y521" s="13">
        <f>DATE(YEAR(Table1_1[[#This Row],[OrderDate]]),MONTH(B521),1)</f>
        <v>45413</v>
      </c>
      <c r="Z521" s="2">
        <f t="shared" si="8"/>
        <v>45413</v>
      </c>
      <c r="AA521">
        <f>(YEAR(Table1_1[[#This Row],[OrderMonth]])-YEAR(Table1_1[[#This Row],[Firstmonth]]))*12+(MONTH(Table1_1[[#This Row],[OrderMonth]])-MONTH(Table1_1[[#This Row],[Firstmonth]]))</f>
        <v>0</v>
      </c>
    </row>
    <row r="522" spans="1:27" x14ac:dyDescent="0.25">
      <c r="A522" s="11" t="s">
        <v>589</v>
      </c>
      <c r="B522" s="2">
        <v>45607</v>
      </c>
      <c r="C522" s="2">
        <v>45620</v>
      </c>
      <c r="D522" s="11" t="s">
        <v>1413</v>
      </c>
      <c r="E522">
        <v>13</v>
      </c>
      <c r="F522" s="11" t="s">
        <v>1464</v>
      </c>
      <c r="G522" s="11" t="s">
        <v>1469</v>
      </c>
      <c r="H522" s="11" t="s">
        <v>1470</v>
      </c>
      <c r="I522" s="11" t="s">
        <v>642</v>
      </c>
      <c r="J522" s="11" t="s">
        <v>648</v>
      </c>
      <c r="K522" s="11" t="s">
        <v>670</v>
      </c>
      <c r="L522" s="11" t="s">
        <v>1252</v>
      </c>
      <c r="M522" s="10">
        <v>6</v>
      </c>
      <c r="N522">
        <v>164.53</v>
      </c>
      <c r="O522" s="3">
        <v>327.72</v>
      </c>
      <c r="P522" s="11" t="s">
        <v>1468</v>
      </c>
      <c r="Q522" s="4">
        <v>6.7000000000000004E-2</v>
      </c>
      <c r="R522" s="3">
        <v>1834.5765600000002</v>
      </c>
      <c r="S522" s="3">
        <v>987.18000000000006</v>
      </c>
      <c r="T522" s="4">
        <v>0.46190307805960401</v>
      </c>
      <c r="U522" s="11" t="s">
        <v>659</v>
      </c>
      <c r="V522" s="3">
        <v>847.39656000000014</v>
      </c>
      <c r="W522" s="11" t="s">
        <v>1440</v>
      </c>
      <c r="X522" t="str">
        <f>TEXT(Table1_1[[#This Row],[OrderDate]],"mm yyyy")</f>
        <v>11 2024</v>
      </c>
      <c r="Y522" s="13">
        <f>DATE(YEAR(Table1_1[[#This Row],[OrderDate]]),MONTH(B522),1)</f>
        <v>45597</v>
      </c>
      <c r="Z522" s="2">
        <f t="shared" si="8"/>
        <v>44986</v>
      </c>
      <c r="AA522">
        <f>(YEAR(Table1_1[[#This Row],[OrderMonth]])-YEAR(Table1_1[[#This Row],[Firstmonth]]))*12+(MONTH(Table1_1[[#This Row],[OrderMonth]])-MONTH(Table1_1[[#This Row],[Firstmonth]]))</f>
        <v>20</v>
      </c>
    </row>
    <row r="523" spans="1:27" x14ac:dyDescent="0.25">
      <c r="A523" s="11" t="s">
        <v>40</v>
      </c>
      <c r="B523" s="2">
        <v>45754</v>
      </c>
      <c r="C523" s="2">
        <v>45758</v>
      </c>
      <c r="D523" s="11" t="s">
        <v>1413</v>
      </c>
      <c r="E523">
        <v>4</v>
      </c>
      <c r="F523" s="11" t="s">
        <v>1464</v>
      </c>
      <c r="G523" s="11" t="s">
        <v>1456</v>
      </c>
      <c r="H523" s="11" t="s">
        <v>1481</v>
      </c>
      <c r="I523" s="11" t="s">
        <v>643</v>
      </c>
      <c r="J523" s="11" t="s">
        <v>648</v>
      </c>
      <c r="K523" s="11" t="s">
        <v>670</v>
      </c>
      <c r="L523" s="11" t="s">
        <v>704</v>
      </c>
      <c r="M523" s="10">
        <v>23</v>
      </c>
      <c r="N523">
        <v>754.77</v>
      </c>
      <c r="O523" s="3">
        <v>1666.18</v>
      </c>
      <c r="P523" s="11" t="s">
        <v>1471</v>
      </c>
      <c r="Q523" s="4">
        <v>0.13900000000000001</v>
      </c>
      <c r="R523" s="3">
        <v>32995.362540000002</v>
      </c>
      <c r="S523" s="3">
        <v>17359.71</v>
      </c>
      <c r="T523" s="4">
        <v>0.47387424584424698</v>
      </c>
      <c r="U523" s="11" t="s">
        <v>659</v>
      </c>
      <c r="V523" s="3">
        <v>15635.652540000003</v>
      </c>
      <c r="W523" s="11" t="s">
        <v>1431</v>
      </c>
      <c r="X523" t="str">
        <f>TEXT(Table1_1[[#This Row],[OrderDate]],"mm yyyy")</f>
        <v>04 2025</v>
      </c>
      <c r="Y523" s="13">
        <f>DATE(YEAR(Table1_1[[#This Row],[OrderDate]]),MONTH(B523),1)</f>
        <v>45748</v>
      </c>
      <c r="Z523" s="2">
        <f t="shared" si="8"/>
        <v>44958</v>
      </c>
      <c r="AA523">
        <f>(YEAR(Table1_1[[#This Row],[OrderMonth]])-YEAR(Table1_1[[#This Row],[Firstmonth]]))*12+(MONTH(Table1_1[[#This Row],[OrderMonth]])-MONTH(Table1_1[[#This Row],[Firstmonth]]))</f>
        <v>26</v>
      </c>
    </row>
    <row r="524" spans="1:27" x14ac:dyDescent="0.25">
      <c r="A524" s="11" t="s">
        <v>129</v>
      </c>
      <c r="B524" s="2">
        <v>45086</v>
      </c>
      <c r="C524" s="2">
        <v>45096</v>
      </c>
      <c r="D524" s="11" t="s">
        <v>1413</v>
      </c>
      <c r="E524">
        <v>10</v>
      </c>
      <c r="F524" s="11" t="s">
        <v>1476</v>
      </c>
      <c r="G524" s="11" t="s">
        <v>1457</v>
      </c>
      <c r="H524" s="11" t="s">
        <v>1477</v>
      </c>
      <c r="I524" s="11" t="s">
        <v>647</v>
      </c>
      <c r="J524" s="11" t="s">
        <v>648</v>
      </c>
      <c r="K524" s="11" t="s">
        <v>673</v>
      </c>
      <c r="L524" s="11" t="s">
        <v>793</v>
      </c>
      <c r="M524" s="10">
        <v>23</v>
      </c>
      <c r="N524">
        <v>339.61</v>
      </c>
      <c r="O524" s="3">
        <v>621.02</v>
      </c>
      <c r="P524" s="11" t="s">
        <v>1468</v>
      </c>
      <c r="Q524" s="4">
        <v>7.0999999999999994E-2</v>
      </c>
      <c r="R524" s="3">
        <v>13269.334339999999</v>
      </c>
      <c r="S524" s="3">
        <v>7811.0300000000007</v>
      </c>
      <c r="T524" s="4">
        <v>0.41134726129750998</v>
      </c>
      <c r="U524" s="11" t="s">
        <v>662</v>
      </c>
      <c r="V524" s="3">
        <v>5458.3043399999988</v>
      </c>
      <c r="W524" s="11" t="s">
        <v>1435</v>
      </c>
      <c r="X524" t="str">
        <f>TEXT(Table1_1[[#This Row],[OrderDate]],"mm yyyy")</f>
        <v>06 2023</v>
      </c>
      <c r="Y524" s="13">
        <f>DATE(YEAR(Table1_1[[#This Row],[OrderDate]]),MONTH(B524),1)</f>
        <v>45078</v>
      </c>
      <c r="Z524" s="2">
        <f t="shared" si="8"/>
        <v>44927</v>
      </c>
      <c r="AA524">
        <f>(YEAR(Table1_1[[#This Row],[OrderMonth]])-YEAR(Table1_1[[#This Row],[Firstmonth]]))*12+(MONTH(Table1_1[[#This Row],[OrderMonth]])-MONTH(Table1_1[[#This Row],[Firstmonth]]))</f>
        <v>5</v>
      </c>
    </row>
    <row r="525" spans="1:27" x14ac:dyDescent="0.25">
      <c r="A525" s="11" t="s">
        <v>426</v>
      </c>
      <c r="B525" s="2">
        <v>45626</v>
      </c>
      <c r="C525" s="2">
        <v>45636</v>
      </c>
      <c r="D525" s="11" t="s">
        <v>1413</v>
      </c>
      <c r="E525">
        <v>10</v>
      </c>
      <c r="F525" s="11" t="s">
        <v>1476</v>
      </c>
      <c r="G525" s="11" t="s">
        <v>1453</v>
      </c>
      <c r="H525" s="11" t="s">
        <v>1480</v>
      </c>
      <c r="I525" s="11" t="s">
        <v>646</v>
      </c>
      <c r="J525" s="11" t="s">
        <v>648</v>
      </c>
      <c r="K525" s="11" t="s">
        <v>674</v>
      </c>
      <c r="L525" s="11" t="s">
        <v>1090</v>
      </c>
      <c r="M525" s="10">
        <v>15</v>
      </c>
      <c r="N525">
        <v>851.49</v>
      </c>
      <c r="O525" s="3">
        <v>901.79</v>
      </c>
      <c r="P525" s="11" t="s">
        <v>1466</v>
      </c>
      <c r="Q525" s="4">
        <v>0.245</v>
      </c>
      <c r="R525" s="3">
        <v>10212.771749999998</v>
      </c>
      <c r="S525" s="3">
        <v>12772.35</v>
      </c>
      <c r="T525" s="4">
        <v>-0.25062522816100402</v>
      </c>
      <c r="U525" s="11" t="s">
        <v>662</v>
      </c>
      <c r="V525" s="3">
        <v>-2559.5782500000023</v>
      </c>
      <c r="W525" s="11" t="s">
        <v>1440</v>
      </c>
      <c r="X525" t="str">
        <f>TEXT(Table1_1[[#This Row],[OrderDate]],"mm yyyy")</f>
        <v>11 2024</v>
      </c>
      <c r="Y525" s="13">
        <f>DATE(YEAR(Table1_1[[#This Row],[OrderDate]]),MONTH(B525),1)</f>
        <v>45597</v>
      </c>
      <c r="Z525" s="2">
        <f t="shared" si="8"/>
        <v>45047</v>
      </c>
      <c r="AA525">
        <f>(YEAR(Table1_1[[#This Row],[OrderMonth]])-YEAR(Table1_1[[#This Row],[Firstmonth]]))*12+(MONTH(Table1_1[[#This Row],[OrderMonth]])-MONTH(Table1_1[[#This Row],[Firstmonth]]))</f>
        <v>18</v>
      </c>
    </row>
    <row r="526" spans="1:27" x14ac:dyDescent="0.25">
      <c r="A526" s="11" t="s">
        <v>394</v>
      </c>
      <c r="B526" s="2">
        <v>45491</v>
      </c>
      <c r="C526" s="2">
        <v>45511</v>
      </c>
      <c r="D526" s="11" t="s">
        <v>1413</v>
      </c>
      <c r="E526">
        <v>20</v>
      </c>
      <c r="F526" s="11" t="s">
        <v>1464</v>
      </c>
      <c r="G526" s="11" t="s">
        <v>1456</v>
      </c>
      <c r="H526" s="11" t="s">
        <v>1472</v>
      </c>
      <c r="I526" s="11" t="s">
        <v>642</v>
      </c>
      <c r="J526" s="11" t="s">
        <v>648</v>
      </c>
      <c r="K526" s="11" t="s">
        <v>673</v>
      </c>
      <c r="L526" s="11" t="s">
        <v>1058</v>
      </c>
      <c r="M526" s="10">
        <v>4</v>
      </c>
      <c r="N526">
        <v>941.35</v>
      </c>
      <c r="O526" s="3">
        <v>899.83</v>
      </c>
      <c r="P526" s="11" t="s">
        <v>1466</v>
      </c>
      <c r="Q526" s="4">
        <v>5.8000000000000003E-2</v>
      </c>
      <c r="R526" s="3">
        <v>3390.55944</v>
      </c>
      <c r="S526" s="3">
        <v>3765.4</v>
      </c>
      <c r="T526" s="4">
        <v>-0.110554192201391</v>
      </c>
      <c r="U526" s="11" t="s">
        <v>662</v>
      </c>
      <c r="V526" s="3">
        <v>-374.8405600000001</v>
      </c>
      <c r="W526" s="11" t="s">
        <v>1437</v>
      </c>
      <c r="X526" t="str">
        <f>TEXT(Table1_1[[#This Row],[OrderDate]],"mm yyyy")</f>
        <v>07 2024</v>
      </c>
      <c r="Y526" s="13">
        <f>DATE(YEAR(Table1_1[[#This Row],[OrderDate]]),MONTH(B526),1)</f>
        <v>45474</v>
      </c>
      <c r="Z526" s="2">
        <f t="shared" si="8"/>
        <v>44958</v>
      </c>
      <c r="AA526">
        <f>(YEAR(Table1_1[[#This Row],[OrderMonth]])-YEAR(Table1_1[[#This Row],[Firstmonth]]))*12+(MONTH(Table1_1[[#This Row],[OrderMonth]])-MONTH(Table1_1[[#This Row],[Firstmonth]]))</f>
        <v>17</v>
      </c>
    </row>
    <row r="527" spans="1:27" x14ac:dyDescent="0.25">
      <c r="A527" s="11" t="s">
        <v>139</v>
      </c>
      <c r="B527" s="2">
        <v>45442</v>
      </c>
      <c r="C527" s="2">
        <v>45456</v>
      </c>
      <c r="D527" s="11" t="s">
        <v>1413</v>
      </c>
      <c r="E527">
        <v>14</v>
      </c>
      <c r="F527" s="11" t="s">
        <v>1473</v>
      </c>
      <c r="G527" s="11" t="s">
        <v>1498</v>
      </c>
      <c r="H527" s="11" t="s">
        <v>1499</v>
      </c>
      <c r="I527" s="11" t="s">
        <v>646</v>
      </c>
      <c r="J527" s="11" t="s">
        <v>648</v>
      </c>
      <c r="K527" s="11" t="s">
        <v>671</v>
      </c>
      <c r="L527" s="11" t="s">
        <v>803</v>
      </c>
      <c r="M527" s="10">
        <v>13</v>
      </c>
      <c r="N527">
        <v>157.78</v>
      </c>
      <c r="O527" s="3">
        <v>361.1</v>
      </c>
      <c r="P527" s="11" t="s">
        <v>1468</v>
      </c>
      <c r="Q527" s="4">
        <v>0.187</v>
      </c>
      <c r="R527" s="3">
        <v>3816.4658999999997</v>
      </c>
      <c r="S527" s="3">
        <v>2051.14</v>
      </c>
      <c r="T527" s="4">
        <v>0.46255513510549101</v>
      </c>
      <c r="U527" s="11" t="s">
        <v>662</v>
      </c>
      <c r="V527" s="3">
        <v>1765.3258999999998</v>
      </c>
      <c r="W527" s="11" t="s">
        <v>1436</v>
      </c>
      <c r="X527" t="str">
        <f>TEXT(Table1_1[[#This Row],[OrderDate]],"mm yyyy")</f>
        <v>05 2024</v>
      </c>
      <c r="Y527" s="13">
        <f>DATE(YEAR(Table1_1[[#This Row],[OrderDate]]),MONTH(B527),1)</f>
        <v>45413</v>
      </c>
      <c r="Z527" s="2">
        <f t="shared" si="8"/>
        <v>44958</v>
      </c>
      <c r="AA527">
        <f>(YEAR(Table1_1[[#This Row],[OrderMonth]])-YEAR(Table1_1[[#This Row],[Firstmonth]]))*12+(MONTH(Table1_1[[#This Row],[OrderMonth]])-MONTH(Table1_1[[#This Row],[Firstmonth]]))</f>
        <v>15</v>
      </c>
    </row>
    <row r="528" spans="1:27" x14ac:dyDescent="0.25">
      <c r="A528" s="11" t="s">
        <v>179</v>
      </c>
      <c r="B528" s="2">
        <v>45206</v>
      </c>
      <c r="C528" s="2">
        <v>45222</v>
      </c>
      <c r="D528" s="11" t="s">
        <v>1413</v>
      </c>
      <c r="E528">
        <v>16</v>
      </c>
      <c r="F528" s="11" t="s">
        <v>1476</v>
      </c>
      <c r="G528" s="11" t="s">
        <v>1453</v>
      </c>
      <c r="H528" s="11" t="s">
        <v>1480</v>
      </c>
      <c r="I528" s="11" t="s">
        <v>645</v>
      </c>
      <c r="J528" s="11" t="s">
        <v>648</v>
      </c>
      <c r="K528" s="11" t="s">
        <v>673</v>
      </c>
      <c r="L528" s="11" t="s">
        <v>843</v>
      </c>
      <c r="M528" s="10">
        <v>21</v>
      </c>
      <c r="N528">
        <v>906.81</v>
      </c>
      <c r="O528" s="3">
        <v>1395.56</v>
      </c>
      <c r="P528" s="11" t="s">
        <v>1466</v>
      </c>
      <c r="Q528" s="4">
        <v>0.185</v>
      </c>
      <c r="R528" s="3">
        <v>23885.009399999995</v>
      </c>
      <c r="S528" s="3">
        <v>19043.009999999998</v>
      </c>
      <c r="T528" s="4">
        <v>0.20272126834498999</v>
      </c>
      <c r="U528" s="11" t="s">
        <v>656</v>
      </c>
      <c r="V528" s="3">
        <v>4841.999399999997</v>
      </c>
      <c r="W528" s="11" t="s">
        <v>1439</v>
      </c>
      <c r="X528" t="str">
        <f>TEXT(Table1_1[[#This Row],[OrderDate]],"mm yyyy")</f>
        <v>10 2023</v>
      </c>
      <c r="Y528" s="13">
        <f>DATE(YEAR(Table1_1[[#This Row],[OrderDate]]),MONTH(B528),1)</f>
        <v>45200</v>
      </c>
      <c r="Z528" s="2">
        <f t="shared" si="8"/>
        <v>45047</v>
      </c>
      <c r="AA528">
        <f>(YEAR(Table1_1[[#This Row],[OrderMonth]])-YEAR(Table1_1[[#This Row],[Firstmonth]]))*12+(MONTH(Table1_1[[#This Row],[OrderMonth]])-MONTH(Table1_1[[#This Row],[Firstmonth]]))</f>
        <v>5</v>
      </c>
    </row>
    <row r="529" spans="1:27" x14ac:dyDescent="0.25">
      <c r="A529" s="11" t="s">
        <v>34</v>
      </c>
      <c r="B529" s="2">
        <v>45430</v>
      </c>
      <c r="C529" s="2">
        <v>45435</v>
      </c>
      <c r="D529" s="11" t="s">
        <v>1413</v>
      </c>
      <c r="E529">
        <v>5</v>
      </c>
      <c r="F529" s="11" t="s">
        <v>1473</v>
      </c>
      <c r="G529" s="11" t="s">
        <v>1458</v>
      </c>
      <c r="H529" s="11" t="s">
        <v>1509</v>
      </c>
      <c r="I529" s="11" t="s">
        <v>647</v>
      </c>
      <c r="J529" s="11" t="s">
        <v>648</v>
      </c>
      <c r="K529" s="11" t="s">
        <v>672</v>
      </c>
      <c r="L529" s="11" t="s">
        <v>698</v>
      </c>
      <c r="M529" s="10">
        <v>8</v>
      </c>
      <c r="N529">
        <v>1274.5899999999999</v>
      </c>
      <c r="O529" s="3">
        <v>2553.69</v>
      </c>
      <c r="P529" s="11" t="s">
        <v>1471</v>
      </c>
      <c r="Q529" s="4">
        <v>0.01</v>
      </c>
      <c r="R529" s="3">
        <v>20225.2248</v>
      </c>
      <c r="S529" s="3">
        <v>10196.719999999999</v>
      </c>
      <c r="T529" s="4">
        <v>0.49584145042481798</v>
      </c>
      <c r="U529" s="11" t="s">
        <v>663</v>
      </c>
      <c r="V529" s="3">
        <v>10028.504800000001</v>
      </c>
      <c r="W529" s="11" t="s">
        <v>1436</v>
      </c>
      <c r="X529" t="str">
        <f>TEXT(Table1_1[[#This Row],[OrderDate]],"mm yyyy")</f>
        <v>05 2024</v>
      </c>
      <c r="Y529" s="13">
        <f>DATE(YEAR(Table1_1[[#This Row],[OrderDate]]),MONTH(B529),1)</f>
        <v>45413</v>
      </c>
      <c r="Z529" s="2">
        <f t="shared" si="8"/>
        <v>45292</v>
      </c>
      <c r="AA529">
        <f>(YEAR(Table1_1[[#This Row],[OrderMonth]])-YEAR(Table1_1[[#This Row],[Firstmonth]]))*12+(MONTH(Table1_1[[#This Row],[OrderMonth]])-MONTH(Table1_1[[#This Row],[Firstmonth]]))</f>
        <v>4</v>
      </c>
    </row>
    <row r="530" spans="1:27" x14ac:dyDescent="0.25">
      <c r="A530" s="11" t="s">
        <v>188</v>
      </c>
      <c r="B530" s="2">
        <v>45325</v>
      </c>
      <c r="C530" s="2">
        <v>45343</v>
      </c>
      <c r="D530" s="11" t="s">
        <v>1413</v>
      </c>
      <c r="E530">
        <v>18</v>
      </c>
      <c r="F530" s="11" t="s">
        <v>1464</v>
      </c>
      <c r="G530" s="11" t="s">
        <v>1455</v>
      </c>
      <c r="H530" s="11" t="s">
        <v>1467</v>
      </c>
      <c r="I530" s="11" t="s">
        <v>642</v>
      </c>
      <c r="J530" s="11" t="s">
        <v>648</v>
      </c>
      <c r="K530" s="11" t="s">
        <v>668</v>
      </c>
      <c r="L530" s="11" t="s">
        <v>852</v>
      </c>
      <c r="M530" s="10">
        <v>39</v>
      </c>
      <c r="N530">
        <v>39.229999999999997</v>
      </c>
      <c r="O530" s="3">
        <v>30.09</v>
      </c>
      <c r="P530" s="11" t="s">
        <v>1468</v>
      </c>
      <c r="Q530" s="4">
        <v>0.17699999999999999</v>
      </c>
      <c r="R530" s="3">
        <v>965.79872999999998</v>
      </c>
      <c r="S530" s="3">
        <v>1529.9699999999998</v>
      </c>
      <c r="T530" s="4">
        <v>-0.58414993981199403</v>
      </c>
      <c r="U530" s="11" t="s">
        <v>663</v>
      </c>
      <c r="V530" s="3">
        <v>-564.17126999999982</v>
      </c>
      <c r="W530" s="11" t="s">
        <v>1433</v>
      </c>
      <c r="X530" t="str">
        <f>TEXT(Table1_1[[#This Row],[OrderDate]],"mm yyyy")</f>
        <v>02 2024</v>
      </c>
      <c r="Y530" s="13">
        <f>DATE(YEAR(Table1_1[[#This Row],[OrderDate]]),MONTH(B530),1)</f>
        <v>45323</v>
      </c>
      <c r="Z530" s="2">
        <f t="shared" si="8"/>
        <v>44927</v>
      </c>
      <c r="AA530">
        <f>(YEAR(Table1_1[[#This Row],[OrderMonth]])-YEAR(Table1_1[[#This Row],[Firstmonth]]))*12+(MONTH(Table1_1[[#This Row],[OrderMonth]])-MONTH(Table1_1[[#This Row],[Firstmonth]]))</f>
        <v>13</v>
      </c>
    </row>
    <row r="531" spans="1:27" x14ac:dyDescent="0.25">
      <c r="A531" s="11" t="s">
        <v>390</v>
      </c>
      <c r="B531" s="2">
        <v>45688</v>
      </c>
      <c r="C531" s="2">
        <v>45705</v>
      </c>
      <c r="D531" s="11" t="s">
        <v>1413</v>
      </c>
      <c r="E531">
        <v>17</v>
      </c>
      <c r="F531" s="11" t="s">
        <v>1464</v>
      </c>
      <c r="G531" s="11" t="s">
        <v>1469</v>
      </c>
      <c r="H531" s="11" t="s">
        <v>1470</v>
      </c>
      <c r="I531" s="11" t="s">
        <v>647</v>
      </c>
      <c r="J531" s="11" t="s">
        <v>648</v>
      </c>
      <c r="K531" s="11" t="s">
        <v>668</v>
      </c>
      <c r="L531" s="11" t="s">
        <v>753</v>
      </c>
      <c r="M531" s="10">
        <v>10</v>
      </c>
      <c r="N531">
        <v>378.26</v>
      </c>
      <c r="O531" s="3">
        <v>541.55999999999995</v>
      </c>
      <c r="P531" s="11" t="s">
        <v>1468</v>
      </c>
      <c r="Q531" s="4">
        <v>0.16300000000000001</v>
      </c>
      <c r="R531" s="3">
        <v>4532.8571999999995</v>
      </c>
      <c r="S531" s="3">
        <v>3782.6</v>
      </c>
      <c r="T531" s="4">
        <v>0.16551529573885501</v>
      </c>
      <c r="U531" s="11" t="s">
        <v>663</v>
      </c>
      <c r="V531" s="3">
        <v>750.25719999999956</v>
      </c>
      <c r="W531" s="11" t="s">
        <v>1434</v>
      </c>
      <c r="X531" t="str">
        <f>TEXT(Table1_1[[#This Row],[OrderDate]],"mm yyyy")</f>
        <v>01 2025</v>
      </c>
      <c r="Y531" s="13">
        <f>DATE(YEAR(Table1_1[[#This Row],[OrderDate]]),MONTH(B531),1)</f>
        <v>45658</v>
      </c>
      <c r="Z531" s="2">
        <f t="shared" si="8"/>
        <v>44986</v>
      </c>
      <c r="AA531">
        <f>(YEAR(Table1_1[[#This Row],[OrderMonth]])-YEAR(Table1_1[[#This Row],[Firstmonth]]))*12+(MONTH(Table1_1[[#This Row],[OrderMonth]])-MONTH(Table1_1[[#This Row],[Firstmonth]]))</f>
        <v>22</v>
      </c>
    </row>
    <row r="532" spans="1:27" x14ac:dyDescent="0.25">
      <c r="A532" s="11" t="s">
        <v>95</v>
      </c>
      <c r="B532" s="2">
        <v>45741</v>
      </c>
      <c r="C532" s="2">
        <v>45764</v>
      </c>
      <c r="D532" s="11" t="s">
        <v>1413</v>
      </c>
      <c r="E532">
        <v>23</v>
      </c>
      <c r="F532" s="11" t="s">
        <v>1464</v>
      </c>
      <c r="G532" s="11" t="s">
        <v>1469</v>
      </c>
      <c r="H532" s="11" t="s">
        <v>1470</v>
      </c>
      <c r="I532" s="11" t="s">
        <v>645</v>
      </c>
      <c r="J532" s="11" t="s">
        <v>648</v>
      </c>
      <c r="K532" s="11" t="s">
        <v>670</v>
      </c>
      <c r="L532" s="11" t="s">
        <v>759</v>
      </c>
      <c r="M532" s="10">
        <v>9</v>
      </c>
      <c r="N532">
        <v>1421.19</v>
      </c>
      <c r="O532" s="3">
        <v>1808.26</v>
      </c>
      <c r="P532" s="11" t="s">
        <v>1471</v>
      </c>
      <c r="Q532" s="4">
        <v>0.104</v>
      </c>
      <c r="R532" s="3">
        <v>14581.808640000001</v>
      </c>
      <c r="S532" s="3">
        <v>12790.710000000001</v>
      </c>
      <c r="T532" s="4">
        <v>0.122831034490931</v>
      </c>
      <c r="U532" s="11" t="s">
        <v>663</v>
      </c>
      <c r="V532" s="3">
        <v>1791.0986400000002</v>
      </c>
      <c r="W532" s="11" t="s">
        <v>1434</v>
      </c>
      <c r="X532" t="str">
        <f>TEXT(Table1_1[[#This Row],[OrderDate]],"mm yyyy")</f>
        <v>03 2025</v>
      </c>
      <c r="Y532" s="13">
        <f>DATE(YEAR(Table1_1[[#This Row],[OrderDate]]),MONTH(B532),1)</f>
        <v>45717</v>
      </c>
      <c r="Z532" s="2">
        <f t="shared" si="8"/>
        <v>44986</v>
      </c>
      <c r="AA532">
        <f>(YEAR(Table1_1[[#This Row],[OrderMonth]])-YEAR(Table1_1[[#This Row],[Firstmonth]]))*12+(MONTH(Table1_1[[#This Row],[OrderMonth]])-MONTH(Table1_1[[#This Row],[Firstmonth]]))</f>
        <v>24</v>
      </c>
    </row>
    <row r="533" spans="1:27" x14ac:dyDescent="0.25">
      <c r="A533" s="11" t="s">
        <v>495</v>
      </c>
      <c r="B533" s="2">
        <v>45634</v>
      </c>
      <c r="C533" s="2">
        <v>45634</v>
      </c>
      <c r="D533" s="11" t="s">
        <v>1413</v>
      </c>
      <c r="E533">
        <v>0</v>
      </c>
      <c r="F533" s="11" t="s">
        <v>1464</v>
      </c>
      <c r="G533" s="11" t="s">
        <v>1456</v>
      </c>
      <c r="H533" s="11" t="s">
        <v>1481</v>
      </c>
      <c r="I533" s="11" t="s">
        <v>647</v>
      </c>
      <c r="J533" s="11" t="s">
        <v>648</v>
      </c>
      <c r="K533" s="11" t="s">
        <v>668</v>
      </c>
      <c r="L533" s="11" t="s">
        <v>1159</v>
      </c>
      <c r="M533" s="10">
        <v>5</v>
      </c>
      <c r="N533">
        <v>257.44</v>
      </c>
      <c r="O533" s="3">
        <v>290.33</v>
      </c>
      <c r="P533" s="11" t="s">
        <v>1468</v>
      </c>
      <c r="Q533" s="4">
        <v>9.1999999999999998E-2</v>
      </c>
      <c r="R533" s="3">
        <v>1318.0981999999999</v>
      </c>
      <c r="S533" s="3">
        <v>1287.2</v>
      </c>
      <c r="T533" s="4">
        <v>2.3441500792581199E-2</v>
      </c>
      <c r="U533" s="11" t="s">
        <v>663</v>
      </c>
      <c r="V533" s="3">
        <v>30.898199999999861</v>
      </c>
      <c r="W533" s="11" t="s">
        <v>1440</v>
      </c>
      <c r="X533" t="str">
        <f>TEXT(Table1_1[[#This Row],[OrderDate]],"mm yyyy")</f>
        <v>12 2024</v>
      </c>
      <c r="Y533" s="13">
        <f>DATE(YEAR(Table1_1[[#This Row],[OrderDate]]),MONTH(B533),1)</f>
        <v>45627</v>
      </c>
      <c r="Z533" s="2">
        <f t="shared" si="8"/>
        <v>44958</v>
      </c>
      <c r="AA533">
        <f>(YEAR(Table1_1[[#This Row],[OrderMonth]])-YEAR(Table1_1[[#This Row],[Firstmonth]]))*12+(MONTH(Table1_1[[#This Row],[OrderMonth]])-MONTH(Table1_1[[#This Row],[Firstmonth]]))</f>
        <v>22</v>
      </c>
    </row>
    <row r="534" spans="1:27" x14ac:dyDescent="0.25">
      <c r="A534" s="11" t="s">
        <v>24</v>
      </c>
      <c r="B534" s="2">
        <v>45311</v>
      </c>
      <c r="C534" s="2">
        <v>45335</v>
      </c>
      <c r="D534" s="11" t="s">
        <v>1413</v>
      </c>
      <c r="E534">
        <v>24</v>
      </c>
      <c r="F534" s="11" t="s">
        <v>1464</v>
      </c>
      <c r="G534" s="11" t="s">
        <v>1456</v>
      </c>
      <c r="H534" s="11" t="s">
        <v>1472</v>
      </c>
      <c r="I534" s="11" t="s">
        <v>642</v>
      </c>
      <c r="J534" s="11" t="s">
        <v>648</v>
      </c>
      <c r="K534" s="11" t="s">
        <v>669</v>
      </c>
      <c r="L534" s="11" t="s">
        <v>688</v>
      </c>
      <c r="M534" s="10">
        <v>9</v>
      </c>
      <c r="N534">
        <v>643.53</v>
      </c>
      <c r="O534" s="3">
        <v>1439.01</v>
      </c>
      <c r="P534" s="11" t="s">
        <v>1466</v>
      </c>
      <c r="Q534" s="4">
        <v>0</v>
      </c>
      <c r="R534" s="3">
        <v>12951.09</v>
      </c>
      <c r="S534" s="3">
        <v>5791.7699999999995</v>
      </c>
      <c r="T534" s="4">
        <v>0.55279671440782197</v>
      </c>
      <c r="U534" s="11" t="s">
        <v>663</v>
      </c>
      <c r="V534" s="3">
        <v>7159.3200000000006</v>
      </c>
      <c r="W534" s="11" t="s">
        <v>1433</v>
      </c>
      <c r="X534" t="str">
        <f>TEXT(Table1_1[[#This Row],[OrderDate]],"mm yyyy")</f>
        <v>01 2024</v>
      </c>
      <c r="Y534" s="13">
        <f>DATE(YEAR(Table1_1[[#This Row],[OrderDate]]),MONTH(B534),1)</f>
        <v>45292</v>
      </c>
      <c r="Z534" s="2">
        <f t="shared" si="8"/>
        <v>44958</v>
      </c>
      <c r="AA534">
        <f>(YEAR(Table1_1[[#This Row],[OrderMonth]])-YEAR(Table1_1[[#This Row],[Firstmonth]]))*12+(MONTH(Table1_1[[#This Row],[OrderMonth]])-MONTH(Table1_1[[#This Row],[Firstmonth]]))</f>
        <v>11</v>
      </c>
    </row>
    <row r="535" spans="1:27" x14ac:dyDescent="0.25">
      <c r="A535" s="11" t="s">
        <v>317</v>
      </c>
      <c r="B535" s="2">
        <v>45795</v>
      </c>
      <c r="C535" s="2">
        <v>45817</v>
      </c>
      <c r="D535" s="11" t="s">
        <v>1413</v>
      </c>
      <c r="E535">
        <v>22</v>
      </c>
      <c r="F535" s="11" t="s">
        <v>1473</v>
      </c>
      <c r="G535" s="11" t="s">
        <v>1516</v>
      </c>
      <c r="H535" s="11" t="s">
        <v>1517</v>
      </c>
      <c r="I535" s="11" t="s">
        <v>645</v>
      </c>
      <c r="J535" s="11" t="s">
        <v>648</v>
      </c>
      <c r="K535" s="11" t="s">
        <v>670</v>
      </c>
      <c r="L535" s="11" t="s">
        <v>982</v>
      </c>
      <c r="M535" s="10">
        <v>10</v>
      </c>
      <c r="N535">
        <v>382.96</v>
      </c>
      <c r="O535" s="3">
        <v>552.84</v>
      </c>
      <c r="P535" s="11" t="s">
        <v>1468</v>
      </c>
      <c r="Q535" s="4">
        <v>0.17599999999999999</v>
      </c>
      <c r="R535" s="3">
        <v>4555.4016000000011</v>
      </c>
      <c r="S535" s="3">
        <v>3829.6</v>
      </c>
      <c r="T535" s="4">
        <v>0.15932768693763499</v>
      </c>
      <c r="U535" s="11" t="s">
        <v>663</v>
      </c>
      <c r="V535" s="3">
        <v>725.80160000000114</v>
      </c>
      <c r="W535" s="11" t="s">
        <v>1431</v>
      </c>
      <c r="X535" t="str">
        <f>TEXT(Table1_1[[#This Row],[OrderDate]],"mm yyyy")</f>
        <v>05 2025</v>
      </c>
      <c r="Y535" s="13">
        <f>DATE(YEAR(Table1_1[[#This Row],[OrderDate]]),MONTH(B535),1)</f>
        <v>45778</v>
      </c>
      <c r="Z535" s="2">
        <f t="shared" si="8"/>
        <v>45108</v>
      </c>
      <c r="AA535">
        <f>(YEAR(Table1_1[[#This Row],[OrderMonth]])-YEAR(Table1_1[[#This Row],[Firstmonth]]))*12+(MONTH(Table1_1[[#This Row],[OrderMonth]])-MONTH(Table1_1[[#This Row],[Firstmonth]]))</f>
        <v>22</v>
      </c>
    </row>
    <row r="536" spans="1:27" x14ac:dyDescent="0.25">
      <c r="A536" s="11" t="s">
        <v>363</v>
      </c>
      <c r="B536" s="2">
        <v>45512</v>
      </c>
      <c r="C536" s="2">
        <v>45524</v>
      </c>
      <c r="D536" s="11" t="s">
        <v>1413</v>
      </c>
      <c r="E536">
        <v>12</v>
      </c>
      <c r="F536" s="11" t="s">
        <v>1476</v>
      </c>
      <c r="G536" s="11" t="s">
        <v>1451</v>
      </c>
      <c r="H536" s="11" t="s">
        <v>1487</v>
      </c>
      <c r="I536" s="11" t="s">
        <v>646</v>
      </c>
      <c r="J536" s="11" t="s">
        <v>648</v>
      </c>
      <c r="K536" s="11" t="s">
        <v>670</v>
      </c>
      <c r="L536" s="11" t="s">
        <v>1028</v>
      </c>
      <c r="M536" s="10">
        <v>20</v>
      </c>
      <c r="N536">
        <v>1233.3599999999999</v>
      </c>
      <c r="O536" s="3">
        <v>2120.4</v>
      </c>
      <c r="P536" s="11" t="s">
        <v>1471</v>
      </c>
      <c r="Q536" s="4">
        <v>0.17899999999999999</v>
      </c>
      <c r="R536" s="3">
        <v>34816.968000000001</v>
      </c>
      <c r="S536" s="3">
        <v>24667.199999999997</v>
      </c>
      <c r="T536" s="4">
        <v>0.291517859912443</v>
      </c>
      <c r="U536" s="11" t="s">
        <v>663</v>
      </c>
      <c r="V536" s="3">
        <v>10149.768000000004</v>
      </c>
      <c r="W536" s="11" t="s">
        <v>1437</v>
      </c>
      <c r="X536" t="str">
        <f>TEXT(Table1_1[[#This Row],[OrderDate]],"mm yyyy")</f>
        <v>08 2024</v>
      </c>
      <c r="Y536" s="13">
        <f>DATE(YEAR(Table1_1[[#This Row],[OrderDate]]),MONTH(B536),1)</f>
        <v>45505</v>
      </c>
      <c r="Z536" s="2">
        <f t="shared" si="8"/>
        <v>45017</v>
      </c>
      <c r="AA536">
        <f>(YEAR(Table1_1[[#This Row],[OrderMonth]])-YEAR(Table1_1[[#This Row],[Firstmonth]]))*12+(MONTH(Table1_1[[#This Row],[OrderMonth]])-MONTH(Table1_1[[#This Row],[Firstmonth]]))</f>
        <v>16</v>
      </c>
    </row>
    <row r="537" spans="1:27" x14ac:dyDescent="0.25">
      <c r="A537" s="11" t="s">
        <v>405</v>
      </c>
      <c r="B537" s="2">
        <v>45804</v>
      </c>
      <c r="C537" s="2">
        <v>45816</v>
      </c>
      <c r="D537" s="11" t="s">
        <v>1413</v>
      </c>
      <c r="E537">
        <v>12</v>
      </c>
      <c r="F537" s="11" t="s">
        <v>1476</v>
      </c>
      <c r="G537" s="11" t="s">
        <v>1451</v>
      </c>
      <c r="H537" s="11" t="s">
        <v>1487</v>
      </c>
      <c r="I537" s="11" t="s">
        <v>642</v>
      </c>
      <c r="J537" s="11" t="s">
        <v>648</v>
      </c>
      <c r="K537" s="11" t="s">
        <v>674</v>
      </c>
      <c r="L537" s="11" t="s">
        <v>1069</v>
      </c>
      <c r="M537" s="10">
        <v>12</v>
      </c>
      <c r="N537">
        <v>653.6</v>
      </c>
      <c r="O537" s="3">
        <v>842.09</v>
      </c>
      <c r="P537" s="11" t="s">
        <v>1466</v>
      </c>
      <c r="Q537" s="4">
        <v>9.8000000000000004E-2</v>
      </c>
      <c r="R537" s="3">
        <v>9114.7821600000007</v>
      </c>
      <c r="S537" s="3">
        <v>7843.2000000000007</v>
      </c>
      <c r="T537" s="4">
        <v>0.13950768517324599</v>
      </c>
      <c r="U537" s="11" t="s">
        <v>663</v>
      </c>
      <c r="V537" s="3">
        <v>1271.5821599999999</v>
      </c>
      <c r="W537" s="11" t="s">
        <v>1431</v>
      </c>
      <c r="X537" t="str">
        <f>TEXT(Table1_1[[#This Row],[OrderDate]],"mm yyyy")</f>
        <v>05 2025</v>
      </c>
      <c r="Y537" s="13">
        <f>DATE(YEAR(Table1_1[[#This Row],[OrderDate]]),MONTH(B537),1)</f>
        <v>45778</v>
      </c>
      <c r="Z537" s="2">
        <f t="shared" si="8"/>
        <v>45017</v>
      </c>
      <c r="AA537">
        <f>(YEAR(Table1_1[[#This Row],[OrderMonth]])-YEAR(Table1_1[[#This Row],[Firstmonth]]))*12+(MONTH(Table1_1[[#This Row],[OrderMonth]])-MONTH(Table1_1[[#This Row],[Firstmonth]]))</f>
        <v>25</v>
      </c>
    </row>
    <row r="538" spans="1:27" x14ac:dyDescent="0.25">
      <c r="A538" s="11" t="s">
        <v>177</v>
      </c>
      <c r="B538" s="2">
        <v>45034</v>
      </c>
      <c r="C538" s="2">
        <v>45064</v>
      </c>
      <c r="D538" s="11" t="s">
        <v>1413</v>
      </c>
      <c r="E538">
        <v>30</v>
      </c>
      <c r="F538" s="11" t="s">
        <v>1476</v>
      </c>
      <c r="G538" s="11" t="s">
        <v>1457</v>
      </c>
      <c r="H538" s="11" t="s">
        <v>1513</v>
      </c>
      <c r="I538" s="11" t="s">
        <v>644</v>
      </c>
      <c r="J538" s="11" t="s">
        <v>648</v>
      </c>
      <c r="K538" s="11" t="s">
        <v>672</v>
      </c>
      <c r="L538" s="11" t="s">
        <v>841</v>
      </c>
      <c r="M538" s="10">
        <v>14</v>
      </c>
      <c r="N538">
        <v>329.03</v>
      </c>
      <c r="O538" s="3">
        <v>391.15</v>
      </c>
      <c r="P538" s="11" t="s">
        <v>1468</v>
      </c>
      <c r="Q538" s="4">
        <v>0.19700000000000001</v>
      </c>
      <c r="R538" s="3">
        <v>4397.3082999999988</v>
      </c>
      <c r="S538" s="3">
        <v>4606.42</v>
      </c>
      <c r="T538" s="4">
        <v>-4.7554477815440303E-2</v>
      </c>
      <c r="U538" s="11" t="s">
        <v>663</v>
      </c>
      <c r="V538" s="3">
        <v>-209.11170000000129</v>
      </c>
      <c r="W538" s="11" t="s">
        <v>1435</v>
      </c>
      <c r="X538" t="str">
        <f>TEXT(Table1_1[[#This Row],[OrderDate]],"mm yyyy")</f>
        <v>04 2023</v>
      </c>
      <c r="Y538" s="13">
        <f>DATE(YEAR(Table1_1[[#This Row],[OrderDate]]),MONTH(B538),1)</f>
        <v>45017</v>
      </c>
      <c r="Z538" s="2">
        <f t="shared" si="8"/>
        <v>44927</v>
      </c>
      <c r="AA538">
        <f>(YEAR(Table1_1[[#This Row],[OrderMonth]])-YEAR(Table1_1[[#This Row],[Firstmonth]]))*12+(MONTH(Table1_1[[#This Row],[OrderMonth]])-MONTH(Table1_1[[#This Row],[Firstmonth]]))</f>
        <v>3</v>
      </c>
    </row>
    <row r="539" spans="1:27" x14ac:dyDescent="0.25">
      <c r="A539" s="11" t="s">
        <v>524</v>
      </c>
      <c r="B539" s="2">
        <v>45661</v>
      </c>
      <c r="C539" s="2">
        <v>45662</v>
      </c>
      <c r="D539" s="11" t="s">
        <v>1413</v>
      </c>
      <c r="E539">
        <v>1</v>
      </c>
      <c r="F539" s="11" t="s">
        <v>1476</v>
      </c>
      <c r="G539" s="11" t="s">
        <v>1453</v>
      </c>
      <c r="H539" s="11" t="s">
        <v>1479</v>
      </c>
      <c r="I539" s="11" t="s">
        <v>643</v>
      </c>
      <c r="J539" s="11" t="s">
        <v>648</v>
      </c>
      <c r="K539" s="11" t="s">
        <v>668</v>
      </c>
      <c r="L539" s="11" t="s">
        <v>1188</v>
      </c>
      <c r="M539" s="10">
        <v>21</v>
      </c>
      <c r="N539">
        <v>1428.33</v>
      </c>
      <c r="O539" s="3">
        <v>3028.05</v>
      </c>
      <c r="P539" s="11" t="s">
        <v>1471</v>
      </c>
      <c r="Q539" s="4">
        <v>0</v>
      </c>
      <c r="R539" s="3">
        <v>63589.05</v>
      </c>
      <c r="S539" s="3">
        <v>29994.93</v>
      </c>
      <c r="T539" s="4">
        <v>0.52830039134096196</v>
      </c>
      <c r="U539" s="11" t="s">
        <v>655</v>
      </c>
      <c r="V539" s="3">
        <v>33594.120000000003</v>
      </c>
      <c r="W539" s="11" t="s">
        <v>1434</v>
      </c>
      <c r="X539" t="str">
        <f>TEXT(Table1_1[[#This Row],[OrderDate]],"mm yyyy")</f>
        <v>01 2025</v>
      </c>
      <c r="Y539" s="13">
        <f>DATE(YEAR(Table1_1[[#This Row],[OrderDate]]),MONTH(B539),1)</f>
        <v>45658</v>
      </c>
      <c r="Z539" s="2">
        <f t="shared" si="8"/>
        <v>45047</v>
      </c>
      <c r="AA539">
        <f>(YEAR(Table1_1[[#This Row],[OrderMonth]])-YEAR(Table1_1[[#This Row],[Firstmonth]]))*12+(MONTH(Table1_1[[#This Row],[OrderMonth]])-MONTH(Table1_1[[#This Row],[Firstmonth]]))</f>
        <v>20</v>
      </c>
    </row>
    <row r="540" spans="1:27" x14ac:dyDescent="0.25">
      <c r="A540" s="11" t="s">
        <v>362</v>
      </c>
      <c r="B540" s="2">
        <v>45121</v>
      </c>
      <c r="C540" s="2">
        <v>45121</v>
      </c>
      <c r="D540" s="11" t="s">
        <v>1413</v>
      </c>
      <c r="E540">
        <v>0</v>
      </c>
      <c r="F540" s="11" t="s">
        <v>1485</v>
      </c>
      <c r="G540" s="11" t="s">
        <v>1450</v>
      </c>
      <c r="H540" s="11" t="s">
        <v>1514</v>
      </c>
      <c r="I540" s="11" t="s">
        <v>643</v>
      </c>
      <c r="J540" s="11" t="s">
        <v>648</v>
      </c>
      <c r="K540" s="11" t="s">
        <v>674</v>
      </c>
      <c r="L540" s="11" t="s">
        <v>1027</v>
      </c>
      <c r="M540" s="10">
        <v>15</v>
      </c>
      <c r="N540">
        <v>956.38</v>
      </c>
      <c r="O540" s="3">
        <v>1454.22</v>
      </c>
      <c r="P540" s="11" t="s">
        <v>1466</v>
      </c>
      <c r="Q540" s="4">
        <v>3.9E-2</v>
      </c>
      <c r="R540" s="3">
        <v>20962.581299999998</v>
      </c>
      <c r="S540" s="3">
        <v>14345.7</v>
      </c>
      <c r="T540" s="4">
        <v>0.31565202802576597</v>
      </c>
      <c r="U540" s="11" t="s">
        <v>655</v>
      </c>
      <c r="V540" s="3">
        <v>6616.8812999999973</v>
      </c>
      <c r="W540" s="11" t="s">
        <v>1430</v>
      </c>
      <c r="X540" t="str">
        <f>TEXT(Table1_1[[#This Row],[OrderDate]],"mm yyyy")</f>
        <v>07 2023</v>
      </c>
      <c r="Y540" s="13">
        <f>DATE(YEAR(Table1_1[[#This Row],[OrderDate]]),MONTH(B540),1)</f>
        <v>45108</v>
      </c>
      <c r="Z540" s="2">
        <f t="shared" si="8"/>
        <v>44927</v>
      </c>
      <c r="AA540">
        <f>(YEAR(Table1_1[[#This Row],[OrderMonth]])-YEAR(Table1_1[[#This Row],[Firstmonth]]))*12+(MONTH(Table1_1[[#This Row],[OrderMonth]])-MONTH(Table1_1[[#This Row],[Firstmonth]]))</f>
        <v>6</v>
      </c>
    </row>
    <row r="541" spans="1:27" x14ac:dyDescent="0.25">
      <c r="A541" s="11" t="s">
        <v>13</v>
      </c>
      <c r="B541" s="2">
        <v>44985</v>
      </c>
      <c r="C541" s="2">
        <v>45010</v>
      </c>
      <c r="D541" s="11" t="s">
        <v>1413</v>
      </c>
      <c r="E541">
        <v>25</v>
      </c>
      <c r="F541" s="11" t="s">
        <v>1485</v>
      </c>
      <c r="G541" s="11" t="s">
        <v>1449</v>
      </c>
      <c r="H541" s="11" t="s">
        <v>1486</v>
      </c>
      <c r="I541" s="11" t="s">
        <v>642</v>
      </c>
      <c r="J541" s="11" t="s">
        <v>648</v>
      </c>
      <c r="K541" s="11" t="s">
        <v>670</v>
      </c>
      <c r="L541" s="11" t="s">
        <v>677</v>
      </c>
      <c r="M541" s="10">
        <v>32</v>
      </c>
      <c r="N541">
        <v>1460.76</v>
      </c>
      <c r="O541" s="3">
        <v>30.66</v>
      </c>
      <c r="P541" s="11" t="s">
        <v>1468</v>
      </c>
      <c r="Q541" s="4">
        <v>0.13100000000000001</v>
      </c>
      <c r="R541" s="3">
        <v>852.59328000000005</v>
      </c>
      <c r="S541" s="3">
        <v>46744.32</v>
      </c>
      <c r="T541" s="4">
        <v>-53.826047890032598</v>
      </c>
      <c r="U541" s="11" t="s">
        <v>655</v>
      </c>
      <c r="V541" s="3">
        <v>-45891.726719999999</v>
      </c>
      <c r="W541" s="11" t="s">
        <v>1432</v>
      </c>
      <c r="X541" t="str">
        <f>TEXT(Table1_1[[#This Row],[OrderDate]],"mm yyyy")</f>
        <v>02 2023</v>
      </c>
      <c r="Y541" s="13">
        <f>DATE(YEAR(Table1_1[[#This Row],[OrderDate]]),MONTH(B541),1)</f>
        <v>44958</v>
      </c>
      <c r="Z541" s="2">
        <f t="shared" si="8"/>
        <v>44927</v>
      </c>
      <c r="AA541">
        <f>(YEAR(Table1_1[[#This Row],[OrderMonth]])-YEAR(Table1_1[[#This Row],[Firstmonth]]))*12+(MONTH(Table1_1[[#This Row],[OrderMonth]])-MONTH(Table1_1[[#This Row],[Firstmonth]]))</f>
        <v>1</v>
      </c>
    </row>
    <row r="542" spans="1:27" x14ac:dyDescent="0.25">
      <c r="A542" s="11" t="s">
        <v>484</v>
      </c>
      <c r="B542" s="2">
        <v>45882</v>
      </c>
      <c r="C542" s="2">
        <v>45903</v>
      </c>
      <c r="D542" s="11" t="s">
        <v>1413</v>
      </c>
      <c r="E542">
        <v>21</v>
      </c>
      <c r="F542" s="11" t="s">
        <v>1464</v>
      </c>
      <c r="G542" s="11" t="s">
        <v>1456</v>
      </c>
      <c r="H542" s="11" t="s">
        <v>1504</v>
      </c>
      <c r="I542" s="11" t="s">
        <v>643</v>
      </c>
      <c r="J542" s="11" t="s">
        <v>648</v>
      </c>
      <c r="K542" s="11" t="s">
        <v>671</v>
      </c>
      <c r="L542" s="11" t="s">
        <v>1148</v>
      </c>
      <c r="M542" s="10">
        <v>10</v>
      </c>
      <c r="N542">
        <v>603.47</v>
      </c>
      <c r="O542" s="3">
        <v>1344.05</v>
      </c>
      <c r="P542" s="11" t="s">
        <v>1466</v>
      </c>
      <c r="Q542" s="4">
        <v>0.20499999999999999</v>
      </c>
      <c r="R542" s="3">
        <v>10685.1975</v>
      </c>
      <c r="S542" s="3">
        <v>6034.7000000000007</v>
      </c>
      <c r="T542" s="4">
        <v>0.43522803392262999</v>
      </c>
      <c r="U542" s="11" t="s">
        <v>655</v>
      </c>
      <c r="V542" s="3">
        <v>4650.4974999999995</v>
      </c>
      <c r="W542" s="11" t="s">
        <v>1438</v>
      </c>
      <c r="X542" t="str">
        <f>TEXT(Table1_1[[#This Row],[OrderDate]],"mm yyyy")</f>
        <v>08 2025</v>
      </c>
      <c r="Y542" s="13">
        <f>DATE(YEAR(Table1_1[[#This Row],[OrderDate]]),MONTH(B542),1)</f>
        <v>45870</v>
      </c>
      <c r="Z542" s="2">
        <f t="shared" si="8"/>
        <v>44958</v>
      </c>
      <c r="AA542">
        <f>(YEAR(Table1_1[[#This Row],[OrderMonth]])-YEAR(Table1_1[[#This Row],[Firstmonth]]))*12+(MONTH(Table1_1[[#This Row],[OrderMonth]])-MONTH(Table1_1[[#This Row],[Firstmonth]]))</f>
        <v>30</v>
      </c>
    </row>
    <row r="543" spans="1:27" x14ac:dyDescent="0.25">
      <c r="A543" s="11" t="s">
        <v>50</v>
      </c>
      <c r="B543" s="2">
        <v>45094</v>
      </c>
      <c r="C543" s="2">
        <v>45101</v>
      </c>
      <c r="D543" s="11" t="s">
        <v>1413</v>
      </c>
      <c r="E543">
        <v>7</v>
      </c>
      <c r="F543" s="11" t="s">
        <v>1473</v>
      </c>
      <c r="G543" s="11" t="s">
        <v>1498</v>
      </c>
      <c r="H543" s="11" t="s">
        <v>1499</v>
      </c>
      <c r="I543" s="11" t="s">
        <v>642</v>
      </c>
      <c r="J543" s="11" t="s">
        <v>648</v>
      </c>
      <c r="K543" s="11" t="s">
        <v>669</v>
      </c>
      <c r="L543" s="11" t="s">
        <v>714</v>
      </c>
      <c r="M543" s="10">
        <v>7</v>
      </c>
      <c r="N543">
        <v>313.99</v>
      </c>
      <c r="O543" s="3">
        <v>454.42</v>
      </c>
      <c r="P543" s="11" t="s">
        <v>1468</v>
      </c>
      <c r="Q543" s="4">
        <v>0.129</v>
      </c>
      <c r="R543" s="3">
        <v>2770.5987399999999</v>
      </c>
      <c r="S543" s="3">
        <v>2197.9300000000003</v>
      </c>
      <c r="T543" s="4">
        <v>0.206694939881478</v>
      </c>
      <c r="U543" s="11" t="s">
        <v>655</v>
      </c>
      <c r="V543" s="3">
        <v>572.66873999999962</v>
      </c>
      <c r="W543" s="11" t="s">
        <v>1435</v>
      </c>
      <c r="X543" t="str">
        <f>TEXT(Table1_1[[#This Row],[OrderDate]],"mm yyyy")</f>
        <v>06 2023</v>
      </c>
      <c r="Y543" s="13">
        <f>DATE(YEAR(Table1_1[[#This Row],[OrderDate]]),MONTH(B543),1)</f>
        <v>45078</v>
      </c>
      <c r="Z543" s="2">
        <f t="shared" si="8"/>
        <v>44958</v>
      </c>
      <c r="AA543">
        <f>(YEAR(Table1_1[[#This Row],[OrderMonth]])-YEAR(Table1_1[[#This Row],[Firstmonth]]))*12+(MONTH(Table1_1[[#This Row],[OrderMonth]])-MONTH(Table1_1[[#This Row],[Firstmonth]]))</f>
        <v>4</v>
      </c>
    </row>
    <row r="544" spans="1:27" x14ac:dyDescent="0.25">
      <c r="A544" s="11" t="s">
        <v>92</v>
      </c>
      <c r="B544" s="2">
        <v>45157</v>
      </c>
      <c r="C544" s="2">
        <v>45181</v>
      </c>
      <c r="D544" s="11" t="s">
        <v>1413</v>
      </c>
      <c r="E544">
        <v>24</v>
      </c>
      <c r="F544" s="11" t="s">
        <v>1473</v>
      </c>
      <c r="G544" s="11" t="s">
        <v>1452</v>
      </c>
      <c r="H544" s="11" t="s">
        <v>1475</v>
      </c>
      <c r="I544" s="11" t="s">
        <v>647</v>
      </c>
      <c r="J544" s="11" t="s">
        <v>648</v>
      </c>
      <c r="K544" s="11" t="s">
        <v>669</v>
      </c>
      <c r="L544" s="11" t="s">
        <v>756</v>
      </c>
      <c r="M544" s="10">
        <v>16</v>
      </c>
      <c r="N544">
        <v>1183.95</v>
      </c>
      <c r="O544" s="3">
        <v>1503.53</v>
      </c>
      <c r="P544" s="11" t="s">
        <v>1466</v>
      </c>
      <c r="Q544" s="4">
        <v>0.24099999999999999</v>
      </c>
      <c r="R544" s="3">
        <v>18258.868320000001</v>
      </c>
      <c r="S544" s="3">
        <v>18943.2</v>
      </c>
      <c r="T544" s="4">
        <v>-3.7479413729623698E-2</v>
      </c>
      <c r="U544" s="11" t="s">
        <v>655</v>
      </c>
      <c r="V544" s="3">
        <v>-684.33167999999932</v>
      </c>
      <c r="W544" s="11" t="s">
        <v>1430</v>
      </c>
      <c r="X544" t="str">
        <f>TEXT(Table1_1[[#This Row],[OrderDate]],"mm yyyy")</f>
        <v>08 2023</v>
      </c>
      <c r="Y544" s="13">
        <f>DATE(YEAR(Table1_1[[#This Row],[OrderDate]]),MONTH(B544),1)</f>
        <v>45139</v>
      </c>
      <c r="Z544" s="2">
        <f t="shared" si="8"/>
        <v>45078</v>
      </c>
      <c r="AA544">
        <f>(YEAR(Table1_1[[#This Row],[OrderMonth]])-YEAR(Table1_1[[#This Row],[Firstmonth]]))*12+(MONTH(Table1_1[[#This Row],[OrderMonth]])-MONTH(Table1_1[[#This Row],[Firstmonth]]))</f>
        <v>2</v>
      </c>
    </row>
    <row r="545" spans="1:27" x14ac:dyDescent="0.25">
      <c r="A545" s="11" t="s">
        <v>398</v>
      </c>
      <c r="B545" s="2">
        <v>45199</v>
      </c>
      <c r="C545" s="2">
        <v>45202</v>
      </c>
      <c r="D545" s="11" t="s">
        <v>1413</v>
      </c>
      <c r="E545">
        <v>3</v>
      </c>
      <c r="F545" s="11" t="s">
        <v>1476</v>
      </c>
      <c r="G545" s="11" t="s">
        <v>1457</v>
      </c>
      <c r="H545" s="11" t="s">
        <v>1477</v>
      </c>
      <c r="I545" s="11" t="s">
        <v>644</v>
      </c>
      <c r="J545" s="11" t="s">
        <v>648</v>
      </c>
      <c r="K545" s="11" t="s">
        <v>672</v>
      </c>
      <c r="L545" s="11" t="s">
        <v>1062</v>
      </c>
      <c r="M545" s="10">
        <v>6</v>
      </c>
      <c r="N545">
        <v>1019.36</v>
      </c>
      <c r="O545" s="3">
        <v>972.91</v>
      </c>
      <c r="P545" s="11" t="s">
        <v>1466</v>
      </c>
      <c r="Q545" s="4">
        <v>0.14699999999999999</v>
      </c>
      <c r="R545" s="3">
        <v>4979.3533799999996</v>
      </c>
      <c r="S545" s="3">
        <v>6116.16</v>
      </c>
      <c r="T545" s="4">
        <v>-0.228304065456788</v>
      </c>
      <c r="U545" s="11" t="s">
        <v>654</v>
      </c>
      <c r="V545" s="3">
        <v>-1136.8066200000003</v>
      </c>
      <c r="W545" s="11" t="s">
        <v>1430</v>
      </c>
      <c r="X545" t="str">
        <f>TEXT(Table1_1[[#This Row],[OrderDate]],"mm yyyy")</f>
        <v>09 2023</v>
      </c>
      <c r="Y545" s="13">
        <f>DATE(YEAR(Table1_1[[#This Row],[OrderDate]]),MONTH(B545),1)</f>
        <v>45170</v>
      </c>
      <c r="Z545" s="2">
        <f t="shared" si="8"/>
        <v>44927</v>
      </c>
      <c r="AA545">
        <f>(YEAR(Table1_1[[#This Row],[OrderMonth]])-YEAR(Table1_1[[#This Row],[Firstmonth]]))*12+(MONTH(Table1_1[[#This Row],[OrderMonth]])-MONTH(Table1_1[[#This Row],[Firstmonth]]))</f>
        <v>8</v>
      </c>
    </row>
    <row r="546" spans="1:27" x14ac:dyDescent="0.25">
      <c r="A546" s="11" t="s">
        <v>632</v>
      </c>
      <c r="B546" s="2">
        <v>45501</v>
      </c>
      <c r="C546" s="2">
        <v>45527</v>
      </c>
      <c r="D546" s="11" t="s">
        <v>1413</v>
      </c>
      <c r="E546">
        <v>26</v>
      </c>
      <c r="F546" s="11" t="s">
        <v>1476</v>
      </c>
      <c r="G546" s="11" t="s">
        <v>1453</v>
      </c>
      <c r="H546" s="11" t="s">
        <v>1480</v>
      </c>
      <c r="I546" s="11" t="s">
        <v>642</v>
      </c>
      <c r="J546" s="11" t="s">
        <v>648</v>
      </c>
      <c r="K546" s="11" t="s">
        <v>670</v>
      </c>
      <c r="L546" s="11" t="s">
        <v>1295</v>
      </c>
      <c r="M546" s="10">
        <v>14</v>
      </c>
      <c r="N546">
        <v>1339.24</v>
      </c>
      <c r="O546" s="3">
        <v>1558.89</v>
      </c>
      <c r="P546" s="11" t="s">
        <v>1466</v>
      </c>
      <c r="Q546" s="4">
        <v>0.192</v>
      </c>
      <c r="R546" s="3">
        <v>17634.163680000005</v>
      </c>
      <c r="S546" s="3">
        <v>18749.36</v>
      </c>
      <c r="T546" s="4">
        <v>-6.3240669659021503E-2</v>
      </c>
      <c r="U546" s="11" t="s">
        <v>654</v>
      </c>
      <c r="V546" s="3">
        <v>-1115.1963199999955</v>
      </c>
      <c r="W546" s="11" t="s">
        <v>1437</v>
      </c>
      <c r="X546" t="str">
        <f>TEXT(Table1_1[[#This Row],[OrderDate]],"mm yyyy")</f>
        <v>07 2024</v>
      </c>
      <c r="Y546" s="13">
        <f>DATE(YEAR(Table1_1[[#This Row],[OrderDate]]),MONTH(B546),1)</f>
        <v>45474</v>
      </c>
      <c r="Z546" s="2">
        <f t="shared" si="8"/>
        <v>45047</v>
      </c>
      <c r="AA546">
        <f>(YEAR(Table1_1[[#This Row],[OrderMonth]])-YEAR(Table1_1[[#This Row],[Firstmonth]]))*12+(MONTH(Table1_1[[#This Row],[OrderMonth]])-MONTH(Table1_1[[#This Row],[Firstmonth]]))</f>
        <v>14</v>
      </c>
    </row>
    <row r="547" spans="1:27" x14ac:dyDescent="0.25">
      <c r="A547" s="11" t="s">
        <v>445</v>
      </c>
      <c r="B547" s="2">
        <v>45217</v>
      </c>
      <c r="C547" s="2">
        <v>45219</v>
      </c>
      <c r="D547" s="11" t="s">
        <v>1413</v>
      </c>
      <c r="E547">
        <v>2</v>
      </c>
      <c r="F547" s="11" t="s">
        <v>1485</v>
      </c>
      <c r="G547" s="11" t="s">
        <v>1449</v>
      </c>
      <c r="H547" s="11" t="s">
        <v>1512</v>
      </c>
      <c r="I547" s="11" t="s">
        <v>645</v>
      </c>
      <c r="J547" s="11" t="s">
        <v>648</v>
      </c>
      <c r="K547" s="11" t="s">
        <v>671</v>
      </c>
      <c r="L547" s="11" t="s">
        <v>1109</v>
      </c>
      <c r="M547" s="10">
        <v>8</v>
      </c>
      <c r="N547">
        <v>774.12</v>
      </c>
      <c r="O547" s="3">
        <v>908.3</v>
      </c>
      <c r="P547" s="11" t="s">
        <v>1466</v>
      </c>
      <c r="Q547" s="4">
        <v>0</v>
      </c>
      <c r="R547" s="3">
        <v>7266.4</v>
      </c>
      <c r="S547" s="3">
        <v>6192.96</v>
      </c>
      <c r="T547" s="4">
        <v>0.147726522074204</v>
      </c>
      <c r="U547" s="11" t="s">
        <v>654</v>
      </c>
      <c r="V547" s="3">
        <v>1073.4399999999996</v>
      </c>
      <c r="W547" s="11" t="s">
        <v>1439</v>
      </c>
      <c r="X547" t="str">
        <f>TEXT(Table1_1[[#This Row],[OrderDate]],"mm yyyy")</f>
        <v>10 2023</v>
      </c>
      <c r="Y547" s="13">
        <f>DATE(YEAR(Table1_1[[#This Row],[OrderDate]]),MONTH(B547),1)</f>
        <v>45200</v>
      </c>
      <c r="Z547" s="2">
        <f t="shared" si="8"/>
        <v>44927</v>
      </c>
      <c r="AA547">
        <f>(YEAR(Table1_1[[#This Row],[OrderMonth]])-YEAR(Table1_1[[#This Row],[Firstmonth]]))*12+(MONTH(Table1_1[[#This Row],[OrderMonth]])-MONTH(Table1_1[[#This Row],[Firstmonth]]))</f>
        <v>9</v>
      </c>
    </row>
    <row r="548" spans="1:27" x14ac:dyDescent="0.25">
      <c r="A548" s="11" t="s">
        <v>196</v>
      </c>
      <c r="B548" s="2">
        <v>45099</v>
      </c>
      <c r="C548" s="2">
        <v>45128</v>
      </c>
      <c r="D548" s="11" t="s">
        <v>1413</v>
      </c>
      <c r="E548">
        <v>29</v>
      </c>
      <c r="F548" s="11" t="s">
        <v>1464</v>
      </c>
      <c r="G548" s="11" t="s">
        <v>1456</v>
      </c>
      <c r="H548" s="11" t="s">
        <v>1481</v>
      </c>
      <c r="I548" s="11" t="s">
        <v>642</v>
      </c>
      <c r="J548" s="11" t="s">
        <v>648</v>
      </c>
      <c r="K548" s="11" t="s">
        <v>674</v>
      </c>
      <c r="L548" s="11" t="s">
        <v>860</v>
      </c>
      <c r="M548" s="10">
        <v>6</v>
      </c>
      <c r="N548">
        <v>734.34</v>
      </c>
      <c r="O548" s="3">
        <v>887.9</v>
      </c>
      <c r="P548" s="11" t="s">
        <v>1466</v>
      </c>
      <c r="Q548" s="4">
        <v>2.5000000000000001E-2</v>
      </c>
      <c r="R548" s="3">
        <v>5194.2149999999992</v>
      </c>
      <c r="S548" s="3">
        <v>4406.04</v>
      </c>
      <c r="T548" s="4">
        <v>0.151740927166088</v>
      </c>
      <c r="U548" s="11" t="s">
        <v>654</v>
      </c>
      <c r="V548" s="3">
        <v>788.17499999999927</v>
      </c>
      <c r="W548" s="11" t="s">
        <v>1435</v>
      </c>
      <c r="X548" t="str">
        <f>TEXT(Table1_1[[#This Row],[OrderDate]],"mm yyyy")</f>
        <v>06 2023</v>
      </c>
      <c r="Y548" s="13">
        <f>DATE(YEAR(Table1_1[[#This Row],[OrderDate]]),MONTH(B548),1)</f>
        <v>45078</v>
      </c>
      <c r="Z548" s="2">
        <f t="shared" si="8"/>
        <v>44958</v>
      </c>
      <c r="AA548">
        <f>(YEAR(Table1_1[[#This Row],[OrderMonth]])-YEAR(Table1_1[[#This Row],[Firstmonth]]))*12+(MONTH(Table1_1[[#This Row],[OrderMonth]])-MONTH(Table1_1[[#This Row],[Firstmonth]]))</f>
        <v>4</v>
      </c>
    </row>
    <row r="549" spans="1:27" x14ac:dyDescent="0.25">
      <c r="A549" s="11" t="s">
        <v>217</v>
      </c>
      <c r="B549" s="2">
        <v>45678</v>
      </c>
      <c r="C549" s="2">
        <v>45702</v>
      </c>
      <c r="D549" s="11" t="s">
        <v>1413</v>
      </c>
      <c r="E549">
        <v>24</v>
      </c>
      <c r="F549" s="11" t="s">
        <v>1485</v>
      </c>
      <c r="G549" s="11" t="s">
        <v>1449</v>
      </c>
      <c r="H549" s="11" t="s">
        <v>1486</v>
      </c>
      <c r="I549" s="11" t="s">
        <v>646</v>
      </c>
      <c r="J549" s="11" t="s">
        <v>648</v>
      </c>
      <c r="K549" s="11" t="s">
        <v>674</v>
      </c>
      <c r="L549" s="11" t="s">
        <v>882</v>
      </c>
      <c r="M549" s="10">
        <v>8</v>
      </c>
      <c r="N549">
        <v>1030.44</v>
      </c>
      <c r="O549" s="3">
        <v>2562.84</v>
      </c>
      <c r="P549" s="11" t="s">
        <v>1471</v>
      </c>
      <c r="Q549" s="4">
        <v>0.14799999999999999</v>
      </c>
      <c r="R549" s="3">
        <v>17468.317439999999</v>
      </c>
      <c r="S549" s="3">
        <v>8243.52</v>
      </c>
      <c r="T549" s="4">
        <v>0.52808734852026995</v>
      </c>
      <c r="U549" s="11" t="s">
        <v>654</v>
      </c>
      <c r="V549" s="3">
        <v>9224.7974399999985</v>
      </c>
      <c r="W549" s="11" t="s">
        <v>1434</v>
      </c>
      <c r="X549" t="str">
        <f>TEXT(Table1_1[[#This Row],[OrderDate]],"mm yyyy")</f>
        <v>01 2025</v>
      </c>
      <c r="Y549" s="13">
        <f>DATE(YEAR(Table1_1[[#This Row],[OrderDate]]),MONTH(B549),1)</f>
        <v>45658</v>
      </c>
      <c r="Z549" s="2">
        <f t="shared" si="8"/>
        <v>44927</v>
      </c>
      <c r="AA549">
        <f>(YEAR(Table1_1[[#This Row],[OrderMonth]])-YEAR(Table1_1[[#This Row],[Firstmonth]]))*12+(MONTH(Table1_1[[#This Row],[OrderMonth]])-MONTH(Table1_1[[#This Row],[Firstmonth]]))</f>
        <v>24</v>
      </c>
    </row>
    <row r="550" spans="1:27" x14ac:dyDescent="0.25">
      <c r="A550" s="11" t="s">
        <v>119</v>
      </c>
      <c r="B550" s="2">
        <v>45581</v>
      </c>
      <c r="C550" s="2">
        <v>45604</v>
      </c>
      <c r="D550" s="11" t="s">
        <v>1413</v>
      </c>
      <c r="E550">
        <v>23</v>
      </c>
      <c r="F550" s="11" t="s">
        <v>1476</v>
      </c>
      <c r="G550" s="11" t="s">
        <v>1451</v>
      </c>
      <c r="H550" s="11" t="s">
        <v>1487</v>
      </c>
      <c r="I550" s="11" t="s">
        <v>646</v>
      </c>
      <c r="J550" s="11" t="s">
        <v>648</v>
      </c>
      <c r="K550" s="11" t="s">
        <v>670</v>
      </c>
      <c r="L550" s="11" t="s">
        <v>783</v>
      </c>
      <c r="M550" s="10">
        <v>29</v>
      </c>
      <c r="N550">
        <v>82.14</v>
      </c>
      <c r="O550" s="3">
        <v>166.04</v>
      </c>
      <c r="P550" s="11" t="s">
        <v>1468</v>
      </c>
      <c r="Q550" s="4">
        <v>0</v>
      </c>
      <c r="R550" s="3">
        <v>4815.16</v>
      </c>
      <c r="S550" s="3">
        <v>2382.06</v>
      </c>
      <c r="T550" s="4">
        <v>0.50529992772825805</v>
      </c>
      <c r="U550" s="11" t="s">
        <v>654</v>
      </c>
      <c r="V550" s="3">
        <v>2433.1</v>
      </c>
      <c r="W550" s="11" t="s">
        <v>1440</v>
      </c>
      <c r="X550" t="str">
        <f>TEXT(Table1_1[[#This Row],[OrderDate]],"mm yyyy")</f>
        <v>10 2024</v>
      </c>
      <c r="Y550" s="13">
        <f>DATE(YEAR(Table1_1[[#This Row],[OrderDate]]),MONTH(B550),1)</f>
        <v>45566</v>
      </c>
      <c r="Z550" s="2">
        <f t="shared" si="8"/>
        <v>45017</v>
      </c>
      <c r="AA550">
        <f>(YEAR(Table1_1[[#This Row],[OrderMonth]])-YEAR(Table1_1[[#This Row],[Firstmonth]]))*12+(MONTH(Table1_1[[#This Row],[OrderMonth]])-MONTH(Table1_1[[#This Row],[Firstmonth]]))</f>
        <v>18</v>
      </c>
    </row>
    <row r="551" spans="1:27" x14ac:dyDescent="0.25">
      <c r="A551" s="11" t="s">
        <v>175</v>
      </c>
      <c r="B551" s="2">
        <v>45447</v>
      </c>
      <c r="C551" s="2">
        <v>45459</v>
      </c>
      <c r="D551" s="11" t="s">
        <v>1413</v>
      </c>
      <c r="E551">
        <v>12</v>
      </c>
      <c r="F551" s="11" t="s">
        <v>1476</v>
      </c>
      <c r="G551" s="11" t="s">
        <v>1457</v>
      </c>
      <c r="H551" s="11" t="s">
        <v>1511</v>
      </c>
      <c r="I551" s="11" t="s">
        <v>642</v>
      </c>
      <c r="J551" s="11" t="s">
        <v>648</v>
      </c>
      <c r="K551" s="11" t="s">
        <v>669</v>
      </c>
      <c r="L551" s="11" t="s">
        <v>839</v>
      </c>
      <c r="M551" s="10">
        <v>12</v>
      </c>
      <c r="N551">
        <v>918.42</v>
      </c>
      <c r="O551" s="3">
        <v>1511.71</v>
      </c>
      <c r="P551" s="11" t="s">
        <v>1466</v>
      </c>
      <c r="Q551" s="4">
        <v>0.02</v>
      </c>
      <c r="R551" s="3">
        <v>17777.709599999998</v>
      </c>
      <c r="S551" s="3">
        <v>11021.039999999999</v>
      </c>
      <c r="T551" s="4">
        <v>0.38006412254590999</v>
      </c>
      <c r="U551" s="11" t="s">
        <v>654</v>
      </c>
      <c r="V551" s="3">
        <v>6756.6695999999993</v>
      </c>
      <c r="W551" s="11" t="s">
        <v>1436</v>
      </c>
      <c r="X551" t="str">
        <f>TEXT(Table1_1[[#This Row],[OrderDate]],"mm yyyy")</f>
        <v>06 2024</v>
      </c>
      <c r="Y551" s="13">
        <f>DATE(YEAR(Table1_1[[#This Row],[OrderDate]]),MONTH(B551),1)</f>
        <v>45444</v>
      </c>
      <c r="Z551" s="2">
        <f t="shared" si="8"/>
        <v>44927</v>
      </c>
      <c r="AA551">
        <f>(YEAR(Table1_1[[#This Row],[OrderMonth]])-YEAR(Table1_1[[#This Row],[Firstmonth]]))*12+(MONTH(Table1_1[[#This Row],[OrderMonth]])-MONTH(Table1_1[[#This Row],[Firstmonth]]))</f>
        <v>17</v>
      </c>
    </row>
    <row r="552" spans="1:27" x14ac:dyDescent="0.25">
      <c r="A552" s="11" t="s">
        <v>613</v>
      </c>
      <c r="B552" s="2">
        <v>45793</v>
      </c>
      <c r="C552" s="2">
        <v>45795</v>
      </c>
      <c r="D552" s="11" t="s">
        <v>1413</v>
      </c>
      <c r="E552">
        <v>2</v>
      </c>
      <c r="F552" s="11" t="s">
        <v>1476</v>
      </c>
      <c r="G552" s="11" t="s">
        <v>1451</v>
      </c>
      <c r="H552" s="11" t="s">
        <v>1510</v>
      </c>
      <c r="I552" s="11" t="s">
        <v>647</v>
      </c>
      <c r="J552" s="11" t="s">
        <v>648</v>
      </c>
      <c r="K552" s="11" t="s">
        <v>669</v>
      </c>
      <c r="L552" s="11" t="s">
        <v>1276</v>
      </c>
      <c r="M552" s="10">
        <v>15</v>
      </c>
      <c r="N552">
        <v>1144.3800000000001</v>
      </c>
      <c r="O552" s="3">
        <v>2755.04</v>
      </c>
      <c r="P552" s="11" t="s">
        <v>1471</v>
      </c>
      <c r="Q552" s="4">
        <v>0.15</v>
      </c>
      <c r="R552" s="3">
        <v>35126.759999999995</v>
      </c>
      <c r="S552" s="3">
        <v>17165.7</v>
      </c>
      <c r="T552" s="4">
        <v>0.51132128326096704</v>
      </c>
      <c r="U552" s="11" t="s">
        <v>654</v>
      </c>
      <c r="V552" s="3">
        <v>17961.059999999994</v>
      </c>
      <c r="W552" s="11" t="s">
        <v>1431</v>
      </c>
      <c r="X552" t="str">
        <f>TEXT(Table1_1[[#This Row],[OrderDate]],"mm yyyy")</f>
        <v>05 2025</v>
      </c>
      <c r="Y552" s="13">
        <f>DATE(YEAR(Table1_1[[#This Row],[OrderDate]]),MONTH(B552),1)</f>
        <v>45778</v>
      </c>
      <c r="Z552" s="2">
        <f t="shared" si="8"/>
        <v>45017</v>
      </c>
      <c r="AA552">
        <f>(YEAR(Table1_1[[#This Row],[OrderMonth]])-YEAR(Table1_1[[#This Row],[Firstmonth]]))*12+(MONTH(Table1_1[[#This Row],[OrderMonth]])-MONTH(Table1_1[[#This Row],[Firstmonth]]))</f>
        <v>25</v>
      </c>
    </row>
    <row r="553" spans="1:27" x14ac:dyDescent="0.25">
      <c r="A553" s="11" t="s">
        <v>152</v>
      </c>
      <c r="B553" s="2">
        <v>45649</v>
      </c>
      <c r="C553" s="2">
        <v>45668</v>
      </c>
      <c r="D553" s="11" t="s">
        <v>1413</v>
      </c>
      <c r="E553">
        <v>19</v>
      </c>
      <c r="F553" s="11" t="s">
        <v>1464</v>
      </c>
      <c r="G553" s="11" t="s">
        <v>1455</v>
      </c>
      <c r="H553" s="11" t="s">
        <v>1465</v>
      </c>
      <c r="I553" s="11" t="s">
        <v>643</v>
      </c>
      <c r="J553" s="11" t="s">
        <v>648</v>
      </c>
      <c r="K553" s="11" t="s">
        <v>671</v>
      </c>
      <c r="L553" s="11" t="s">
        <v>816</v>
      </c>
      <c r="M553" s="10">
        <v>11</v>
      </c>
      <c r="N553">
        <v>501.81</v>
      </c>
      <c r="O553" s="3">
        <v>921.62</v>
      </c>
      <c r="P553" s="11" t="s">
        <v>1466</v>
      </c>
      <c r="Q553" s="4">
        <v>0.01</v>
      </c>
      <c r="R553" s="3">
        <v>10036.441800000001</v>
      </c>
      <c r="S553" s="3">
        <v>5519.91</v>
      </c>
      <c r="T553" s="4">
        <v>0.45001325071201997</v>
      </c>
      <c r="U553" s="11" t="s">
        <v>664</v>
      </c>
      <c r="V553" s="3">
        <v>4516.5318000000007</v>
      </c>
      <c r="W553" s="11" t="s">
        <v>1440</v>
      </c>
      <c r="X553" t="str">
        <f>TEXT(Table1_1[[#This Row],[OrderDate]],"mm yyyy")</f>
        <v>12 2024</v>
      </c>
      <c r="Y553" s="13">
        <f>DATE(YEAR(Table1_1[[#This Row],[OrderDate]]),MONTH(B553),1)</f>
        <v>45627</v>
      </c>
      <c r="Z553" s="2">
        <f t="shared" si="8"/>
        <v>44927</v>
      </c>
      <c r="AA553">
        <f>(YEAR(Table1_1[[#This Row],[OrderMonth]])-YEAR(Table1_1[[#This Row],[Firstmonth]]))*12+(MONTH(Table1_1[[#This Row],[OrderMonth]])-MONTH(Table1_1[[#This Row],[Firstmonth]]))</f>
        <v>23</v>
      </c>
    </row>
    <row r="554" spans="1:27" x14ac:dyDescent="0.25">
      <c r="A554" s="11" t="s">
        <v>25</v>
      </c>
      <c r="B554" s="2">
        <v>45901</v>
      </c>
      <c r="C554" s="2">
        <v>45930</v>
      </c>
      <c r="D554" s="11" t="s">
        <v>1413</v>
      </c>
      <c r="E554">
        <v>29</v>
      </c>
      <c r="F554" s="11" t="s">
        <v>1473</v>
      </c>
      <c r="G554" s="11" t="s">
        <v>1454</v>
      </c>
      <c r="H554" s="11" t="s">
        <v>1478</v>
      </c>
      <c r="I554" s="11" t="s">
        <v>643</v>
      </c>
      <c r="J554" s="11" t="s">
        <v>648</v>
      </c>
      <c r="K554" s="11" t="s">
        <v>674</v>
      </c>
      <c r="L554" s="11" t="s">
        <v>689</v>
      </c>
      <c r="M554" s="10">
        <v>11</v>
      </c>
      <c r="N554">
        <v>780.59</v>
      </c>
      <c r="O554" s="3">
        <v>631.57000000000005</v>
      </c>
      <c r="P554" s="11" t="s">
        <v>1468</v>
      </c>
      <c r="Q554" s="4">
        <v>0</v>
      </c>
      <c r="R554" s="3">
        <v>6947.27</v>
      </c>
      <c r="S554" s="3">
        <v>8586.49</v>
      </c>
      <c r="T554" s="4">
        <v>-0.235951675982076</v>
      </c>
      <c r="U554" s="11" t="s">
        <v>664</v>
      </c>
      <c r="V554" s="3">
        <v>-1639.2199999999993</v>
      </c>
      <c r="W554" s="11" t="s">
        <v>1438</v>
      </c>
      <c r="X554" t="str">
        <f>TEXT(Table1_1[[#This Row],[OrderDate]],"mm yyyy")</f>
        <v>09 2025</v>
      </c>
      <c r="Y554" s="13">
        <f>DATE(YEAR(Table1_1[[#This Row],[OrderDate]]),MONTH(B554),1)</f>
        <v>45901</v>
      </c>
      <c r="Z554" s="2">
        <f t="shared" si="8"/>
        <v>45901</v>
      </c>
      <c r="AA554">
        <f>(YEAR(Table1_1[[#This Row],[OrderMonth]])-YEAR(Table1_1[[#This Row],[Firstmonth]]))*12+(MONTH(Table1_1[[#This Row],[OrderMonth]])-MONTH(Table1_1[[#This Row],[Firstmonth]]))</f>
        <v>0</v>
      </c>
    </row>
    <row r="555" spans="1:27" x14ac:dyDescent="0.25">
      <c r="A555" s="11" t="s">
        <v>471</v>
      </c>
      <c r="B555" s="2">
        <v>45063</v>
      </c>
      <c r="C555" s="2">
        <v>45092</v>
      </c>
      <c r="D555" s="11" t="s">
        <v>1413</v>
      </c>
      <c r="E555">
        <v>29</v>
      </c>
      <c r="F555" s="11" t="s">
        <v>1485</v>
      </c>
      <c r="G555" s="11" t="s">
        <v>1490</v>
      </c>
      <c r="H555" s="11" t="s">
        <v>1515</v>
      </c>
      <c r="I555" s="11" t="s">
        <v>647</v>
      </c>
      <c r="J555" s="11" t="s">
        <v>648</v>
      </c>
      <c r="K555" s="11" t="s">
        <v>674</v>
      </c>
      <c r="L555" s="11" t="s">
        <v>1135</v>
      </c>
      <c r="M555" s="10">
        <v>22</v>
      </c>
      <c r="N555">
        <v>40.89</v>
      </c>
      <c r="O555" s="3">
        <v>62.82</v>
      </c>
      <c r="P555" s="11" t="s">
        <v>1468</v>
      </c>
      <c r="Q555" s="4">
        <v>0.129</v>
      </c>
      <c r="R555" s="3">
        <v>1203.75684</v>
      </c>
      <c r="S555" s="3">
        <v>899.58</v>
      </c>
      <c r="T555" s="4">
        <v>0.25268960465470702</v>
      </c>
      <c r="U555" s="11" t="s">
        <v>664</v>
      </c>
      <c r="V555" s="3">
        <v>304.17683999999997</v>
      </c>
      <c r="W555" s="11" t="s">
        <v>1435</v>
      </c>
      <c r="X555" t="str">
        <f>TEXT(Table1_1[[#This Row],[OrderDate]],"mm yyyy")</f>
        <v>05 2023</v>
      </c>
      <c r="Y555" s="13">
        <f>DATE(YEAR(Table1_1[[#This Row],[OrderDate]]),MONTH(B555),1)</f>
        <v>45047</v>
      </c>
      <c r="Z555" s="2">
        <f t="shared" si="8"/>
        <v>44958</v>
      </c>
      <c r="AA555">
        <f>(YEAR(Table1_1[[#This Row],[OrderMonth]])-YEAR(Table1_1[[#This Row],[Firstmonth]]))*12+(MONTH(Table1_1[[#This Row],[OrderMonth]])-MONTH(Table1_1[[#This Row],[Firstmonth]]))</f>
        <v>3</v>
      </c>
    </row>
    <row r="556" spans="1:27" x14ac:dyDescent="0.25">
      <c r="A556" s="11" t="s">
        <v>75</v>
      </c>
      <c r="B556" s="2">
        <v>44972</v>
      </c>
      <c r="C556" s="2">
        <v>44983</v>
      </c>
      <c r="D556" s="11" t="s">
        <v>1413</v>
      </c>
      <c r="E556">
        <v>11</v>
      </c>
      <c r="F556" s="11" t="s">
        <v>1485</v>
      </c>
      <c r="G556" s="11" t="s">
        <v>1490</v>
      </c>
      <c r="H556" s="11" t="s">
        <v>1491</v>
      </c>
      <c r="I556" s="11" t="s">
        <v>644</v>
      </c>
      <c r="J556" s="11" t="s">
        <v>648</v>
      </c>
      <c r="K556" s="11" t="s">
        <v>672</v>
      </c>
      <c r="L556" s="11" t="s">
        <v>739</v>
      </c>
      <c r="M556" s="10">
        <v>12</v>
      </c>
      <c r="N556">
        <v>498.5</v>
      </c>
      <c r="O556" s="3">
        <v>755.87</v>
      </c>
      <c r="P556" s="11" t="s">
        <v>1468</v>
      </c>
      <c r="Q556" s="4">
        <v>0.13</v>
      </c>
      <c r="R556" s="3">
        <v>7891.2828</v>
      </c>
      <c r="S556" s="3">
        <v>5982</v>
      </c>
      <c r="T556" s="4">
        <v>0.24194834330357501</v>
      </c>
      <c r="U556" s="11" t="s">
        <v>664</v>
      </c>
      <c r="V556" s="3">
        <v>1909.2828</v>
      </c>
      <c r="W556" s="11" t="s">
        <v>1432</v>
      </c>
      <c r="X556" t="str">
        <f>TEXT(Table1_1[[#This Row],[OrderDate]],"mm yyyy")</f>
        <v>02 2023</v>
      </c>
      <c r="Y556" s="13">
        <f>DATE(YEAR(Table1_1[[#This Row],[OrderDate]]),MONTH(B556),1)</f>
        <v>44958</v>
      </c>
      <c r="Z556" s="2">
        <f t="shared" si="8"/>
        <v>44958</v>
      </c>
      <c r="AA556">
        <f>(YEAR(Table1_1[[#This Row],[OrderMonth]])-YEAR(Table1_1[[#This Row],[Firstmonth]]))*12+(MONTH(Table1_1[[#This Row],[OrderMonth]])-MONTH(Table1_1[[#This Row],[Firstmonth]]))</f>
        <v>0</v>
      </c>
    </row>
    <row r="557" spans="1:27" x14ac:dyDescent="0.25">
      <c r="A557" s="11" t="s">
        <v>605</v>
      </c>
      <c r="B557" s="2">
        <v>45473</v>
      </c>
      <c r="C557" s="2">
        <v>45494</v>
      </c>
      <c r="D557" s="11" t="s">
        <v>1413</v>
      </c>
      <c r="E557">
        <v>21</v>
      </c>
      <c r="F557" s="11" t="s">
        <v>1485</v>
      </c>
      <c r="G557" s="11" t="s">
        <v>1449</v>
      </c>
      <c r="H557" s="11" t="s">
        <v>1512</v>
      </c>
      <c r="I557" s="11" t="s">
        <v>646</v>
      </c>
      <c r="J557" s="11" t="s">
        <v>648</v>
      </c>
      <c r="K557" s="11" t="s">
        <v>672</v>
      </c>
      <c r="L557" s="11" t="s">
        <v>1268</v>
      </c>
      <c r="M557" s="10">
        <v>13</v>
      </c>
      <c r="N557">
        <v>753.43</v>
      </c>
      <c r="O557" s="3">
        <v>1787.2</v>
      </c>
      <c r="P557" s="11" t="s">
        <v>1471</v>
      </c>
      <c r="Q557" s="4">
        <v>7.2999999999999995E-2</v>
      </c>
      <c r="R557" s="3">
        <v>21537.547200000005</v>
      </c>
      <c r="S557" s="3">
        <v>9794.59</v>
      </c>
      <c r="T557" s="4">
        <v>0.54523187301476905</v>
      </c>
      <c r="U557" s="11" t="s">
        <v>664</v>
      </c>
      <c r="V557" s="3">
        <v>11742.957200000004</v>
      </c>
      <c r="W557" s="11" t="s">
        <v>1436</v>
      </c>
      <c r="X557" t="str">
        <f>TEXT(Table1_1[[#This Row],[OrderDate]],"mm yyyy")</f>
        <v>06 2024</v>
      </c>
      <c r="Y557" s="13">
        <f>DATE(YEAR(Table1_1[[#This Row],[OrderDate]]),MONTH(B557),1)</f>
        <v>45444</v>
      </c>
      <c r="Z557" s="2">
        <f t="shared" si="8"/>
        <v>44927</v>
      </c>
      <c r="AA557">
        <f>(YEAR(Table1_1[[#This Row],[OrderMonth]])-YEAR(Table1_1[[#This Row],[Firstmonth]]))*12+(MONTH(Table1_1[[#This Row],[OrderMonth]])-MONTH(Table1_1[[#This Row],[Firstmonth]]))</f>
        <v>17</v>
      </c>
    </row>
    <row r="558" spans="1:27" x14ac:dyDescent="0.25">
      <c r="A558" s="11" t="s">
        <v>27</v>
      </c>
      <c r="B558" s="2">
        <v>45636</v>
      </c>
      <c r="C558" s="2">
        <v>45665</v>
      </c>
      <c r="D558" s="11" t="s">
        <v>1413</v>
      </c>
      <c r="E558">
        <v>29</v>
      </c>
      <c r="F558" s="11" t="s">
        <v>1464</v>
      </c>
      <c r="G558" s="11" t="s">
        <v>1456</v>
      </c>
      <c r="H558" s="11" t="s">
        <v>1472</v>
      </c>
      <c r="I558" s="11" t="s">
        <v>646</v>
      </c>
      <c r="J558" s="11" t="s">
        <v>648</v>
      </c>
      <c r="K558" s="11" t="s">
        <v>669</v>
      </c>
      <c r="L558" s="11" t="s">
        <v>691</v>
      </c>
      <c r="M558" s="10">
        <v>18</v>
      </c>
      <c r="N558">
        <v>891.08</v>
      </c>
      <c r="O558" s="3">
        <v>1040.0999999999999</v>
      </c>
      <c r="P558" s="11" t="s">
        <v>1466</v>
      </c>
      <c r="Q558" s="4">
        <v>0.109</v>
      </c>
      <c r="R558" s="3">
        <v>16681.123800000001</v>
      </c>
      <c r="S558" s="3">
        <v>16039.44</v>
      </c>
      <c r="T558" s="4">
        <v>3.8467660074556903E-2</v>
      </c>
      <c r="U558" s="11" t="s">
        <v>664</v>
      </c>
      <c r="V558" s="3">
        <v>641.6838000000007</v>
      </c>
      <c r="W558" s="11" t="s">
        <v>1440</v>
      </c>
      <c r="X558" t="str">
        <f>TEXT(Table1_1[[#This Row],[OrderDate]],"mm yyyy")</f>
        <v>12 2024</v>
      </c>
      <c r="Y558" s="13">
        <f>DATE(YEAR(Table1_1[[#This Row],[OrderDate]]),MONTH(B558),1)</f>
        <v>45627</v>
      </c>
      <c r="Z558" s="2">
        <f t="shared" si="8"/>
        <v>44958</v>
      </c>
      <c r="AA558">
        <f>(YEAR(Table1_1[[#This Row],[OrderMonth]])-YEAR(Table1_1[[#This Row],[Firstmonth]]))*12+(MONTH(Table1_1[[#This Row],[OrderMonth]])-MONTH(Table1_1[[#This Row],[Firstmonth]]))</f>
        <v>22</v>
      </c>
    </row>
    <row r="559" spans="1:27" x14ac:dyDescent="0.25">
      <c r="A559" s="11" t="s">
        <v>229</v>
      </c>
      <c r="B559" s="2">
        <v>45554</v>
      </c>
      <c r="C559" s="2">
        <v>45579</v>
      </c>
      <c r="D559" s="11" t="s">
        <v>1413</v>
      </c>
      <c r="E559">
        <v>25</v>
      </c>
      <c r="F559" s="11" t="s">
        <v>1473</v>
      </c>
      <c r="G559" s="11" t="s">
        <v>1505</v>
      </c>
      <c r="H559" s="11" t="s">
        <v>1506</v>
      </c>
      <c r="I559" s="11" t="s">
        <v>646</v>
      </c>
      <c r="J559" s="11" t="s">
        <v>648</v>
      </c>
      <c r="K559" s="11" t="s">
        <v>669</v>
      </c>
      <c r="L559" s="11" t="s">
        <v>894</v>
      </c>
      <c r="M559" s="10">
        <v>27</v>
      </c>
      <c r="N559">
        <v>386.96</v>
      </c>
      <c r="O559" s="3">
        <v>937.46</v>
      </c>
      <c r="P559" s="11" t="s">
        <v>1466</v>
      </c>
      <c r="Q559" s="4">
        <v>0.26600000000000001</v>
      </c>
      <c r="R559" s="3">
        <v>18578.582280000002</v>
      </c>
      <c r="S559" s="3">
        <v>10447.92</v>
      </c>
      <c r="T559" s="4">
        <v>0.43763631462626301</v>
      </c>
      <c r="U559" s="11" t="s">
        <v>664</v>
      </c>
      <c r="V559" s="3">
        <v>8130.6622800000023</v>
      </c>
      <c r="W559" s="11" t="s">
        <v>1437</v>
      </c>
      <c r="X559" t="str">
        <f>TEXT(Table1_1[[#This Row],[OrderDate]],"mm yyyy")</f>
        <v>09 2024</v>
      </c>
      <c r="Y559" s="13">
        <f>DATE(YEAR(Table1_1[[#This Row],[OrderDate]]),MONTH(B559),1)</f>
        <v>45536</v>
      </c>
      <c r="Z559" s="2">
        <f t="shared" si="8"/>
        <v>45047</v>
      </c>
      <c r="AA559">
        <f>(YEAR(Table1_1[[#This Row],[OrderMonth]])-YEAR(Table1_1[[#This Row],[Firstmonth]]))*12+(MONTH(Table1_1[[#This Row],[OrderMonth]])-MONTH(Table1_1[[#This Row],[Firstmonth]]))</f>
        <v>16</v>
      </c>
    </row>
    <row r="560" spans="1:27" x14ac:dyDescent="0.25">
      <c r="A560" s="11" t="s">
        <v>97</v>
      </c>
      <c r="B560" s="2">
        <v>45388</v>
      </c>
      <c r="C560" s="2">
        <v>45407</v>
      </c>
      <c r="D560" s="11" t="s">
        <v>1413</v>
      </c>
      <c r="E560">
        <v>19</v>
      </c>
      <c r="F560" s="11" t="s">
        <v>1476</v>
      </c>
      <c r="G560" s="11" t="s">
        <v>1457</v>
      </c>
      <c r="H560" s="11" t="s">
        <v>1511</v>
      </c>
      <c r="I560" s="11" t="s">
        <v>642</v>
      </c>
      <c r="J560" s="11" t="s">
        <v>648</v>
      </c>
      <c r="K560" s="11" t="s">
        <v>668</v>
      </c>
      <c r="L560" s="11" t="s">
        <v>761</v>
      </c>
      <c r="M560" s="10">
        <v>9</v>
      </c>
      <c r="N560">
        <v>1366.48</v>
      </c>
      <c r="O560" s="3">
        <v>1678.14</v>
      </c>
      <c r="P560" s="11" t="s">
        <v>1471</v>
      </c>
      <c r="Q560" s="4">
        <v>0.154</v>
      </c>
      <c r="R560" s="3">
        <v>12777.357959999999</v>
      </c>
      <c r="S560" s="3">
        <v>12298.32</v>
      </c>
      <c r="T560" s="4">
        <v>3.7491159087790001E-2</v>
      </c>
      <c r="U560" s="11" t="s">
        <v>664</v>
      </c>
      <c r="V560" s="3">
        <v>479.03795999999966</v>
      </c>
      <c r="W560" s="11" t="s">
        <v>1436</v>
      </c>
      <c r="X560" t="str">
        <f>TEXT(Table1_1[[#This Row],[OrderDate]],"mm yyyy")</f>
        <v>04 2024</v>
      </c>
      <c r="Y560" s="13">
        <f>DATE(YEAR(Table1_1[[#This Row],[OrderDate]]),MONTH(B560),1)</f>
        <v>45383</v>
      </c>
      <c r="Z560" s="2">
        <f t="shared" si="8"/>
        <v>44927</v>
      </c>
      <c r="AA560">
        <f>(YEAR(Table1_1[[#This Row],[OrderMonth]])-YEAR(Table1_1[[#This Row],[Firstmonth]]))*12+(MONTH(Table1_1[[#This Row],[OrderMonth]])-MONTH(Table1_1[[#This Row],[Firstmonth]]))</f>
        <v>15</v>
      </c>
    </row>
    <row r="561" spans="1:27" x14ac:dyDescent="0.25">
      <c r="A561" s="11" t="s">
        <v>584</v>
      </c>
      <c r="B561" s="2">
        <v>45279</v>
      </c>
      <c r="C561" s="2">
        <v>45292</v>
      </c>
      <c r="D561" s="11" t="s">
        <v>1413</v>
      </c>
      <c r="E561">
        <v>13</v>
      </c>
      <c r="F561" s="11" t="s">
        <v>1473</v>
      </c>
      <c r="G561" s="11" t="s">
        <v>1452</v>
      </c>
      <c r="H561" s="11" t="s">
        <v>1474</v>
      </c>
      <c r="I561" s="11" t="s">
        <v>647</v>
      </c>
      <c r="J561" s="11" t="s">
        <v>648</v>
      </c>
      <c r="K561" s="11" t="s">
        <v>673</v>
      </c>
      <c r="L561" s="11" t="s">
        <v>1247</v>
      </c>
      <c r="M561" s="10">
        <v>9</v>
      </c>
      <c r="N561">
        <v>856.1</v>
      </c>
      <c r="O561" s="3">
        <v>901.48</v>
      </c>
      <c r="P561" s="11" t="s">
        <v>1466</v>
      </c>
      <c r="Q561" s="4">
        <v>5.6000000000000001E-2</v>
      </c>
      <c r="R561" s="3">
        <v>7658.974079999999</v>
      </c>
      <c r="S561" s="3">
        <v>7704.9000000000005</v>
      </c>
      <c r="T561" s="4">
        <v>-5.9963540182135597E-3</v>
      </c>
      <c r="U561" s="11" t="s">
        <v>664</v>
      </c>
      <c r="V561" s="3">
        <v>-45.925920000001497</v>
      </c>
      <c r="W561" s="11" t="s">
        <v>1439</v>
      </c>
      <c r="X561" t="str">
        <f>TEXT(Table1_1[[#This Row],[OrderDate]],"mm yyyy")</f>
        <v>12 2023</v>
      </c>
      <c r="Y561" s="13">
        <f>DATE(YEAR(Table1_1[[#This Row],[OrderDate]]),MONTH(B561),1)</f>
        <v>45261</v>
      </c>
      <c r="Z561" s="2">
        <f t="shared" si="8"/>
        <v>45078</v>
      </c>
      <c r="AA561">
        <f>(YEAR(Table1_1[[#This Row],[OrderMonth]])-YEAR(Table1_1[[#This Row],[Firstmonth]]))*12+(MONTH(Table1_1[[#This Row],[OrderMonth]])-MONTH(Table1_1[[#This Row],[Firstmonth]]))</f>
        <v>6</v>
      </c>
    </row>
    <row r="562" spans="1:27" x14ac:dyDescent="0.25">
      <c r="A562" s="11" t="s">
        <v>510</v>
      </c>
      <c r="B562" s="2">
        <v>45048</v>
      </c>
      <c r="C562" s="2">
        <v>45062</v>
      </c>
      <c r="D562" s="11" t="s">
        <v>1413</v>
      </c>
      <c r="E562">
        <v>14</v>
      </c>
      <c r="F562" s="11" t="s">
        <v>1476</v>
      </c>
      <c r="G562" s="11" t="s">
        <v>1453</v>
      </c>
      <c r="H562" s="11" t="s">
        <v>1497</v>
      </c>
      <c r="I562" s="11" t="s">
        <v>644</v>
      </c>
      <c r="J562" s="11" t="s">
        <v>648</v>
      </c>
      <c r="K562" s="11" t="s">
        <v>673</v>
      </c>
      <c r="L562" s="11" t="s">
        <v>1174</v>
      </c>
      <c r="M562" s="10">
        <v>25</v>
      </c>
      <c r="N562">
        <v>475.37</v>
      </c>
      <c r="O562" s="3">
        <v>963.73</v>
      </c>
      <c r="P562" s="11" t="s">
        <v>1466</v>
      </c>
      <c r="Q562" s="4">
        <v>4.1000000000000002E-2</v>
      </c>
      <c r="R562" s="3">
        <v>23105.426749999999</v>
      </c>
      <c r="S562" s="3">
        <v>11884.25</v>
      </c>
      <c r="T562" s="4">
        <v>0.48565113604750898</v>
      </c>
      <c r="U562" s="11" t="s">
        <v>657</v>
      </c>
      <c r="V562" s="3">
        <v>11221.176749999999</v>
      </c>
      <c r="W562" s="11" t="s">
        <v>1435</v>
      </c>
      <c r="X562" t="str">
        <f>TEXT(Table1_1[[#This Row],[OrderDate]],"mm yyyy")</f>
        <v>05 2023</v>
      </c>
      <c r="Y562" s="13">
        <f>DATE(YEAR(Table1_1[[#This Row],[OrderDate]]),MONTH(B562),1)</f>
        <v>45047</v>
      </c>
      <c r="Z562" s="2">
        <f t="shared" si="8"/>
        <v>45047</v>
      </c>
      <c r="AA562">
        <f>(YEAR(Table1_1[[#This Row],[OrderMonth]])-YEAR(Table1_1[[#This Row],[Firstmonth]]))*12+(MONTH(Table1_1[[#This Row],[OrderMonth]])-MONTH(Table1_1[[#This Row],[Firstmonth]]))</f>
        <v>0</v>
      </c>
    </row>
    <row r="563" spans="1:27" x14ac:dyDescent="0.25">
      <c r="A563" s="11" t="s">
        <v>462</v>
      </c>
      <c r="B563" s="2">
        <v>45413</v>
      </c>
      <c r="C563" s="2">
        <v>45428</v>
      </c>
      <c r="D563" s="11" t="s">
        <v>1413</v>
      </c>
      <c r="E563">
        <v>15</v>
      </c>
      <c r="F563" s="11" t="s">
        <v>1476</v>
      </c>
      <c r="G563" s="11" t="s">
        <v>1453</v>
      </c>
      <c r="H563" s="11" t="s">
        <v>1497</v>
      </c>
      <c r="I563" s="11" t="s">
        <v>646</v>
      </c>
      <c r="J563" s="11" t="s">
        <v>648</v>
      </c>
      <c r="K563" s="11" t="s">
        <v>668</v>
      </c>
      <c r="L563" s="11" t="s">
        <v>1126</v>
      </c>
      <c r="M563" s="10">
        <v>15</v>
      </c>
      <c r="N563">
        <v>901.19</v>
      </c>
      <c r="O563" s="3">
        <v>2125.44</v>
      </c>
      <c r="P563" s="11" t="s">
        <v>1471</v>
      </c>
      <c r="Q563" s="4">
        <v>7.0999999999999994E-2</v>
      </c>
      <c r="R563" s="3">
        <v>29618.006400000002</v>
      </c>
      <c r="S563" s="3">
        <v>13517.85</v>
      </c>
      <c r="T563" s="4">
        <v>0.54359352154100404</v>
      </c>
      <c r="U563" s="11" t="s">
        <v>657</v>
      </c>
      <c r="V563" s="3">
        <v>16100.156400000002</v>
      </c>
      <c r="W563" s="11" t="s">
        <v>1436</v>
      </c>
      <c r="X563" t="str">
        <f>TEXT(Table1_1[[#This Row],[OrderDate]],"mm yyyy")</f>
        <v>05 2024</v>
      </c>
      <c r="Y563" s="13">
        <f>DATE(YEAR(Table1_1[[#This Row],[OrderDate]]),MONTH(B563),1)</f>
        <v>45413</v>
      </c>
      <c r="Z563" s="2">
        <f t="shared" si="8"/>
        <v>45047</v>
      </c>
      <c r="AA563">
        <f>(YEAR(Table1_1[[#This Row],[OrderMonth]])-YEAR(Table1_1[[#This Row],[Firstmonth]]))*12+(MONTH(Table1_1[[#This Row],[OrderMonth]])-MONTH(Table1_1[[#This Row],[Firstmonth]]))</f>
        <v>12</v>
      </c>
    </row>
    <row r="564" spans="1:27" x14ac:dyDescent="0.25">
      <c r="A564" s="11" t="s">
        <v>453</v>
      </c>
      <c r="B564" s="2">
        <v>45526</v>
      </c>
      <c r="C564" s="2">
        <v>45539</v>
      </c>
      <c r="D564" s="11" t="s">
        <v>1413</v>
      </c>
      <c r="E564">
        <v>13</v>
      </c>
      <c r="F564" s="11" t="s">
        <v>1464</v>
      </c>
      <c r="G564" s="11" t="s">
        <v>1455</v>
      </c>
      <c r="H564" s="11" t="s">
        <v>1467</v>
      </c>
      <c r="I564" s="11" t="s">
        <v>644</v>
      </c>
      <c r="J564" s="11" t="s">
        <v>648</v>
      </c>
      <c r="K564" s="11" t="s">
        <v>669</v>
      </c>
      <c r="L564" s="11" t="s">
        <v>1117</v>
      </c>
      <c r="M564" s="10">
        <v>19</v>
      </c>
      <c r="N564">
        <v>90.04</v>
      </c>
      <c r="O564" s="3">
        <v>194.62</v>
      </c>
      <c r="P564" s="11" t="s">
        <v>1468</v>
      </c>
      <c r="Q564" s="4">
        <v>4.2999999999999997E-2</v>
      </c>
      <c r="R564" s="3">
        <v>3538.7754599999998</v>
      </c>
      <c r="S564" s="3">
        <v>1710.7600000000002</v>
      </c>
      <c r="T564" s="4">
        <v>0.51656723650954695</v>
      </c>
      <c r="U564" s="11" t="s">
        <v>657</v>
      </c>
      <c r="V564" s="3">
        <v>1828.0154599999996</v>
      </c>
      <c r="W564" s="11" t="s">
        <v>1437</v>
      </c>
      <c r="X564" t="str">
        <f>TEXT(Table1_1[[#This Row],[OrderDate]],"mm yyyy")</f>
        <v>08 2024</v>
      </c>
      <c r="Y564" s="13">
        <f>DATE(YEAR(Table1_1[[#This Row],[OrderDate]]),MONTH(B564),1)</f>
        <v>45505</v>
      </c>
      <c r="Z564" s="2">
        <f t="shared" si="8"/>
        <v>44927</v>
      </c>
      <c r="AA564">
        <f>(YEAR(Table1_1[[#This Row],[OrderMonth]])-YEAR(Table1_1[[#This Row],[Firstmonth]]))*12+(MONTH(Table1_1[[#This Row],[OrderMonth]])-MONTH(Table1_1[[#This Row],[Firstmonth]]))</f>
        <v>19</v>
      </c>
    </row>
    <row r="565" spans="1:27" x14ac:dyDescent="0.25">
      <c r="A565" s="11" t="s">
        <v>299</v>
      </c>
      <c r="B565" s="2">
        <v>45125</v>
      </c>
      <c r="C565" s="2">
        <v>45148</v>
      </c>
      <c r="D565" s="11" t="s">
        <v>1413</v>
      </c>
      <c r="E565">
        <v>23</v>
      </c>
      <c r="F565" s="11" t="s">
        <v>1485</v>
      </c>
      <c r="G565" s="11" t="s">
        <v>1490</v>
      </c>
      <c r="H565" s="11" t="s">
        <v>1491</v>
      </c>
      <c r="I565" s="11" t="s">
        <v>646</v>
      </c>
      <c r="J565" s="11" t="s">
        <v>648</v>
      </c>
      <c r="K565" s="11" t="s">
        <v>668</v>
      </c>
      <c r="L565" s="11" t="s">
        <v>964</v>
      </c>
      <c r="M565" s="10">
        <v>6</v>
      </c>
      <c r="N565">
        <v>1271.56</v>
      </c>
      <c r="O565" s="3">
        <v>995.47</v>
      </c>
      <c r="P565" s="11" t="s">
        <v>1466</v>
      </c>
      <c r="Q565" s="4">
        <v>0.192</v>
      </c>
      <c r="R565" s="3">
        <v>4826.03856</v>
      </c>
      <c r="S565" s="3">
        <v>7629.36</v>
      </c>
      <c r="T565" s="4">
        <v>-0.58087423155607798</v>
      </c>
      <c r="U565" s="11" t="s">
        <v>657</v>
      </c>
      <c r="V565" s="3">
        <v>-2803.3214399999997</v>
      </c>
      <c r="W565" s="11" t="s">
        <v>1430</v>
      </c>
      <c r="X565" t="str">
        <f>TEXT(Table1_1[[#This Row],[OrderDate]],"mm yyyy")</f>
        <v>07 2023</v>
      </c>
      <c r="Y565" s="13">
        <f>DATE(YEAR(Table1_1[[#This Row],[OrderDate]]),MONTH(B565),1)</f>
        <v>45108</v>
      </c>
      <c r="Z565" s="2">
        <f t="shared" si="8"/>
        <v>45047</v>
      </c>
      <c r="AA565">
        <f>(YEAR(Table1_1[[#This Row],[OrderMonth]])-YEAR(Table1_1[[#This Row],[Firstmonth]]))*12+(MONTH(Table1_1[[#This Row],[OrderMonth]])-MONTH(Table1_1[[#This Row],[Firstmonth]]))</f>
        <v>2</v>
      </c>
    </row>
    <row r="566" spans="1:27" x14ac:dyDescent="0.25">
      <c r="A566" s="11" t="s">
        <v>218</v>
      </c>
      <c r="B566" s="2">
        <v>45545</v>
      </c>
      <c r="C566" s="2">
        <v>45572</v>
      </c>
      <c r="D566" s="11" t="s">
        <v>1413</v>
      </c>
      <c r="E566">
        <v>27</v>
      </c>
      <c r="F566" s="11" t="s">
        <v>1485</v>
      </c>
      <c r="G566" s="11" t="s">
        <v>1449</v>
      </c>
      <c r="H566" s="11" t="s">
        <v>1512</v>
      </c>
      <c r="I566" s="11" t="s">
        <v>645</v>
      </c>
      <c r="J566" s="11" t="s">
        <v>648</v>
      </c>
      <c r="K566" s="11" t="s">
        <v>669</v>
      </c>
      <c r="L566" s="11" t="s">
        <v>883</v>
      </c>
      <c r="M566" s="10">
        <v>15</v>
      </c>
      <c r="N566">
        <v>1248.3900000000001</v>
      </c>
      <c r="O566" s="3">
        <v>1805.11</v>
      </c>
      <c r="P566" s="11" t="s">
        <v>1471</v>
      </c>
      <c r="Q566" s="4">
        <v>0.20300000000000001</v>
      </c>
      <c r="R566" s="3">
        <v>21580.090049999995</v>
      </c>
      <c r="S566" s="3">
        <v>18725.850000000002</v>
      </c>
      <c r="T566" s="4">
        <v>0.132262657078208</v>
      </c>
      <c r="U566" s="11" t="s">
        <v>657</v>
      </c>
      <c r="V566" s="3">
        <v>2854.2400499999931</v>
      </c>
      <c r="W566" s="11" t="s">
        <v>1437</v>
      </c>
      <c r="X566" t="str">
        <f>TEXT(Table1_1[[#This Row],[OrderDate]],"mm yyyy")</f>
        <v>09 2024</v>
      </c>
      <c r="Y566" s="13">
        <f>DATE(YEAR(Table1_1[[#This Row],[OrderDate]]),MONTH(B566),1)</f>
        <v>45536</v>
      </c>
      <c r="Z566" s="2">
        <f t="shared" si="8"/>
        <v>44927</v>
      </c>
      <c r="AA566">
        <f>(YEAR(Table1_1[[#This Row],[OrderMonth]])-YEAR(Table1_1[[#This Row],[Firstmonth]]))*12+(MONTH(Table1_1[[#This Row],[OrderMonth]])-MONTH(Table1_1[[#This Row],[Firstmonth]]))</f>
        <v>20</v>
      </c>
    </row>
    <row r="567" spans="1:27" x14ac:dyDescent="0.25">
      <c r="A567" s="11" t="s">
        <v>77</v>
      </c>
      <c r="B567" s="2">
        <v>45004</v>
      </c>
      <c r="C567" s="2">
        <v>45025</v>
      </c>
      <c r="D567" s="11" t="s">
        <v>1413</v>
      </c>
      <c r="E567">
        <v>21</v>
      </c>
      <c r="F567" s="11" t="s">
        <v>1464</v>
      </c>
      <c r="G567" s="11" t="s">
        <v>1469</v>
      </c>
      <c r="H567" s="11" t="s">
        <v>1482</v>
      </c>
      <c r="I567" s="11" t="s">
        <v>645</v>
      </c>
      <c r="J567" s="11" t="s">
        <v>648</v>
      </c>
      <c r="K567" s="11" t="s">
        <v>674</v>
      </c>
      <c r="L567" s="11" t="s">
        <v>741</v>
      </c>
      <c r="M567" s="10">
        <v>4</v>
      </c>
      <c r="N567">
        <v>1082.17</v>
      </c>
      <c r="O567" s="3">
        <v>1234.0999999999999</v>
      </c>
      <c r="P567" s="11" t="s">
        <v>1466</v>
      </c>
      <c r="Q567" s="4">
        <v>0.189</v>
      </c>
      <c r="R567" s="3">
        <v>4003.4203999999995</v>
      </c>
      <c r="S567" s="3">
        <v>4328.68</v>
      </c>
      <c r="T567" s="4">
        <v>-8.1245427035342294E-2</v>
      </c>
      <c r="U567" s="11" t="s">
        <v>657</v>
      </c>
      <c r="V567" s="3">
        <v>-325.25960000000077</v>
      </c>
      <c r="W567" s="11" t="s">
        <v>1432</v>
      </c>
      <c r="X567" t="str">
        <f>TEXT(Table1_1[[#This Row],[OrderDate]],"mm yyyy")</f>
        <v>03 2023</v>
      </c>
      <c r="Y567" s="13">
        <f>DATE(YEAR(Table1_1[[#This Row],[OrderDate]]),MONTH(B567),1)</f>
        <v>44986</v>
      </c>
      <c r="Z567" s="2">
        <f t="shared" si="8"/>
        <v>44986</v>
      </c>
      <c r="AA567">
        <f>(YEAR(Table1_1[[#This Row],[OrderMonth]])-YEAR(Table1_1[[#This Row],[Firstmonth]]))*12+(MONTH(Table1_1[[#This Row],[OrderMonth]])-MONTH(Table1_1[[#This Row],[Firstmonth]]))</f>
        <v>0</v>
      </c>
    </row>
    <row r="568" spans="1:27" x14ac:dyDescent="0.25">
      <c r="A568" s="11" t="s">
        <v>68</v>
      </c>
      <c r="B568" s="2">
        <v>45643</v>
      </c>
      <c r="C568" s="2">
        <v>45644</v>
      </c>
      <c r="D568" s="11" t="s">
        <v>1413</v>
      </c>
      <c r="E568">
        <v>1</v>
      </c>
      <c r="F568" s="11" t="s">
        <v>1464</v>
      </c>
      <c r="G568" s="11" t="s">
        <v>1455</v>
      </c>
      <c r="H568" s="11" t="s">
        <v>1483</v>
      </c>
      <c r="I568" s="11" t="s">
        <v>643</v>
      </c>
      <c r="J568" s="11" t="s">
        <v>648</v>
      </c>
      <c r="K568" s="11" t="s">
        <v>674</v>
      </c>
      <c r="L568" s="11" t="s">
        <v>732</v>
      </c>
      <c r="M568" s="10">
        <v>13</v>
      </c>
      <c r="N568">
        <v>346.82</v>
      </c>
      <c r="O568" s="3">
        <v>701.95</v>
      </c>
      <c r="P568" s="11" t="s">
        <v>1468</v>
      </c>
      <c r="Q568" s="4">
        <v>0.14699999999999999</v>
      </c>
      <c r="R568" s="3">
        <v>7783.9235500000004</v>
      </c>
      <c r="S568" s="3">
        <v>4508.66</v>
      </c>
      <c r="T568" s="4">
        <v>0.42077283120284498</v>
      </c>
      <c r="U568" s="11" t="s">
        <v>657</v>
      </c>
      <c r="V568" s="3">
        <v>3275.2635500000006</v>
      </c>
      <c r="W568" s="11" t="s">
        <v>1440</v>
      </c>
      <c r="X568" t="str">
        <f>TEXT(Table1_1[[#This Row],[OrderDate]],"mm yyyy")</f>
        <v>12 2024</v>
      </c>
      <c r="Y568" s="13">
        <f>DATE(YEAR(Table1_1[[#This Row],[OrderDate]]),MONTH(B568),1)</f>
        <v>45627</v>
      </c>
      <c r="Z568" s="2">
        <f t="shared" si="8"/>
        <v>44927</v>
      </c>
      <c r="AA568">
        <f>(YEAR(Table1_1[[#This Row],[OrderMonth]])-YEAR(Table1_1[[#This Row],[Firstmonth]]))*12+(MONTH(Table1_1[[#This Row],[OrderMonth]])-MONTH(Table1_1[[#This Row],[Firstmonth]]))</f>
        <v>23</v>
      </c>
    </row>
    <row r="569" spans="1:27" x14ac:dyDescent="0.25">
      <c r="A569" s="11" t="s">
        <v>563</v>
      </c>
      <c r="B569" s="2">
        <v>45704</v>
      </c>
      <c r="C569" s="2">
        <v>45733</v>
      </c>
      <c r="D569" s="11" t="s">
        <v>1413</v>
      </c>
      <c r="E569">
        <v>29</v>
      </c>
      <c r="F569" s="11" t="s">
        <v>1464</v>
      </c>
      <c r="G569" s="11" t="s">
        <v>1455</v>
      </c>
      <c r="H569" s="11" t="s">
        <v>1483</v>
      </c>
      <c r="I569" s="11" t="s">
        <v>645</v>
      </c>
      <c r="J569" s="11" t="s">
        <v>648</v>
      </c>
      <c r="K569" s="11" t="s">
        <v>674</v>
      </c>
      <c r="L569" s="11" t="s">
        <v>1226</v>
      </c>
      <c r="M569" s="10">
        <v>23</v>
      </c>
      <c r="N569">
        <v>730.42</v>
      </c>
      <c r="O569" s="3">
        <v>956.7</v>
      </c>
      <c r="P569" s="11" t="s">
        <v>1466</v>
      </c>
      <c r="Q569" s="4">
        <v>4.2000000000000003E-2</v>
      </c>
      <c r="R569" s="3">
        <v>21079.927800000001</v>
      </c>
      <c r="S569" s="3">
        <v>16799.66</v>
      </c>
      <c r="T569" s="4">
        <v>0.20304945256975701</v>
      </c>
      <c r="U569" s="11" t="s">
        <v>657</v>
      </c>
      <c r="V569" s="3">
        <v>4280.2678000000014</v>
      </c>
      <c r="W569" s="11" t="s">
        <v>1434</v>
      </c>
      <c r="X569" t="str">
        <f>TEXT(Table1_1[[#This Row],[OrderDate]],"mm yyyy")</f>
        <v>02 2025</v>
      </c>
      <c r="Y569" s="13">
        <f>DATE(YEAR(Table1_1[[#This Row],[OrderDate]]),MONTH(B569),1)</f>
        <v>45689</v>
      </c>
      <c r="Z569" s="2">
        <f t="shared" si="8"/>
        <v>44927</v>
      </c>
      <c r="AA569">
        <f>(YEAR(Table1_1[[#This Row],[OrderMonth]])-YEAR(Table1_1[[#This Row],[Firstmonth]]))*12+(MONTH(Table1_1[[#This Row],[OrderMonth]])-MONTH(Table1_1[[#This Row],[Firstmonth]]))</f>
        <v>25</v>
      </c>
    </row>
    <row r="570" spans="1:27" x14ac:dyDescent="0.25">
      <c r="A570" s="11" t="s">
        <v>15</v>
      </c>
      <c r="B570" s="2">
        <v>45266</v>
      </c>
      <c r="C570" s="2">
        <v>45291</v>
      </c>
      <c r="D570" s="11" t="s">
        <v>1413</v>
      </c>
      <c r="E570">
        <v>25</v>
      </c>
      <c r="F570" s="11" t="s">
        <v>1476</v>
      </c>
      <c r="G570" s="11" t="s">
        <v>1451</v>
      </c>
      <c r="H570" s="11" t="s">
        <v>1487</v>
      </c>
      <c r="I570" s="11" t="s">
        <v>645</v>
      </c>
      <c r="J570" s="11" t="s">
        <v>648</v>
      </c>
      <c r="K570" s="11" t="s">
        <v>669</v>
      </c>
      <c r="L570" s="11" t="s">
        <v>679</v>
      </c>
      <c r="M570" s="10">
        <v>17</v>
      </c>
      <c r="N570">
        <v>663.03</v>
      </c>
      <c r="O570" s="3">
        <v>813.51</v>
      </c>
      <c r="P570" s="11" t="s">
        <v>1468</v>
      </c>
      <c r="Q570" s="4">
        <v>0.10199999999999999</v>
      </c>
      <c r="R570" s="3">
        <v>12419.043660000001</v>
      </c>
      <c r="S570" s="3">
        <v>11271.51</v>
      </c>
      <c r="T570" s="4">
        <v>9.2401129379715896E-2</v>
      </c>
      <c r="U570" s="11" t="s">
        <v>657</v>
      </c>
      <c r="V570" s="3">
        <v>1147.533660000001</v>
      </c>
      <c r="W570" s="11" t="s">
        <v>1439</v>
      </c>
      <c r="X570" t="str">
        <f>TEXT(Table1_1[[#This Row],[OrderDate]],"mm yyyy")</f>
        <v>12 2023</v>
      </c>
      <c r="Y570" s="13">
        <f>DATE(YEAR(Table1_1[[#This Row],[OrderDate]]),MONTH(B570),1)</f>
        <v>45261</v>
      </c>
      <c r="Z570" s="2">
        <f t="shared" si="8"/>
        <v>45017</v>
      </c>
      <c r="AA570">
        <f>(YEAR(Table1_1[[#This Row],[OrderMonth]])-YEAR(Table1_1[[#This Row],[Firstmonth]]))*12+(MONTH(Table1_1[[#This Row],[OrderMonth]])-MONTH(Table1_1[[#This Row],[Firstmonth]]))</f>
        <v>8</v>
      </c>
    </row>
    <row r="571" spans="1:27" x14ac:dyDescent="0.25">
      <c r="A571" s="11" t="s">
        <v>125</v>
      </c>
      <c r="B571" s="2">
        <v>45250</v>
      </c>
      <c r="C571" s="2">
        <v>45265</v>
      </c>
      <c r="D571" s="11" t="s">
        <v>1413</v>
      </c>
      <c r="E571">
        <v>15</v>
      </c>
      <c r="F571" s="11" t="s">
        <v>1476</v>
      </c>
      <c r="G571" s="11" t="s">
        <v>1451</v>
      </c>
      <c r="H571" s="11" t="s">
        <v>1510</v>
      </c>
      <c r="I571" s="11" t="s">
        <v>647</v>
      </c>
      <c r="J571" s="11" t="s">
        <v>648</v>
      </c>
      <c r="K571" s="11" t="s">
        <v>670</v>
      </c>
      <c r="L571" s="11" t="s">
        <v>789</v>
      </c>
      <c r="M571" s="10">
        <v>12</v>
      </c>
      <c r="N571">
        <v>354.24</v>
      </c>
      <c r="O571" s="3">
        <v>249.87</v>
      </c>
      <c r="P571" s="11" t="s">
        <v>1468</v>
      </c>
      <c r="Q571" s="4">
        <v>0</v>
      </c>
      <c r="R571" s="3">
        <v>2998.44</v>
      </c>
      <c r="S571" s="3">
        <v>4250.88</v>
      </c>
      <c r="T571" s="4">
        <v>-0.417697202545324</v>
      </c>
      <c r="U571" s="11" t="s">
        <v>657</v>
      </c>
      <c r="V571" s="3">
        <v>-1252.44</v>
      </c>
      <c r="W571" s="11" t="s">
        <v>1439</v>
      </c>
      <c r="X571" t="str">
        <f>TEXT(Table1_1[[#This Row],[OrderDate]],"mm yyyy")</f>
        <v>11 2023</v>
      </c>
      <c r="Y571" s="13">
        <f>DATE(YEAR(Table1_1[[#This Row],[OrderDate]]),MONTH(B571),1)</f>
        <v>45231</v>
      </c>
      <c r="Z571" s="2">
        <f t="shared" si="8"/>
        <v>45017</v>
      </c>
      <c r="AA571">
        <f>(YEAR(Table1_1[[#This Row],[OrderMonth]])-YEAR(Table1_1[[#This Row],[Firstmonth]]))*12+(MONTH(Table1_1[[#This Row],[OrderMonth]])-MONTH(Table1_1[[#This Row],[Firstmonth]]))</f>
        <v>7</v>
      </c>
    </row>
    <row r="572" spans="1:27" x14ac:dyDescent="0.25">
      <c r="A572" s="11" t="s">
        <v>416</v>
      </c>
      <c r="B572" s="2">
        <v>45646</v>
      </c>
      <c r="C572" s="2">
        <v>45671</v>
      </c>
      <c r="D572" s="11" t="s">
        <v>1413</v>
      </c>
      <c r="E572">
        <v>25</v>
      </c>
      <c r="F572" s="11" t="s">
        <v>1476</v>
      </c>
      <c r="G572" s="11" t="s">
        <v>1453</v>
      </c>
      <c r="H572" s="11" t="s">
        <v>1479</v>
      </c>
      <c r="I572" s="11" t="s">
        <v>646</v>
      </c>
      <c r="J572" s="11" t="s">
        <v>648</v>
      </c>
      <c r="K572" s="11" t="s">
        <v>669</v>
      </c>
      <c r="L572" s="11" t="s">
        <v>1080</v>
      </c>
      <c r="M572" s="10">
        <v>12</v>
      </c>
      <c r="N572">
        <v>1361.34</v>
      </c>
      <c r="O572" s="3">
        <v>1737.9</v>
      </c>
      <c r="P572" s="11" t="s">
        <v>1471</v>
      </c>
      <c r="Q572" s="4">
        <v>7.6999999999999999E-2</v>
      </c>
      <c r="R572" s="3">
        <v>19248.980400000004</v>
      </c>
      <c r="S572" s="3">
        <v>16336.079999999998</v>
      </c>
      <c r="T572" s="4">
        <v>0.15132751654731799</v>
      </c>
      <c r="U572" s="11" t="s">
        <v>665</v>
      </c>
      <c r="V572" s="3">
        <v>2912.9004000000059</v>
      </c>
      <c r="W572" s="11" t="s">
        <v>1440</v>
      </c>
      <c r="X572" t="str">
        <f>TEXT(Table1_1[[#This Row],[OrderDate]],"mm yyyy")</f>
        <v>12 2024</v>
      </c>
      <c r="Y572" s="13">
        <f>DATE(YEAR(Table1_1[[#This Row],[OrderDate]]),MONTH(B572),1)</f>
        <v>45627</v>
      </c>
      <c r="Z572" s="2">
        <f t="shared" si="8"/>
        <v>45047</v>
      </c>
      <c r="AA572">
        <f>(YEAR(Table1_1[[#This Row],[OrderMonth]])-YEAR(Table1_1[[#This Row],[Firstmonth]]))*12+(MONTH(Table1_1[[#This Row],[OrderMonth]])-MONTH(Table1_1[[#This Row],[Firstmonth]]))</f>
        <v>19</v>
      </c>
    </row>
    <row r="573" spans="1:27" x14ac:dyDescent="0.25">
      <c r="A573" s="11" t="s">
        <v>213</v>
      </c>
      <c r="B573" s="2">
        <v>44946</v>
      </c>
      <c r="C573" s="2">
        <v>44960</v>
      </c>
      <c r="D573" s="11" t="s">
        <v>1413</v>
      </c>
      <c r="E573">
        <v>14</v>
      </c>
      <c r="F573" s="11" t="s">
        <v>1485</v>
      </c>
      <c r="G573" s="11" t="s">
        <v>1449</v>
      </c>
      <c r="H573" s="11" t="s">
        <v>1512</v>
      </c>
      <c r="I573" s="11" t="s">
        <v>642</v>
      </c>
      <c r="J573" s="11" t="s">
        <v>648</v>
      </c>
      <c r="K573" s="11" t="s">
        <v>670</v>
      </c>
      <c r="L573" s="11" t="s">
        <v>878</v>
      </c>
      <c r="M573" s="10">
        <v>5</v>
      </c>
      <c r="N573">
        <v>884.36</v>
      </c>
      <c r="O573" s="3">
        <v>1545.34</v>
      </c>
      <c r="P573" s="11" t="s">
        <v>1466</v>
      </c>
      <c r="Q573" s="4">
        <v>0.24299999999999999</v>
      </c>
      <c r="R573" s="3">
        <v>5849.1118999999999</v>
      </c>
      <c r="S573" s="3">
        <v>4421.8</v>
      </c>
      <c r="T573" s="4">
        <v>0.24402198562828001</v>
      </c>
      <c r="U573" s="11" t="s">
        <v>665</v>
      </c>
      <c r="V573" s="3">
        <v>1427.3118999999997</v>
      </c>
      <c r="W573" s="11" t="s">
        <v>1432</v>
      </c>
      <c r="X573" t="str">
        <f>TEXT(Table1_1[[#This Row],[OrderDate]],"mm yyyy")</f>
        <v>01 2023</v>
      </c>
      <c r="Y573" s="13">
        <f>DATE(YEAR(Table1_1[[#This Row],[OrderDate]]),MONTH(B573),1)</f>
        <v>44927</v>
      </c>
      <c r="Z573" s="2">
        <f t="shared" si="8"/>
        <v>44927</v>
      </c>
      <c r="AA573">
        <f>(YEAR(Table1_1[[#This Row],[OrderMonth]])-YEAR(Table1_1[[#This Row],[Firstmonth]]))*12+(MONTH(Table1_1[[#This Row],[OrderMonth]])-MONTH(Table1_1[[#This Row],[Firstmonth]]))</f>
        <v>0</v>
      </c>
    </row>
    <row r="574" spans="1:27" x14ac:dyDescent="0.25">
      <c r="A574" s="11" t="s">
        <v>323</v>
      </c>
      <c r="B574" s="2">
        <v>45600</v>
      </c>
      <c r="C574" s="2">
        <v>45601</v>
      </c>
      <c r="D574" s="11" t="s">
        <v>1413</v>
      </c>
      <c r="E574">
        <v>1</v>
      </c>
      <c r="F574" s="11" t="s">
        <v>1464</v>
      </c>
      <c r="G574" s="11" t="s">
        <v>1469</v>
      </c>
      <c r="H574" s="11" t="s">
        <v>1470</v>
      </c>
      <c r="I574" s="11" t="s">
        <v>642</v>
      </c>
      <c r="J574" s="11" t="s">
        <v>648</v>
      </c>
      <c r="K574" s="11" t="s">
        <v>669</v>
      </c>
      <c r="L574" s="11" t="s">
        <v>988</v>
      </c>
      <c r="M574" s="10">
        <v>19</v>
      </c>
      <c r="N574">
        <v>840.68</v>
      </c>
      <c r="O574" s="3">
        <v>1493.53</v>
      </c>
      <c r="P574" s="11" t="s">
        <v>1466</v>
      </c>
      <c r="Q574" s="4">
        <v>0</v>
      </c>
      <c r="R574" s="3">
        <v>28377.07</v>
      </c>
      <c r="S574" s="3">
        <v>15972.919999999998</v>
      </c>
      <c r="T574" s="4">
        <v>0.43711877230453999</v>
      </c>
      <c r="U574" s="11" t="s">
        <v>665</v>
      </c>
      <c r="V574" s="3">
        <v>12404.150000000001</v>
      </c>
      <c r="W574" s="11" t="s">
        <v>1440</v>
      </c>
      <c r="X574" t="str">
        <f>TEXT(Table1_1[[#This Row],[OrderDate]],"mm yyyy")</f>
        <v>11 2024</v>
      </c>
      <c r="Y574" s="13">
        <f>DATE(YEAR(Table1_1[[#This Row],[OrderDate]]),MONTH(B574),1)</f>
        <v>45597</v>
      </c>
      <c r="Z574" s="2">
        <f t="shared" si="8"/>
        <v>45017</v>
      </c>
      <c r="AA574">
        <f>(YEAR(Table1_1[[#This Row],[OrderMonth]])-YEAR(Table1_1[[#This Row],[Firstmonth]]))*12+(MONTH(Table1_1[[#This Row],[OrderMonth]])-MONTH(Table1_1[[#This Row],[Firstmonth]]))</f>
        <v>19</v>
      </c>
    </row>
    <row r="575" spans="1:27" x14ac:dyDescent="0.25">
      <c r="A575" s="11" t="s">
        <v>380</v>
      </c>
      <c r="B575" s="2">
        <v>45286</v>
      </c>
      <c r="C575" s="2">
        <v>45294</v>
      </c>
      <c r="D575" s="11" t="s">
        <v>1413</v>
      </c>
      <c r="E575">
        <v>8</v>
      </c>
      <c r="F575" s="11" t="s">
        <v>1464</v>
      </c>
      <c r="G575" s="11" t="s">
        <v>1456</v>
      </c>
      <c r="H575" s="11" t="s">
        <v>1481</v>
      </c>
      <c r="I575" s="11" t="s">
        <v>646</v>
      </c>
      <c r="J575" s="11" t="s">
        <v>648</v>
      </c>
      <c r="K575" s="11" t="s">
        <v>672</v>
      </c>
      <c r="L575" s="11" t="s">
        <v>1045</v>
      </c>
      <c r="M575" s="10">
        <v>32</v>
      </c>
      <c r="N575">
        <v>492.75</v>
      </c>
      <c r="O575" s="3">
        <v>731.29</v>
      </c>
      <c r="P575" s="11" t="s">
        <v>1468</v>
      </c>
      <c r="Q575" s="4">
        <v>5.8000000000000003E-2</v>
      </c>
      <c r="R575" s="3">
        <v>22044.005759999996</v>
      </c>
      <c r="S575" s="3">
        <v>15768</v>
      </c>
      <c r="T575" s="4">
        <v>0.28470350753528401</v>
      </c>
      <c r="U575" s="11" t="s">
        <v>665</v>
      </c>
      <c r="V575" s="3">
        <v>6276.0057599999964</v>
      </c>
      <c r="W575" s="11" t="s">
        <v>1439</v>
      </c>
      <c r="X575" t="str">
        <f>TEXT(Table1_1[[#This Row],[OrderDate]],"mm yyyy")</f>
        <v>12 2023</v>
      </c>
      <c r="Y575" s="13">
        <f>DATE(YEAR(Table1_1[[#This Row],[OrderDate]]),MONTH(B575),1)</f>
        <v>45261</v>
      </c>
      <c r="Z575" s="2">
        <f t="shared" si="8"/>
        <v>44958</v>
      </c>
      <c r="AA575">
        <f>(YEAR(Table1_1[[#This Row],[OrderMonth]])-YEAR(Table1_1[[#This Row],[Firstmonth]]))*12+(MONTH(Table1_1[[#This Row],[OrderMonth]])-MONTH(Table1_1[[#This Row],[Firstmonth]]))</f>
        <v>10</v>
      </c>
    </row>
    <row r="576" spans="1:27" x14ac:dyDescent="0.25">
      <c r="A576" s="11" t="s">
        <v>246</v>
      </c>
      <c r="B576" s="2">
        <v>45548</v>
      </c>
      <c r="C576" s="2">
        <v>45567</v>
      </c>
      <c r="D576" s="11" t="s">
        <v>1413</v>
      </c>
      <c r="E576">
        <v>19</v>
      </c>
      <c r="F576" s="11" t="s">
        <v>1485</v>
      </c>
      <c r="G576" s="11" t="s">
        <v>1449</v>
      </c>
      <c r="H576" s="11" t="s">
        <v>1503</v>
      </c>
      <c r="I576" s="11" t="s">
        <v>646</v>
      </c>
      <c r="J576" s="11" t="s">
        <v>648</v>
      </c>
      <c r="K576" s="11" t="s">
        <v>671</v>
      </c>
      <c r="L576" s="11" t="s">
        <v>911</v>
      </c>
      <c r="M576" s="10">
        <v>17</v>
      </c>
      <c r="N576">
        <v>1338.99</v>
      </c>
      <c r="O576" s="3">
        <v>1765.76</v>
      </c>
      <c r="P576" s="11" t="s">
        <v>1471</v>
      </c>
      <c r="Q576" s="4">
        <v>0.126</v>
      </c>
      <c r="R576" s="3">
        <v>26235.662079999998</v>
      </c>
      <c r="S576" s="3">
        <v>22762.83</v>
      </c>
      <c r="T576" s="4">
        <v>0.132370666667772</v>
      </c>
      <c r="U576" s="11" t="s">
        <v>665</v>
      </c>
      <c r="V576" s="3">
        <v>3472.8320799999965</v>
      </c>
      <c r="W576" s="11" t="s">
        <v>1437</v>
      </c>
      <c r="X576" t="str">
        <f>TEXT(Table1_1[[#This Row],[OrderDate]],"mm yyyy")</f>
        <v>09 2024</v>
      </c>
      <c r="Y576" s="13">
        <f>DATE(YEAR(Table1_1[[#This Row],[OrderDate]]),MONTH(B576),1)</f>
        <v>45536</v>
      </c>
      <c r="Z576" s="2">
        <f t="shared" si="8"/>
        <v>45017</v>
      </c>
      <c r="AA576">
        <f>(YEAR(Table1_1[[#This Row],[OrderMonth]])-YEAR(Table1_1[[#This Row],[Firstmonth]]))*12+(MONTH(Table1_1[[#This Row],[OrderMonth]])-MONTH(Table1_1[[#This Row],[Firstmonth]]))</f>
        <v>17</v>
      </c>
    </row>
    <row r="577" spans="1:27" x14ac:dyDescent="0.25">
      <c r="A577" s="11" t="s">
        <v>531</v>
      </c>
      <c r="B577" s="2">
        <v>45056</v>
      </c>
      <c r="C577" s="2">
        <v>45073</v>
      </c>
      <c r="D577" s="11" t="s">
        <v>1413</v>
      </c>
      <c r="E577">
        <v>17</v>
      </c>
      <c r="F577" s="11" t="s">
        <v>1476</v>
      </c>
      <c r="G577" s="11" t="s">
        <v>1453</v>
      </c>
      <c r="H577" s="11" t="s">
        <v>1493</v>
      </c>
      <c r="I577" s="11" t="s">
        <v>645</v>
      </c>
      <c r="J577" s="11" t="s">
        <v>648</v>
      </c>
      <c r="K577" s="11" t="s">
        <v>672</v>
      </c>
      <c r="L577" s="11" t="s">
        <v>1195</v>
      </c>
      <c r="M577" s="10">
        <v>5</v>
      </c>
      <c r="N577">
        <v>1286.1600000000001</v>
      </c>
      <c r="O577" s="3">
        <v>3101.11</v>
      </c>
      <c r="P577" s="11" t="s">
        <v>1471</v>
      </c>
      <c r="Q577" s="4">
        <v>0.1</v>
      </c>
      <c r="R577" s="3">
        <v>13954.995000000001</v>
      </c>
      <c r="S577" s="3">
        <v>6430.8</v>
      </c>
      <c r="T577" s="4">
        <v>0.53917575749758395</v>
      </c>
      <c r="U577" s="11" t="s">
        <v>665</v>
      </c>
      <c r="V577" s="3">
        <v>7524.1950000000006</v>
      </c>
      <c r="W577" s="11" t="s">
        <v>1435</v>
      </c>
      <c r="X577" t="str">
        <f>TEXT(Table1_1[[#This Row],[OrderDate]],"mm yyyy")</f>
        <v>05 2023</v>
      </c>
      <c r="Y577" s="13">
        <f>DATE(YEAR(Table1_1[[#This Row],[OrderDate]]),MONTH(B577),1)</f>
        <v>45047</v>
      </c>
      <c r="Z577" s="2">
        <f t="shared" si="8"/>
        <v>45047</v>
      </c>
      <c r="AA577">
        <f>(YEAR(Table1_1[[#This Row],[OrderMonth]])-YEAR(Table1_1[[#This Row],[Firstmonth]]))*12+(MONTH(Table1_1[[#This Row],[OrderMonth]])-MONTH(Table1_1[[#This Row],[Firstmonth]]))</f>
        <v>0</v>
      </c>
    </row>
    <row r="578" spans="1:27" x14ac:dyDescent="0.25">
      <c r="A578" s="11" t="s">
        <v>153</v>
      </c>
      <c r="B578" s="2">
        <v>45133</v>
      </c>
      <c r="C578" s="2">
        <v>45163</v>
      </c>
      <c r="D578" s="11" t="s">
        <v>1413</v>
      </c>
      <c r="E578">
        <v>30</v>
      </c>
      <c r="F578" s="11" t="s">
        <v>1473</v>
      </c>
      <c r="G578" s="11" t="s">
        <v>1516</v>
      </c>
      <c r="H578" s="11" t="s">
        <v>1517</v>
      </c>
      <c r="I578" s="11" t="s">
        <v>645</v>
      </c>
      <c r="J578" s="11" t="s">
        <v>648</v>
      </c>
      <c r="K578" s="11" t="s">
        <v>674</v>
      </c>
      <c r="L578" s="11" t="s">
        <v>817</v>
      </c>
      <c r="M578" s="10">
        <v>15</v>
      </c>
      <c r="N578">
        <v>1261.48</v>
      </c>
      <c r="O578" s="3">
        <v>1643.18</v>
      </c>
      <c r="P578" s="11" t="s">
        <v>1471</v>
      </c>
      <c r="Q578" s="4">
        <v>0.151</v>
      </c>
      <c r="R578" s="3">
        <v>20925.897300000001</v>
      </c>
      <c r="S578" s="3">
        <v>18922.2</v>
      </c>
      <c r="T578" s="4">
        <v>9.5752037357079101E-2</v>
      </c>
      <c r="U578" s="11" t="s">
        <v>665</v>
      </c>
      <c r="V578" s="3">
        <v>2003.6972999999998</v>
      </c>
      <c r="W578" s="11" t="s">
        <v>1430</v>
      </c>
      <c r="X578" t="str">
        <f>TEXT(Table1_1[[#This Row],[OrderDate]],"mm yyyy")</f>
        <v>07 2023</v>
      </c>
      <c r="Y578" s="13">
        <f>DATE(YEAR(Table1_1[[#This Row],[OrderDate]]),MONTH(B578),1)</f>
        <v>45108</v>
      </c>
      <c r="Z578" s="2">
        <f t="shared" ref="Z578:Z641" si="9">_xlfn.MINIFS(Y578:Y1209,G578:G1209,G578)</f>
        <v>45108</v>
      </c>
      <c r="AA578">
        <f>(YEAR(Table1_1[[#This Row],[OrderMonth]])-YEAR(Table1_1[[#This Row],[Firstmonth]]))*12+(MONTH(Table1_1[[#This Row],[OrderMonth]])-MONTH(Table1_1[[#This Row],[Firstmonth]]))</f>
        <v>0</v>
      </c>
    </row>
    <row r="579" spans="1:27" x14ac:dyDescent="0.25">
      <c r="A579" s="11" t="s">
        <v>568</v>
      </c>
      <c r="B579" s="2">
        <v>45362</v>
      </c>
      <c r="C579" s="2">
        <v>45380</v>
      </c>
      <c r="D579" s="11" t="s">
        <v>1413</v>
      </c>
      <c r="E579">
        <v>18</v>
      </c>
      <c r="F579" s="11" t="s">
        <v>1473</v>
      </c>
      <c r="G579" s="11" t="s">
        <v>1516</v>
      </c>
      <c r="H579" s="11" t="s">
        <v>1517</v>
      </c>
      <c r="I579" s="11" t="s">
        <v>642</v>
      </c>
      <c r="J579" s="11" t="s">
        <v>648</v>
      </c>
      <c r="K579" s="11" t="s">
        <v>673</v>
      </c>
      <c r="L579" s="11" t="s">
        <v>1231</v>
      </c>
      <c r="M579" s="10">
        <v>43</v>
      </c>
      <c r="N579">
        <v>710.98</v>
      </c>
      <c r="O579" s="3">
        <v>1481.45</v>
      </c>
      <c r="P579" s="11" t="s">
        <v>1466</v>
      </c>
      <c r="Q579" s="4">
        <v>0.21099999999999999</v>
      </c>
      <c r="R579" s="3">
        <v>50261.154150000002</v>
      </c>
      <c r="S579" s="3">
        <v>30572.14</v>
      </c>
      <c r="T579" s="4">
        <v>0.391734222641205</v>
      </c>
      <c r="U579" s="11" t="s">
        <v>665</v>
      </c>
      <c r="V579" s="3">
        <v>19689.014150000003</v>
      </c>
      <c r="W579" s="11" t="s">
        <v>1433</v>
      </c>
      <c r="X579" t="str">
        <f>TEXT(Table1_1[[#This Row],[OrderDate]],"mm yyyy")</f>
        <v>03 2024</v>
      </c>
      <c r="Y579" s="13">
        <f>DATE(YEAR(Table1_1[[#This Row],[OrderDate]]),MONTH(B579),1)</f>
        <v>45352</v>
      </c>
      <c r="Z579" s="2">
        <f t="shared" si="9"/>
        <v>45352</v>
      </c>
      <c r="AA579">
        <f>(YEAR(Table1_1[[#This Row],[OrderMonth]])-YEAR(Table1_1[[#This Row],[Firstmonth]]))*12+(MONTH(Table1_1[[#This Row],[OrderMonth]])-MONTH(Table1_1[[#This Row],[Firstmonth]]))</f>
        <v>0</v>
      </c>
    </row>
    <row r="580" spans="1:27" x14ac:dyDescent="0.25">
      <c r="A580" s="11" t="s">
        <v>555</v>
      </c>
      <c r="B580" s="2">
        <v>45889</v>
      </c>
      <c r="C580" s="2">
        <v>45895</v>
      </c>
      <c r="D580" s="11" t="s">
        <v>1413</v>
      </c>
      <c r="E580">
        <v>6</v>
      </c>
      <c r="F580" s="11" t="s">
        <v>1473</v>
      </c>
      <c r="G580" s="11" t="s">
        <v>1516</v>
      </c>
      <c r="H580" s="11" t="s">
        <v>1517</v>
      </c>
      <c r="I580" s="11" t="s">
        <v>642</v>
      </c>
      <c r="J580" s="11" t="s">
        <v>648</v>
      </c>
      <c r="K580" s="11" t="s">
        <v>670</v>
      </c>
      <c r="L580" s="11" t="s">
        <v>1218</v>
      </c>
      <c r="M580" s="10">
        <v>7</v>
      </c>
      <c r="N580">
        <v>1304.95</v>
      </c>
      <c r="O580" s="3">
        <v>1712.03</v>
      </c>
      <c r="P580" s="11" t="s">
        <v>1471</v>
      </c>
      <c r="Q580" s="4">
        <v>0.21199999999999999</v>
      </c>
      <c r="R580" s="3">
        <v>9443.5574799999995</v>
      </c>
      <c r="S580" s="3">
        <v>9134.65</v>
      </c>
      <c r="T580" s="4">
        <v>3.2710922833287998E-2</v>
      </c>
      <c r="U580" s="11" t="s">
        <v>665</v>
      </c>
      <c r="V580" s="3">
        <v>308.90747999999985</v>
      </c>
      <c r="W580" s="11" t="s">
        <v>1438</v>
      </c>
      <c r="X580" t="str">
        <f>TEXT(Table1_1[[#This Row],[OrderDate]],"mm yyyy")</f>
        <v>08 2025</v>
      </c>
      <c r="Y580" s="13">
        <f>DATE(YEAR(Table1_1[[#This Row],[OrderDate]]),MONTH(B580),1)</f>
        <v>45870</v>
      </c>
      <c r="Z580" s="2">
        <f t="shared" si="9"/>
        <v>45870</v>
      </c>
      <c r="AA580">
        <f>(YEAR(Table1_1[[#This Row],[OrderMonth]])-YEAR(Table1_1[[#This Row],[Firstmonth]]))*12+(MONTH(Table1_1[[#This Row],[OrderMonth]])-MONTH(Table1_1[[#This Row],[Firstmonth]]))</f>
        <v>0</v>
      </c>
    </row>
    <row r="581" spans="1:27" x14ac:dyDescent="0.25">
      <c r="A581" s="11" t="s">
        <v>485</v>
      </c>
      <c r="B581" s="2">
        <v>45069</v>
      </c>
      <c r="C581" s="2">
        <v>45071</v>
      </c>
      <c r="D581" s="11" t="s">
        <v>1413</v>
      </c>
      <c r="E581">
        <v>2</v>
      </c>
      <c r="F581" s="11" t="s">
        <v>1473</v>
      </c>
      <c r="G581" s="11" t="s">
        <v>1505</v>
      </c>
      <c r="H581" s="11" t="s">
        <v>1506</v>
      </c>
      <c r="I581" s="11" t="s">
        <v>647</v>
      </c>
      <c r="J581" s="11" t="s">
        <v>648</v>
      </c>
      <c r="K581" s="11" t="s">
        <v>669</v>
      </c>
      <c r="L581" s="11" t="s">
        <v>1149</v>
      </c>
      <c r="M581" s="10">
        <v>14</v>
      </c>
      <c r="N581">
        <v>690.49</v>
      </c>
      <c r="O581" s="3">
        <v>1290.29</v>
      </c>
      <c r="P581" s="11" t="s">
        <v>1466</v>
      </c>
      <c r="Q581" s="4">
        <v>4.2000000000000003E-2</v>
      </c>
      <c r="R581" s="3">
        <v>17305.369479999998</v>
      </c>
      <c r="S581" s="3">
        <v>9666.86</v>
      </c>
      <c r="T581" s="4">
        <v>0.44139534199647701</v>
      </c>
      <c r="U581" s="11" t="s">
        <v>665</v>
      </c>
      <c r="V581" s="3">
        <v>7638.509479999997</v>
      </c>
      <c r="W581" s="11" t="s">
        <v>1435</v>
      </c>
      <c r="X581" t="str">
        <f>TEXT(Table1_1[[#This Row],[OrderDate]],"mm yyyy")</f>
        <v>05 2023</v>
      </c>
      <c r="Y581" s="13">
        <f>DATE(YEAR(Table1_1[[#This Row],[OrderDate]]),MONTH(B581),1)</f>
        <v>45047</v>
      </c>
      <c r="Z581" s="2">
        <f t="shared" si="9"/>
        <v>45047</v>
      </c>
      <c r="AA581">
        <f>(YEAR(Table1_1[[#This Row],[OrderMonth]])-YEAR(Table1_1[[#This Row],[Firstmonth]]))*12+(MONTH(Table1_1[[#This Row],[OrderMonth]])-MONTH(Table1_1[[#This Row],[Firstmonth]]))</f>
        <v>0</v>
      </c>
    </row>
    <row r="582" spans="1:27" x14ac:dyDescent="0.25">
      <c r="A582" s="11" t="s">
        <v>537</v>
      </c>
      <c r="B582" s="2">
        <v>44938</v>
      </c>
      <c r="C582" s="2">
        <v>44952</v>
      </c>
      <c r="D582" s="11" t="s">
        <v>1413</v>
      </c>
      <c r="E582">
        <v>14</v>
      </c>
      <c r="F582" s="11" t="s">
        <v>1476</v>
      </c>
      <c r="G582" s="11" t="s">
        <v>1457</v>
      </c>
      <c r="H582" s="11" t="s">
        <v>1513</v>
      </c>
      <c r="I582" s="11" t="s">
        <v>644</v>
      </c>
      <c r="J582" s="11" t="s">
        <v>648</v>
      </c>
      <c r="K582" s="11" t="s">
        <v>669</v>
      </c>
      <c r="L582" s="11" t="s">
        <v>1201</v>
      </c>
      <c r="M582" s="10">
        <v>17</v>
      </c>
      <c r="N582">
        <v>1083.0899999999999</v>
      </c>
      <c r="O582" s="3">
        <v>1425.87</v>
      </c>
      <c r="P582" s="11" t="s">
        <v>1466</v>
      </c>
      <c r="Q582" s="4">
        <v>0</v>
      </c>
      <c r="R582" s="3">
        <v>24239.789999999997</v>
      </c>
      <c r="S582" s="3">
        <v>18412.53</v>
      </c>
      <c r="T582" s="4">
        <v>0.24040059752992901</v>
      </c>
      <c r="U582" s="11" t="s">
        <v>665</v>
      </c>
      <c r="V582" s="3">
        <v>5827.2599999999984</v>
      </c>
      <c r="W582" s="11" t="s">
        <v>1432</v>
      </c>
      <c r="X582" t="str">
        <f>TEXT(Table1_1[[#This Row],[OrderDate]],"mm yyyy")</f>
        <v>01 2023</v>
      </c>
      <c r="Y582" s="13">
        <f>DATE(YEAR(Table1_1[[#This Row],[OrderDate]]),MONTH(B582),1)</f>
        <v>44927</v>
      </c>
      <c r="Z582" s="2">
        <f t="shared" si="9"/>
        <v>44927</v>
      </c>
      <c r="AA582">
        <f>(YEAR(Table1_1[[#This Row],[OrderMonth]])-YEAR(Table1_1[[#This Row],[Firstmonth]]))*12+(MONTH(Table1_1[[#This Row],[OrderMonth]])-MONTH(Table1_1[[#This Row],[Firstmonth]]))</f>
        <v>0</v>
      </c>
    </row>
    <row r="583" spans="1:27" x14ac:dyDescent="0.25">
      <c r="A583" s="11" t="s">
        <v>234</v>
      </c>
      <c r="B583" s="2">
        <v>45035</v>
      </c>
      <c r="C583" s="2">
        <v>45053</v>
      </c>
      <c r="D583" s="11" t="s">
        <v>1413</v>
      </c>
      <c r="E583">
        <v>18</v>
      </c>
      <c r="F583" s="11" t="s">
        <v>1464</v>
      </c>
      <c r="G583" s="11" t="s">
        <v>1469</v>
      </c>
      <c r="H583" s="11" t="s">
        <v>1507</v>
      </c>
      <c r="I583" s="11" t="s">
        <v>647</v>
      </c>
      <c r="J583" s="11" t="s">
        <v>648</v>
      </c>
      <c r="K583" s="11" t="s">
        <v>672</v>
      </c>
      <c r="L583" s="11" t="s">
        <v>899</v>
      </c>
      <c r="M583" s="10">
        <v>3</v>
      </c>
      <c r="N583">
        <v>1089.1500000000001</v>
      </c>
      <c r="O583" s="3">
        <v>1088.2</v>
      </c>
      <c r="P583" s="11" t="s">
        <v>1466</v>
      </c>
      <c r="Q583" s="4">
        <v>5.0999999999999997E-2</v>
      </c>
      <c r="R583" s="3">
        <v>3098.1054000000004</v>
      </c>
      <c r="S583" s="3">
        <v>3267.4500000000003</v>
      </c>
      <c r="T583" s="4">
        <v>-5.46606968245818E-2</v>
      </c>
      <c r="U583" s="11" t="s">
        <v>666</v>
      </c>
      <c r="V583" s="3">
        <v>-169.3445999999999</v>
      </c>
      <c r="W583" s="11" t="s">
        <v>1435</v>
      </c>
      <c r="X583" t="str">
        <f>TEXT(Table1_1[[#This Row],[OrderDate]],"mm yyyy")</f>
        <v>04 2023</v>
      </c>
      <c r="Y583" s="13">
        <f>DATE(YEAR(Table1_1[[#This Row],[OrderDate]]),MONTH(B583),1)</f>
        <v>45017</v>
      </c>
      <c r="Z583" s="2">
        <f t="shared" si="9"/>
        <v>45017</v>
      </c>
      <c r="AA583">
        <f>(YEAR(Table1_1[[#This Row],[OrderMonth]])-YEAR(Table1_1[[#This Row],[Firstmonth]]))*12+(MONTH(Table1_1[[#This Row],[OrderMonth]])-MONTH(Table1_1[[#This Row],[Firstmonth]]))</f>
        <v>0</v>
      </c>
    </row>
    <row r="584" spans="1:27" x14ac:dyDescent="0.25">
      <c r="A584" s="11" t="s">
        <v>292</v>
      </c>
      <c r="B584" s="2">
        <v>45153</v>
      </c>
      <c r="C584" s="2">
        <v>45163</v>
      </c>
      <c r="D584" s="11" t="s">
        <v>1413</v>
      </c>
      <c r="E584">
        <v>10</v>
      </c>
      <c r="F584" s="11" t="s">
        <v>1485</v>
      </c>
      <c r="G584" s="11" t="s">
        <v>1449</v>
      </c>
      <c r="H584" s="11" t="s">
        <v>1486</v>
      </c>
      <c r="I584" s="11" t="s">
        <v>646</v>
      </c>
      <c r="J584" s="11" t="s">
        <v>648</v>
      </c>
      <c r="K584" s="11" t="s">
        <v>671</v>
      </c>
      <c r="L584" s="11" t="s">
        <v>957</v>
      </c>
      <c r="M584" s="10">
        <v>27</v>
      </c>
      <c r="N584">
        <v>91.85</v>
      </c>
      <c r="O584" s="3">
        <v>111.29</v>
      </c>
      <c r="P584" s="11" t="s">
        <v>1468</v>
      </c>
      <c r="Q584" s="4">
        <v>0</v>
      </c>
      <c r="R584" s="3">
        <v>3004.8300000000004</v>
      </c>
      <c r="S584" s="3">
        <v>2479.9499999999998</v>
      </c>
      <c r="T584" s="4">
        <v>0.17467876718483299</v>
      </c>
      <c r="U584" s="11" t="s">
        <v>666</v>
      </c>
      <c r="V584" s="3">
        <v>524.88000000000056</v>
      </c>
      <c r="W584" s="11" t="s">
        <v>1430</v>
      </c>
      <c r="X584" t="str">
        <f>TEXT(Table1_1[[#This Row],[OrderDate]],"mm yyyy")</f>
        <v>08 2023</v>
      </c>
      <c r="Y584" s="13">
        <f>DATE(YEAR(Table1_1[[#This Row],[OrderDate]]),MONTH(B584),1)</f>
        <v>45139</v>
      </c>
      <c r="Z584" s="2">
        <f t="shared" si="9"/>
        <v>45017</v>
      </c>
      <c r="AA584">
        <f>(YEAR(Table1_1[[#This Row],[OrderMonth]])-YEAR(Table1_1[[#This Row],[Firstmonth]]))*12+(MONTH(Table1_1[[#This Row],[OrderMonth]])-MONTH(Table1_1[[#This Row],[Firstmonth]]))</f>
        <v>4</v>
      </c>
    </row>
    <row r="585" spans="1:27" x14ac:dyDescent="0.25">
      <c r="A585" s="11" t="s">
        <v>271</v>
      </c>
      <c r="B585" s="2">
        <v>45073</v>
      </c>
      <c r="C585" s="2">
        <v>45096</v>
      </c>
      <c r="D585" s="11" t="s">
        <v>1413</v>
      </c>
      <c r="E585">
        <v>23</v>
      </c>
      <c r="F585" s="11" t="s">
        <v>1464</v>
      </c>
      <c r="G585" s="11" t="s">
        <v>1455</v>
      </c>
      <c r="H585" s="11" t="s">
        <v>1465</v>
      </c>
      <c r="I585" s="11" t="s">
        <v>643</v>
      </c>
      <c r="J585" s="11" t="s">
        <v>648</v>
      </c>
      <c r="K585" s="11" t="s">
        <v>674</v>
      </c>
      <c r="L585" s="11" t="s">
        <v>936</v>
      </c>
      <c r="M585" s="10">
        <v>21</v>
      </c>
      <c r="N585">
        <v>1471.58</v>
      </c>
      <c r="O585" s="3">
        <v>2576.65</v>
      </c>
      <c r="P585" s="11" t="s">
        <v>1471</v>
      </c>
      <c r="Q585" s="4">
        <v>4.0000000000000001E-3</v>
      </c>
      <c r="R585" s="3">
        <v>53893.2114</v>
      </c>
      <c r="S585" s="3">
        <v>30903.18</v>
      </c>
      <c r="T585" s="4">
        <v>0.42658492234515499</v>
      </c>
      <c r="U585" s="11" t="s">
        <v>660</v>
      </c>
      <c r="V585" s="3">
        <v>22990.0314</v>
      </c>
      <c r="W585" s="11" t="s">
        <v>1435</v>
      </c>
      <c r="X585" t="str">
        <f>TEXT(Table1_1[[#This Row],[OrderDate]],"mm yyyy")</f>
        <v>05 2023</v>
      </c>
      <c r="Y585" s="13">
        <f>DATE(YEAR(Table1_1[[#This Row],[OrderDate]]),MONTH(B585),1)</f>
        <v>45047</v>
      </c>
      <c r="Z585" s="2">
        <f t="shared" si="9"/>
        <v>44927</v>
      </c>
      <c r="AA585">
        <f>(YEAR(Table1_1[[#This Row],[OrderMonth]])-YEAR(Table1_1[[#This Row],[Firstmonth]]))*12+(MONTH(Table1_1[[#This Row],[OrderMonth]])-MONTH(Table1_1[[#This Row],[Firstmonth]]))</f>
        <v>4</v>
      </c>
    </row>
    <row r="586" spans="1:27" x14ac:dyDescent="0.25">
      <c r="A586" s="11" t="s">
        <v>165</v>
      </c>
      <c r="B586" s="2">
        <v>45230</v>
      </c>
      <c r="C586" s="2">
        <v>45232</v>
      </c>
      <c r="D586" s="11" t="s">
        <v>1413</v>
      </c>
      <c r="E586">
        <v>2</v>
      </c>
      <c r="F586" s="11" t="s">
        <v>1485</v>
      </c>
      <c r="G586" s="11" t="s">
        <v>1449</v>
      </c>
      <c r="H586" s="11" t="s">
        <v>1512</v>
      </c>
      <c r="I586" s="11" t="s">
        <v>643</v>
      </c>
      <c r="J586" s="11" t="s">
        <v>648</v>
      </c>
      <c r="K586" s="11" t="s">
        <v>674</v>
      </c>
      <c r="L586" s="11" t="s">
        <v>829</v>
      </c>
      <c r="M586" s="10">
        <v>4</v>
      </c>
      <c r="N586">
        <v>867.89</v>
      </c>
      <c r="O586" s="3">
        <v>1349.94</v>
      </c>
      <c r="P586" s="11" t="s">
        <v>1466</v>
      </c>
      <c r="Q586" s="4">
        <v>0.184</v>
      </c>
      <c r="R586" s="3">
        <v>4406.2041600000002</v>
      </c>
      <c r="S586" s="3">
        <v>3471.56</v>
      </c>
      <c r="T586" s="4">
        <v>0.21212003031652499</v>
      </c>
      <c r="U586" s="11" t="s">
        <v>660</v>
      </c>
      <c r="V586" s="3">
        <v>934.64416000000028</v>
      </c>
      <c r="W586" s="11" t="s">
        <v>1439</v>
      </c>
      <c r="X586" t="str">
        <f>TEXT(Table1_1[[#This Row],[OrderDate]],"mm yyyy")</f>
        <v>10 2023</v>
      </c>
      <c r="Y586" s="13">
        <f>DATE(YEAR(Table1_1[[#This Row],[OrderDate]]),MONTH(B586),1)</f>
        <v>45200</v>
      </c>
      <c r="Z586" s="2">
        <f t="shared" si="9"/>
        <v>45017</v>
      </c>
      <c r="AA586">
        <f>(YEAR(Table1_1[[#This Row],[OrderMonth]])-YEAR(Table1_1[[#This Row],[Firstmonth]]))*12+(MONTH(Table1_1[[#This Row],[OrderMonth]])-MONTH(Table1_1[[#This Row],[Firstmonth]]))</f>
        <v>6</v>
      </c>
    </row>
    <row r="587" spans="1:27" x14ac:dyDescent="0.25">
      <c r="A587" s="11" t="s">
        <v>443</v>
      </c>
      <c r="B587" s="2">
        <v>45636</v>
      </c>
      <c r="C587" s="2">
        <v>45645</v>
      </c>
      <c r="D587" s="11" t="s">
        <v>1413</v>
      </c>
      <c r="E587">
        <v>9</v>
      </c>
      <c r="F587" s="11" t="s">
        <v>1485</v>
      </c>
      <c r="G587" s="11" t="s">
        <v>1450</v>
      </c>
      <c r="H587" s="11" t="s">
        <v>1514</v>
      </c>
      <c r="I587" s="11" t="s">
        <v>642</v>
      </c>
      <c r="J587" s="11" t="s">
        <v>648</v>
      </c>
      <c r="K587" s="11" t="s">
        <v>673</v>
      </c>
      <c r="L587" s="11" t="s">
        <v>1107</v>
      </c>
      <c r="M587" s="10">
        <v>21</v>
      </c>
      <c r="N587">
        <v>488.68</v>
      </c>
      <c r="O587" s="3">
        <v>984.36</v>
      </c>
      <c r="P587" s="11" t="s">
        <v>1466</v>
      </c>
      <c r="Q587" s="4">
        <v>5.8999999999999997E-2</v>
      </c>
      <c r="R587" s="3">
        <v>19451.937960000003</v>
      </c>
      <c r="S587" s="3">
        <v>10262.280000000001</v>
      </c>
      <c r="T587" s="4">
        <v>0.47242891576649898</v>
      </c>
      <c r="U587" s="11" t="s">
        <v>660</v>
      </c>
      <c r="V587" s="3">
        <v>9189.6579600000023</v>
      </c>
      <c r="W587" s="11" t="s">
        <v>1440</v>
      </c>
      <c r="X587" t="str">
        <f>TEXT(Table1_1[[#This Row],[OrderDate]],"mm yyyy")</f>
        <v>12 2024</v>
      </c>
      <c r="Y587" s="13">
        <f>DATE(YEAR(Table1_1[[#This Row],[OrderDate]]),MONTH(B587),1)</f>
        <v>45627</v>
      </c>
      <c r="Z587" s="2">
        <f t="shared" si="9"/>
        <v>44927</v>
      </c>
      <c r="AA587">
        <f>(YEAR(Table1_1[[#This Row],[OrderMonth]])-YEAR(Table1_1[[#This Row],[Firstmonth]]))*12+(MONTH(Table1_1[[#This Row],[OrderMonth]])-MONTH(Table1_1[[#This Row],[Firstmonth]]))</f>
        <v>23</v>
      </c>
    </row>
    <row r="588" spans="1:27" x14ac:dyDescent="0.25">
      <c r="A588" s="11" t="s">
        <v>422</v>
      </c>
      <c r="B588" s="2">
        <v>45002</v>
      </c>
      <c r="C588" s="2">
        <v>45022</v>
      </c>
      <c r="D588" s="11" t="s">
        <v>1413</v>
      </c>
      <c r="E588">
        <v>20</v>
      </c>
      <c r="F588" s="11" t="s">
        <v>1464</v>
      </c>
      <c r="G588" s="11" t="s">
        <v>1455</v>
      </c>
      <c r="H588" s="11" t="s">
        <v>1483</v>
      </c>
      <c r="I588" s="11" t="s">
        <v>645</v>
      </c>
      <c r="J588" s="11" t="s">
        <v>648</v>
      </c>
      <c r="K588" s="11" t="s">
        <v>671</v>
      </c>
      <c r="L588" s="11" t="s">
        <v>1086</v>
      </c>
      <c r="M588" s="10">
        <v>3</v>
      </c>
      <c r="N588">
        <v>692.18</v>
      </c>
      <c r="O588" s="3">
        <v>1159.3499999999999</v>
      </c>
      <c r="P588" s="11" t="s">
        <v>1466</v>
      </c>
      <c r="Q588" s="4">
        <v>0.112</v>
      </c>
      <c r="R588" s="3">
        <v>3088.5083999999997</v>
      </c>
      <c r="S588" s="3">
        <v>2076.54</v>
      </c>
      <c r="T588" s="4">
        <v>0.32765602968733998</v>
      </c>
      <c r="U588" s="11" t="s">
        <v>660</v>
      </c>
      <c r="V588" s="3">
        <v>1011.9683999999997</v>
      </c>
      <c r="W588" s="11" t="s">
        <v>1432</v>
      </c>
      <c r="X588" t="str">
        <f>TEXT(Table1_1[[#This Row],[OrderDate]],"mm yyyy")</f>
        <v>03 2023</v>
      </c>
      <c r="Y588" s="13">
        <f>DATE(YEAR(Table1_1[[#This Row],[OrderDate]]),MONTH(B588),1)</f>
        <v>44986</v>
      </c>
      <c r="Z588" s="2">
        <f t="shared" si="9"/>
        <v>44927</v>
      </c>
      <c r="AA588">
        <f>(YEAR(Table1_1[[#This Row],[OrderMonth]])-YEAR(Table1_1[[#This Row],[Firstmonth]]))*12+(MONTH(Table1_1[[#This Row],[OrderMonth]])-MONTH(Table1_1[[#This Row],[Firstmonth]]))</f>
        <v>2</v>
      </c>
    </row>
    <row r="589" spans="1:27" x14ac:dyDescent="0.25">
      <c r="A589" s="11" t="s">
        <v>76</v>
      </c>
      <c r="B589" s="2">
        <v>45263</v>
      </c>
      <c r="C589" s="2">
        <v>45286</v>
      </c>
      <c r="D589" s="11" t="s">
        <v>1413</v>
      </c>
      <c r="E589">
        <v>23</v>
      </c>
      <c r="F589" s="11" t="s">
        <v>1473</v>
      </c>
      <c r="G589" s="11" t="s">
        <v>1505</v>
      </c>
      <c r="H589" s="11" t="s">
        <v>1506</v>
      </c>
      <c r="I589" s="11" t="s">
        <v>643</v>
      </c>
      <c r="J589" s="11" t="s">
        <v>648</v>
      </c>
      <c r="K589" s="11" t="s">
        <v>671</v>
      </c>
      <c r="L589" s="11" t="s">
        <v>740</v>
      </c>
      <c r="M589" s="10">
        <v>16</v>
      </c>
      <c r="N589">
        <v>1303.1099999999999</v>
      </c>
      <c r="O589" s="3">
        <v>1145.67</v>
      </c>
      <c r="P589" s="11" t="s">
        <v>1466</v>
      </c>
      <c r="Q589" s="4">
        <v>0.184</v>
      </c>
      <c r="R589" s="3">
        <v>14957.867520000002</v>
      </c>
      <c r="S589" s="3">
        <v>20849.759999999998</v>
      </c>
      <c r="T589" s="4">
        <v>-0.39389922875851202</v>
      </c>
      <c r="U589" s="11" t="s">
        <v>660</v>
      </c>
      <c r="V589" s="3">
        <v>-5891.8924799999968</v>
      </c>
      <c r="W589" s="11" t="s">
        <v>1439</v>
      </c>
      <c r="X589" t="str">
        <f>TEXT(Table1_1[[#This Row],[OrderDate]],"mm yyyy")</f>
        <v>12 2023</v>
      </c>
      <c r="Y589" s="13">
        <f>DATE(YEAR(Table1_1[[#This Row],[OrderDate]]),MONTH(B589),1)</f>
        <v>45261</v>
      </c>
      <c r="Z589" s="2">
        <f t="shared" si="9"/>
        <v>45078</v>
      </c>
      <c r="AA589">
        <f>(YEAR(Table1_1[[#This Row],[OrderMonth]])-YEAR(Table1_1[[#This Row],[Firstmonth]]))*12+(MONTH(Table1_1[[#This Row],[OrderMonth]])-MONTH(Table1_1[[#This Row],[Firstmonth]]))</f>
        <v>6</v>
      </c>
    </row>
    <row r="590" spans="1:27" x14ac:dyDescent="0.25">
      <c r="A590" s="11" t="s">
        <v>552</v>
      </c>
      <c r="B590" s="2">
        <v>45450</v>
      </c>
      <c r="C590" s="2">
        <v>45452</v>
      </c>
      <c r="D590" s="11" t="s">
        <v>1413</v>
      </c>
      <c r="E590">
        <v>2</v>
      </c>
      <c r="F590" s="11" t="s">
        <v>1476</v>
      </c>
      <c r="G590" s="11" t="s">
        <v>1457</v>
      </c>
      <c r="H590" s="11" t="s">
        <v>1511</v>
      </c>
      <c r="I590" s="11" t="s">
        <v>642</v>
      </c>
      <c r="J590" s="11" t="s">
        <v>648</v>
      </c>
      <c r="K590" s="11" t="s">
        <v>673</v>
      </c>
      <c r="L590" s="11" t="s">
        <v>1215</v>
      </c>
      <c r="M590" s="10">
        <v>25</v>
      </c>
      <c r="N590">
        <v>1370.28</v>
      </c>
      <c r="O590" s="3">
        <v>2209.66</v>
      </c>
      <c r="P590" s="11" t="s">
        <v>1471</v>
      </c>
      <c r="Q590" s="4">
        <v>0.13300000000000001</v>
      </c>
      <c r="R590" s="3">
        <v>47894.380499999999</v>
      </c>
      <c r="S590" s="3">
        <v>34257</v>
      </c>
      <c r="T590" s="4">
        <v>0.284738634420796</v>
      </c>
      <c r="U590" s="11" t="s">
        <v>660</v>
      </c>
      <c r="V590" s="3">
        <v>13637.380499999999</v>
      </c>
      <c r="W590" s="11" t="s">
        <v>1436</v>
      </c>
      <c r="X590" t="str">
        <f>TEXT(Table1_1[[#This Row],[OrderDate]],"mm yyyy")</f>
        <v>06 2024</v>
      </c>
      <c r="Y590" s="13">
        <f>DATE(YEAR(Table1_1[[#This Row],[OrderDate]]),MONTH(B590),1)</f>
        <v>45444</v>
      </c>
      <c r="Z590" s="2">
        <f t="shared" si="9"/>
        <v>45139</v>
      </c>
      <c r="AA590">
        <f>(YEAR(Table1_1[[#This Row],[OrderMonth]])-YEAR(Table1_1[[#This Row],[Firstmonth]]))*12+(MONTH(Table1_1[[#This Row],[OrderMonth]])-MONTH(Table1_1[[#This Row],[Firstmonth]]))</f>
        <v>10</v>
      </c>
    </row>
    <row r="591" spans="1:27" x14ac:dyDescent="0.25">
      <c r="A591" s="11" t="s">
        <v>640</v>
      </c>
      <c r="B591" s="2">
        <v>45249</v>
      </c>
      <c r="C591" s="2">
        <v>45279</v>
      </c>
      <c r="D591" s="11" t="s">
        <v>1413</v>
      </c>
      <c r="E591">
        <v>30</v>
      </c>
      <c r="F591" s="11" t="s">
        <v>1476</v>
      </c>
      <c r="G591" s="11" t="s">
        <v>1451</v>
      </c>
      <c r="H591" s="11" t="s">
        <v>1484</v>
      </c>
      <c r="I591" s="11" t="s">
        <v>645</v>
      </c>
      <c r="J591" s="11" t="s">
        <v>648</v>
      </c>
      <c r="K591" s="11" t="s">
        <v>671</v>
      </c>
      <c r="L591" s="11" t="s">
        <v>1303</v>
      </c>
      <c r="M591" s="10">
        <v>6</v>
      </c>
      <c r="N591">
        <v>807.11</v>
      </c>
      <c r="O591" s="3">
        <v>1853.86</v>
      </c>
      <c r="P591" s="11" t="s">
        <v>1471</v>
      </c>
      <c r="Q591" s="4">
        <v>0.13900000000000001</v>
      </c>
      <c r="R591" s="3">
        <v>9577.0407599999999</v>
      </c>
      <c r="S591" s="3">
        <v>4842.66</v>
      </c>
      <c r="T591" s="4">
        <v>0.494346936453886</v>
      </c>
      <c r="U591" s="11" t="s">
        <v>1366</v>
      </c>
      <c r="V591" s="3">
        <v>4734.38076</v>
      </c>
      <c r="W591" s="11" t="s">
        <v>1439</v>
      </c>
      <c r="X591" t="str">
        <f>TEXT(Table1_1[[#This Row],[OrderDate]],"mm yyyy")</f>
        <v>11 2023</v>
      </c>
      <c r="Y591" s="13">
        <f>DATE(YEAR(Table1_1[[#This Row],[OrderDate]]),MONTH(B591),1)</f>
        <v>45231</v>
      </c>
      <c r="Z591" s="2">
        <f t="shared" si="9"/>
        <v>45017</v>
      </c>
      <c r="AA591">
        <f>(YEAR(Table1_1[[#This Row],[OrderMonth]])-YEAR(Table1_1[[#This Row],[Firstmonth]]))*12+(MONTH(Table1_1[[#This Row],[OrderMonth]])-MONTH(Table1_1[[#This Row],[Firstmonth]]))</f>
        <v>7</v>
      </c>
    </row>
    <row r="592" spans="1:27" x14ac:dyDescent="0.25">
      <c r="A592" s="11" t="s">
        <v>452</v>
      </c>
      <c r="B592" s="2">
        <v>45189</v>
      </c>
      <c r="C592" s="2">
        <v>45197</v>
      </c>
      <c r="D592" s="11" t="s">
        <v>1413</v>
      </c>
      <c r="E592">
        <v>8</v>
      </c>
      <c r="F592" s="11" t="s">
        <v>1476</v>
      </c>
      <c r="G592" s="11" t="s">
        <v>1453</v>
      </c>
      <c r="H592" s="11" t="s">
        <v>1366</v>
      </c>
      <c r="I592" s="11" t="s">
        <v>642</v>
      </c>
      <c r="J592" s="11" t="s">
        <v>1366</v>
      </c>
      <c r="K592" s="11" t="s">
        <v>674</v>
      </c>
      <c r="L592" s="11" t="s">
        <v>1116</v>
      </c>
      <c r="M592" s="10">
        <v>15</v>
      </c>
      <c r="N592">
        <v>1362.06</v>
      </c>
      <c r="O592" s="3">
        <v>3398.37</v>
      </c>
      <c r="P592" s="11" t="s">
        <v>1471</v>
      </c>
      <c r="Q592" s="4">
        <v>0.157</v>
      </c>
      <c r="R592" s="3">
        <v>42972.388649999994</v>
      </c>
      <c r="S592" s="3">
        <v>20430.899999999998</v>
      </c>
      <c r="T592" s="4">
        <v>0.52455749745714897</v>
      </c>
      <c r="U592" s="11" t="s">
        <v>658</v>
      </c>
      <c r="V592" s="3">
        <v>22541.488649999996</v>
      </c>
      <c r="W592" s="11" t="s">
        <v>1430</v>
      </c>
      <c r="X592" t="str">
        <f>TEXT(Table1_1[[#This Row],[OrderDate]],"mm yyyy")</f>
        <v>09 2023</v>
      </c>
      <c r="Y592" s="13">
        <f>DATE(YEAR(Table1_1[[#This Row],[OrderDate]]),MONTH(B592),1)</f>
        <v>45170</v>
      </c>
      <c r="Z592" s="2">
        <f t="shared" si="9"/>
        <v>45108</v>
      </c>
      <c r="AA592">
        <f>(YEAR(Table1_1[[#This Row],[OrderMonth]])-YEAR(Table1_1[[#This Row],[Firstmonth]]))*12+(MONTH(Table1_1[[#This Row],[OrderMonth]])-MONTH(Table1_1[[#This Row],[Firstmonth]]))</f>
        <v>2</v>
      </c>
    </row>
    <row r="593" spans="1:27" x14ac:dyDescent="0.25">
      <c r="A593" s="11" t="s">
        <v>622</v>
      </c>
      <c r="B593" s="2">
        <v>45584</v>
      </c>
      <c r="C593" s="2">
        <v>45602</v>
      </c>
      <c r="D593" s="11" t="s">
        <v>1413</v>
      </c>
      <c r="E593">
        <v>18</v>
      </c>
      <c r="F593" s="11" t="s">
        <v>1473</v>
      </c>
      <c r="G593" s="11" t="s">
        <v>1458</v>
      </c>
      <c r="H593" s="11" t="s">
        <v>1509</v>
      </c>
      <c r="I593" s="11" t="s">
        <v>643</v>
      </c>
      <c r="J593" s="11" t="s">
        <v>1366</v>
      </c>
      <c r="K593" s="11" t="s">
        <v>673</v>
      </c>
      <c r="L593" s="11" t="s">
        <v>1285</v>
      </c>
      <c r="M593" s="10">
        <v>15</v>
      </c>
      <c r="N593">
        <v>942.02</v>
      </c>
      <c r="O593" s="3">
        <v>1028.46</v>
      </c>
      <c r="P593" s="11" t="s">
        <v>1466</v>
      </c>
      <c r="Q593" s="4">
        <v>0</v>
      </c>
      <c r="R593" s="3">
        <v>15426.900000000001</v>
      </c>
      <c r="S593" s="3">
        <v>14130.3</v>
      </c>
      <c r="T593" s="4">
        <v>8.4047994088248604E-2</v>
      </c>
      <c r="U593" s="11" t="s">
        <v>653</v>
      </c>
      <c r="V593" s="3">
        <v>1296.6000000000022</v>
      </c>
      <c r="W593" s="11" t="s">
        <v>1440</v>
      </c>
      <c r="X593" t="str">
        <f>TEXT(Table1_1[[#This Row],[OrderDate]],"mm yyyy")</f>
        <v>10 2024</v>
      </c>
      <c r="Y593" s="13">
        <f>DATE(YEAR(Table1_1[[#This Row],[OrderDate]]),MONTH(B593),1)</f>
        <v>45566</v>
      </c>
      <c r="Z593" s="2">
        <f t="shared" si="9"/>
        <v>45292</v>
      </c>
      <c r="AA593">
        <f>(YEAR(Table1_1[[#This Row],[OrderMonth]])-YEAR(Table1_1[[#This Row],[Firstmonth]]))*12+(MONTH(Table1_1[[#This Row],[OrderMonth]])-MONTH(Table1_1[[#This Row],[Firstmonth]]))</f>
        <v>9</v>
      </c>
    </row>
    <row r="594" spans="1:27" x14ac:dyDescent="0.25">
      <c r="A594" s="11" t="s">
        <v>44</v>
      </c>
      <c r="B594" s="2">
        <v>45400</v>
      </c>
      <c r="C594" s="2">
        <v>45420</v>
      </c>
      <c r="D594" s="11" t="s">
        <v>1413</v>
      </c>
      <c r="E594">
        <v>20</v>
      </c>
      <c r="F594" s="11" t="s">
        <v>1464</v>
      </c>
      <c r="G594" s="11" t="s">
        <v>1469</v>
      </c>
      <c r="H594" s="11" t="s">
        <v>1470</v>
      </c>
      <c r="I594" s="11" t="s">
        <v>644</v>
      </c>
      <c r="J594" s="11" t="s">
        <v>1366</v>
      </c>
      <c r="K594" s="11" t="s">
        <v>672</v>
      </c>
      <c r="L594" s="11" t="s">
        <v>708</v>
      </c>
      <c r="M594" s="10">
        <v>26</v>
      </c>
      <c r="N594">
        <v>645.33000000000004</v>
      </c>
      <c r="O594" s="3">
        <v>1321.85</v>
      </c>
      <c r="P594" s="11" t="s">
        <v>1466</v>
      </c>
      <c r="Q594" s="4">
        <v>0</v>
      </c>
      <c r="R594" s="3">
        <v>34368.1</v>
      </c>
      <c r="S594" s="3">
        <v>16778.580000000002</v>
      </c>
      <c r="T594" s="4">
        <v>0.51179785906116404</v>
      </c>
      <c r="U594" s="11" t="s">
        <v>667</v>
      </c>
      <c r="V594" s="3">
        <v>17589.519999999997</v>
      </c>
      <c r="W594" s="11" t="s">
        <v>1436</v>
      </c>
      <c r="X594" t="str">
        <f>TEXT(Table1_1[[#This Row],[OrderDate]],"mm yyyy")</f>
        <v>04 2024</v>
      </c>
      <c r="Y594" s="13">
        <f>DATE(YEAR(Table1_1[[#This Row],[OrderDate]]),MONTH(B594),1)</f>
        <v>45383</v>
      </c>
      <c r="Z594" s="2">
        <f t="shared" si="9"/>
        <v>45383</v>
      </c>
      <c r="AA594">
        <f>(YEAR(Table1_1[[#This Row],[OrderMonth]])-YEAR(Table1_1[[#This Row],[Firstmonth]]))*12+(MONTH(Table1_1[[#This Row],[OrderMonth]])-MONTH(Table1_1[[#This Row],[Firstmonth]]))</f>
        <v>0</v>
      </c>
    </row>
    <row r="595" spans="1:27" x14ac:dyDescent="0.25">
      <c r="A595" s="11" t="s">
        <v>197</v>
      </c>
      <c r="B595" s="2">
        <v>45670</v>
      </c>
      <c r="C595" s="2">
        <v>45696</v>
      </c>
      <c r="D595" s="11" t="s">
        <v>1413</v>
      </c>
      <c r="E595">
        <v>26</v>
      </c>
      <c r="F595" s="11" t="s">
        <v>1464</v>
      </c>
      <c r="G595" s="11" t="s">
        <v>1456</v>
      </c>
      <c r="H595" s="11" t="s">
        <v>1504</v>
      </c>
      <c r="I595" s="11" t="s">
        <v>644</v>
      </c>
      <c r="J595" s="11" t="s">
        <v>1366</v>
      </c>
      <c r="K595" s="11" t="s">
        <v>673</v>
      </c>
      <c r="L595" s="11" t="s">
        <v>861</v>
      </c>
      <c r="M595" s="10">
        <v>5</v>
      </c>
      <c r="N595">
        <v>594.74</v>
      </c>
      <c r="O595" s="3">
        <v>1020.69</v>
      </c>
      <c r="P595" s="11" t="s">
        <v>1466</v>
      </c>
      <c r="Q595" s="4">
        <v>0.21099999999999999</v>
      </c>
      <c r="R595" s="3">
        <v>4026.6220500000009</v>
      </c>
      <c r="S595" s="3">
        <v>2973.7</v>
      </c>
      <c r="T595" s="4">
        <v>0.26149016146176401</v>
      </c>
      <c r="U595" s="11" t="s">
        <v>659</v>
      </c>
      <c r="V595" s="3">
        <v>1052.922050000001</v>
      </c>
      <c r="W595" s="11" t="s">
        <v>1434</v>
      </c>
      <c r="X595" t="str">
        <f>TEXT(Table1_1[[#This Row],[OrderDate]],"mm yyyy")</f>
        <v>01 2025</v>
      </c>
      <c r="Y595" s="13">
        <f>DATE(YEAR(Table1_1[[#This Row],[OrderDate]]),MONTH(B595),1)</f>
        <v>45658</v>
      </c>
      <c r="Z595" s="2">
        <f t="shared" si="9"/>
        <v>44958</v>
      </c>
      <c r="AA595">
        <f>(YEAR(Table1_1[[#This Row],[OrderMonth]])-YEAR(Table1_1[[#This Row],[Firstmonth]]))*12+(MONTH(Table1_1[[#This Row],[OrderMonth]])-MONTH(Table1_1[[#This Row],[Firstmonth]]))</f>
        <v>23</v>
      </c>
    </row>
    <row r="596" spans="1:27" x14ac:dyDescent="0.25">
      <c r="A596" s="11" t="s">
        <v>473</v>
      </c>
      <c r="B596" s="2">
        <v>45757</v>
      </c>
      <c r="C596" s="2">
        <v>45766</v>
      </c>
      <c r="D596" s="11" t="s">
        <v>1413</v>
      </c>
      <c r="E596">
        <v>9</v>
      </c>
      <c r="F596" s="11" t="s">
        <v>1485</v>
      </c>
      <c r="G596" s="11" t="s">
        <v>1490</v>
      </c>
      <c r="H596" s="11" t="s">
        <v>1515</v>
      </c>
      <c r="I596" s="11" t="s">
        <v>647</v>
      </c>
      <c r="J596" s="11" t="s">
        <v>1366</v>
      </c>
      <c r="K596" s="11" t="s">
        <v>670</v>
      </c>
      <c r="L596" s="11" t="s">
        <v>1137</v>
      </c>
      <c r="M596" s="10">
        <v>13</v>
      </c>
      <c r="N596">
        <v>113.74</v>
      </c>
      <c r="O596" s="3">
        <v>165.7</v>
      </c>
      <c r="P596" s="11" t="s">
        <v>1468</v>
      </c>
      <c r="Q596" s="4">
        <v>0.124</v>
      </c>
      <c r="R596" s="3">
        <v>1886.9915999999998</v>
      </c>
      <c r="S596" s="3">
        <v>1478.62</v>
      </c>
      <c r="T596" s="4">
        <v>0.216414105923948</v>
      </c>
      <c r="U596" s="11" t="s">
        <v>656</v>
      </c>
      <c r="V596" s="3">
        <v>408.37159999999994</v>
      </c>
      <c r="W596" s="11" t="s">
        <v>1431</v>
      </c>
      <c r="X596" t="str">
        <f>TEXT(Table1_1[[#This Row],[OrderDate]],"mm yyyy")</f>
        <v>04 2025</v>
      </c>
      <c r="Y596" s="13">
        <f>DATE(YEAR(Table1_1[[#This Row],[OrderDate]]),MONTH(B596),1)</f>
        <v>45748</v>
      </c>
      <c r="Z596" s="2">
        <f t="shared" si="9"/>
        <v>45047</v>
      </c>
      <c r="AA596">
        <f>(YEAR(Table1_1[[#This Row],[OrderMonth]])-YEAR(Table1_1[[#This Row],[Firstmonth]]))*12+(MONTH(Table1_1[[#This Row],[OrderMonth]])-MONTH(Table1_1[[#This Row],[Firstmonth]]))</f>
        <v>23</v>
      </c>
    </row>
    <row r="597" spans="1:27" x14ac:dyDescent="0.25">
      <c r="A597" s="11" t="s">
        <v>617</v>
      </c>
      <c r="B597" s="2">
        <v>45827</v>
      </c>
      <c r="C597" s="2">
        <v>45829</v>
      </c>
      <c r="D597" s="11" t="s">
        <v>1413</v>
      </c>
      <c r="E597">
        <v>2</v>
      </c>
      <c r="F597" s="11" t="s">
        <v>1485</v>
      </c>
      <c r="G597" s="11" t="s">
        <v>1490</v>
      </c>
      <c r="H597" s="11" t="s">
        <v>1491</v>
      </c>
      <c r="I597" s="11" t="s">
        <v>646</v>
      </c>
      <c r="J597" s="11" t="s">
        <v>1366</v>
      </c>
      <c r="K597" s="11" t="s">
        <v>671</v>
      </c>
      <c r="L597" s="11" t="s">
        <v>1280</v>
      </c>
      <c r="M597" s="10">
        <v>9</v>
      </c>
      <c r="N597">
        <v>1466.27</v>
      </c>
      <c r="O597" s="3">
        <v>3589.89</v>
      </c>
      <c r="P597" s="11" t="s">
        <v>1471</v>
      </c>
      <c r="Q597" s="4">
        <v>9.7000000000000003E-2</v>
      </c>
      <c r="R597" s="3">
        <v>29175.036029999999</v>
      </c>
      <c r="S597" s="3">
        <v>13196.43</v>
      </c>
      <c r="T597" s="4">
        <v>0.54768076425234202</v>
      </c>
      <c r="U597" s="11" t="s">
        <v>663</v>
      </c>
      <c r="V597" s="3">
        <v>15978.606029999999</v>
      </c>
      <c r="W597" s="11" t="s">
        <v>1431</v>
      </c>
      <c r="X597" t="str">
        <f>TEXT(Table1_1[[#This Row],[OrderDate]],"mm yyyy")</f>
        <v>06 2025</v>
      </c>
      <c r="Y597" s="13">
        <f>DATE(YEAR(Table1_1[[#This Row],[OrderDate]]),MONTH(B597),1)</f>
        <v>45809</v>
      </c>
      <c r="Z597" s="2">
        <f t="shared" si="9"/>
        <v>45047</v>
      </c>
      <c r="AA597">
        <f>(YEAR(Table1_1[[#This Row],[OrderMonth]])-YEAR(Table1_1[[#This Row],[Firstmonth]]))*12+(MONTH(Table1_1[[#This Row],[OrderMonth]])-MONTH(Table1_1[[#This Row],[Firstmonth]]))</f>
        <v>25</v>
      </c>
    </row>
    <row r="598" spans="1:27" x14ac:dyDescent="0.25">
      <c r="A598" s="11" t="s">
        <v>311</v>
      </c>
      <c r="B598" s="2">
        <v>45204</v>
      </c>
      <c r="C598" s="2">
        <v>45230</v>
      </c>
      <c r="D598" s="11" t="s">
        <v>1413</v>
      </c>
      <c r="E598">
        <v>26</v>
      </c>
      <c r="F598" s="11" t="s">
        <v>1476</v>
      </c>
      <c r="G598" s="11" t="s">
        <v>1457</v>
      </c>
      <c r="H598" s="11" t="s">
        <v>1511</v>
      </c>
      <c r="I598" s="11" t="s">
        <v>645</v>
      </c>
      <c r="J598" s="11" t="s">
        <v>1366</v>
      </c>
      <c r="K598" s="11" t="s">
        <v>669</v>
      </c>
      <c r="L598" s="11" t="s">
        <v>976</v>
      </c>
      <c r="M598" s="10">
        <v>5</v>
      </c>
      <c r="N598">
        <v>649.91</v>
      </c>
      <c r="O598" s="3">
        <v>1360.12</v>
      </c>
      <c r="P598" s="11" t="s">
        <v>1466</v>
      </c>
      <c r="Q598" s="4">
        <v>0.19400000000000001</v>
      </c>
      <c r="R598" s="3">
        <v>5481.2835999999998</v>
      </c>
      <c r="S598" s="3">
        <v>3249.5499999999997</v>
      </c>
      <c r="T598" s="4">
        <v>0.40715528749506802</v>
      </c>
      <c r="U598" s="11" t="s">
        <v>654</v>
      </c>
      <c r="V598" s="3">
        <v>2231.7336</v>
      </c>
      <c r="W598" s="11" t="s">
        <v>1439</v>
      </c>
      <c r="X598" t="str">
        <f>TEXT(Table1_1[[#This Row],[OrderDate]],"mm yyyy")</f>
        <v>10 2023</v>
      </c>
      <c r="Y598" s="13">
        <f>DATE(YEAR(Table1_1[[#This Row],[OrderDate]]),MONTH(B598),1)</f>
        <v>45200</v>
      </c>
      <c r="Z598" s="2">
        <f t="shared" si="9"/>
        <v>45139</v>
      </c>
      <c r="AA598">
        <f>(YEAR(Table1_1[[#This Row],[OrderMonth]])-YEAR(Table1_1[[#This Row],[Firstmonth]]))*12+(MONTH(Table1_1[[#This Row],[OrderMonth]])-MONTH(Table1_1[[#This Row],[Firstmonth]]))</f>
        <v>2</v>
      </c>
    </row>
    <row r="599" spans="1:27" x14ac:dyDescent="0.25">
      <c r="A599" s="11" t="s">
        <v>98</v>
      </c>
      <c r="B599" s="2">
        <v>45876</v>
      </c>
      <c r="C599" s="2">
        <v>45888</v>
      </c>
      <c r="D599" s="11" t="s">
        <v>1413</v>
      </c>
      <c r="E599">
        <v>12</v>
      </c>
      <c r="F599" s="11" t="s">
        <v>1485</v>
      </c>
      <c r="G599" s="11" t="s">
        <v>1449</v>
      </c>
      <c r="H599" s="11" t="s">
        <v>1494</v>
      </c>
      <c r="I599" s="11" t="s">
        <v>642</v>
      </c>
      <c r="J599" s="11" t="s">
        <v>1366</v>
      </c>
      <c r="K599" s="11" t="s">
        <v>668</v>
      </c>
      <c r="L599" s="11" t="s">
        <v>762</v>
      </c>
      <c r="M599" s="10">
        <v>5</v>
      </c>
      <c r="N599">
        <v>601.51</v>
      </c>
      <c r="O599" s="3">
        <v>679.35</v>
      </c>
      <c r="P599" s="11" t="s">
        <v>1468</v>
      </c>
      <c r="Q599" s="4">
        <v>0.188</v>
      </c>
      <c r="R599" s="3">
        <v>2758.1610000000001</v>
      </c>
      <c r="S599" s="3">
        <v>3007.55</v>
      </c>
      <c r="T599" s="4">
        <v>-9.0418579626062506E-2</v>
      </c>
      <c r="U599" s="11" t="s">
        <v>665</v>
      </c>
      <c r="V599" s="3">
        <v>-249.38900000000012</v>
      </c>
      <c r="W599" s="11" t="s">
        <v>1438</v>
      </c>
      <c r="X599" t="str">
        <f>TEXT(Table1_1[[#This Row],[OrderDate]],"mm yyyy")</f>
        <v>08 2025</v>
      </c>
      <c r="Y599" s="13">
        <f>DATE(YEAR(Table1_1[[#This Row],[OrderDate]]),MONTH(B599),1)</f>
        <v>45870</v>
      </c>
      <c r="Z599" s="2">
        <f t="shared" si="9"/>
        <v>45017</v>
      </c>
      <c r="AA599">
        <f>(YEAR(Table1_1[[#This Row],[OrderMonth]])-YEAR(Table1_1[[#This Row],[Firstmonth]]))*12+(MONTH(Table1_1[[#This Row],[OrderMonth]])-MONTH(Table1_1[[#This Row],[Firstmonth]]))</f>
        <v>28</v>
      </c>
    </row>
    <row r="600" spans="1:27" x14ac:dyDescent="0.25">
      <c r="A600" s="11" t="s">
        <v>593</v>
      </c>
      <c r="B600" s="2">
        <v>45539</v>
      </c>
      <c r="C600" s="2">
        <v>45541</v>
      </c>
      <c r="D600" s="11" t="s">
        <v>1413</v>
      </c>
      <c r="E600">
        <v>2</v>
      </c>
      <c r="F600" s="11" t="s">
        <v>1476</v>
      </c>
      <c r="G600" s="11" t="s">
        <v>1451</v>
      </c>
      <c r="H600" s="11" t="s">
        <v>1487</v>
      </c>
      <c r="I600" s="11" t="s">
        <v>642</v>
      </c>
      <c r="J600" s="11" t="s">
        <v>652</v>
      </c>
      <c r="K600" s="11" t="s">
        <v>672</v>
      </c>
      <c r="L600" s="11" t="s">
        <v>1256</v>
      </c>
      <c r="M600" s="10">
        <v>4</v>
      </c>
      <c r="N600">
        <v>1368.17</v>
      </c>
      <c r="O600" s="3">
        <v>2307.75</v>
      </c>
      <c r="P600" s="11" t="s">
        <v>1471</v>
      </c>
      <c r="Q600" s="4">
        <v>0.16300000000000001</v>
      </c>
      <c r="R600" s="3">
        <v>7726.3469999999998</v>
      </c>
      <c r="S600" s="3">
        <v>5472.68</v>
      </c>
      <c r="T600" s="4">
        <v>0.29168596750831899</v>
      </c>
      <c r="U600" s="11" t="s">
        <v>661</v>
      </c>
      <c r="V600" s="3">
        <v>2253.6669999999995</v>
      </c>
      <c r="W600" s="11" t="s">
        <v>1437</v>
      </c>
      <c r="X600" t="str">
        <f>TEXT(Table1_1[[#This Row],[OrderDate]],"mm yyyy")</f>
        <v>09 2024</v>
      </c>
      <c r="Y600" s="13">
        <f>DATE(YEAR(Table1_1[[#This Row],[OrderDate]]),MONTH(B600),1)</f>
        <v>45536</v>
      </c>
      <c r="Z600" s="2">
        <f t="shared" si="9"/>
        <v>45017</v>
      </c>
      <c r="AA600">
        <f>(YEAR(Table1_1[[#This Row],[OrderMonth]])-YEAR(Table1_1[[#This Row],[Firstmonth]]))*12+(MONTH(Table1_1[[#This Row],[OrderMonth]])-MONTH(Table1_1[[#This Row],[Firstmonth]]))</f>
        <v>17</v>
      </c>
    </row>
    <row r="601" spans="1:27" x14ac:dyDescent="0.25">
      <c r="A601" s="11" t="s">
        <v>26</v>
      </c>
      <c r="B601" s="2">
        <v>45038</v>
      </c>
      <c r="C601" s="2">
        <v>45039</v>
      </c>
      <c r="D601" s="11" t="s">
        <v>1413</v>
      </c>
      <c r="E601">
        <v>1</v>
      </c>
      <c r="F601" s="11" t="s">
        <v>1485</v>
      </c>
      <c r="G601" s="11" t="s">
        <v>1449</v>
      </c>
      <c r="H601" s="11" t="s">
        <v>1486</v>
      </c>
      <c r="I601" s="11" t="s">
        <v>646</v>
      </c>
      <c r="J601" s="11" t="s">
        <v>652</v>
      </c>
      <c r="K601" s="11" t="s">
        <v>672</v>
      </c>
      <c r="L601" s="11" t="s">
        <v>690</v>
      </c>
      <c r="M601" s="10">
        <v>25</v>
      </c>
      <c r="N601">
        <v>756.51</v>
      </c>
      <c r="O601" s="3">
        <v>850.8</v>
      </c>
      <c r="P601" s="11" t="s">
        <v>1466</v>
      </c>
      <c r="Q601" s="4">
        <v>7.3999999999999996E-2</v>
      </c>
      <c r="R601" s="3">
        <v>19696.02</v>
      </c>
      <c r="S601" s="3">
        <v>18912.75</v>
      </c>
      <c r="T601" s="4">
        <v>3.9767932810791197E-2</v>
      </c>
      <c r="U601" s="11" t="s">
        <v>659</v>
      </c>
      <c r="V601" s="3">
        <v>783.27000000000044</v>
      </c>
      <c r="W601" s="11" t="s">
        <v>1435</v>
      </c>
      <c r="X601" t="str">
        <f>TEXT(Table1_1[[#This Row],[OrderDate]],"mm yyyy")</f>
        <v>04 2023</v>
      </c>
      <c r="Y601" s="13">
        <f>DATE(YEAR(Table1_1[[#This Row],[OrderDate]]),MONTH(B601),1)</f>
        <v>45017</v>
      </c>
      <c r="Z601" s="2">
        <f t="shared" si="9"/>
        <v>45017</v>
      </c>
      <c r="AA601">
        <f>(YEAR(Table1_1[[#This Row],[OrderMonth]])-YEAR(Table1_1[[#This Row],[Firstmonth]]))*12+(MONTH(Table1_1[[#This Row],[OrderMonth]])-MONTH(Table1_1[[#This Row],[Firstmonth]]))</f>
        <v>0</v>
      </c>
    </row>
    <row r="602" spans="1:27" x14ac:dyDescent="0.25">
      <c r="A602" s="11" t="s">
        <v>227</v>
      </c>
      <c r="B602" s="2">
        <v>44947</v>
      </c>
      <c r="C602" s="2">
        <v>44948</v>
      </c>
      <c r="D602" s="11" t="s">
        <v>1413</v>
      </c>
      <c r="E602">
        <v>1</v>
      </c>
      <c r="F602" s="11" t="s">
        <v>1464</v>
      </c>
      <c r="G602" s="11" t="s">
        <v>1455</v>
      </c>
      <c r="H602" s="11" t="s">
        <v>1483</v>
      </c>
      <c r="I602" s="11" t="s">
        <v>642</v>
      </c>
      <c r="J602" s="11" t="s">
        <v>652</v>
      </c>
      <c r="K602" s="11" t="s">
        <v>673</v>
      </c>
      <c r="L602" s="11" t="s">
        <v>892</v>
      </c>
      <c r="M602" s="10">
        <v>19</v>
      </c>
      <c r="N602">
        <v>150.86000000000001</v>
      </c>
      <c r="O602" s="3">
        <v>346.96</v>
      </c>
      <c r="P602" s="11" t="s">
        <v>1468</v>
      </c>
      <c r="Q602" s="4">
        <v>0.19600000000000001</v>
      </c>
      <c r="R602" s="3">
        <v>5300.1609600000002</v>
      </c>
      <c r="S602" s="3">
        <v>2866.34</v>
      </c>
      <c r="T602" s="4">
        <v>0.45919755614365299</v>
      </c>
      <c r="U602" s="11" t="s">
        <v>662</v>
      </c>
      <c r="V602" s="3">
        <v>2433.82096</v>
      </c>
      <c r="W602" s="11" t="s">
        <v>1432</v>
      </c>
      <c r="X602" t="str">
        <f>TEXT(Table1_1[[#This Row],[OrderDate]],"mm yyyy")</f>
        <v>01 2023</v>
      </c>
      <c r="Y602" s="13">
        <f>DATE(YEAR(Table1_1[[#This Row],[OrderDate]]),MONTH(B602),1)</f>
        <v>44927</v>
      </c>
      <c r="Z602" s="2">
        <f t="shared" si="9"/>
        <v>44927</v>
      </c>
      <c r="AA602">
        <f>(YEAR(Table1_1[[#This Row],[OrderMonth]])-YEAR(Table1_1[[#This Row],[Firstmonth]]))*12+(MONTH(Table1_1[[#This Row],[OrderMonth]])-MONTH(Table1_1[[#This Row],[Firstmonth]]))</f>
        <v>0</v>
      </c>
    </row>
    <row r="603" spans="1:27" x14ac:dyDescent="0.25">
      <c r="A603" s="11" t="s">
        <v>503</v>
      </c>
      <c r="B603" s="2">
        <v>45351</v>
      </c>
      <c r="C603" s="2">
        <v>45352</v>
      </c>
      <c r="D603" s="11" t="s">
        <v>1413</v>
      </c>
      <c r="E603">
        <v>1</v>
      </c>
      <c r="F603" s="11" t="s">
        <v>1473</v>
      </c>
      <c r="G603" s="11" t="s">
        <v>1488</v>
      </c>
      <c r="H603" s="11" t="s">
        <v>1489</v>
      </c>
      <c r="I603" s="11" t="s">
        <v>644</v>
      </c>
      <c r="J603" s="11" t="s">
        <v>652</v>
      </c>
      <c r="K603" s="11" t="s">
        <v>671</v>
      </c>
      <c r="L603" s="11" t="s">
        <v>1167</v>
      </c>
      <c r="M603" s="10">
        <v>7</v>
      </c>
      <c r="N603">
        <v>5.34</v>
      </c>
      <c r="O603" s="3">
        <v>12.69</v>
      </c>
      <c r="P603" s="11" t="s">
        <v>1468</v>
      </c>
      <c r="Q603" s="4">
        <v>0.13200000000000001</v>
      </c>
      <c r="R603" s="3">
        <v>77.104439999999997</v>
      </c>
      <c r="S603" s="3">
        <v>37.379999999999995</v>
      </c>
      <c r="T603" s="4">
        <v>0.51520301554618697</v>
      </c>
      <c r="U603" s="11" t="s">
        <v>655</v>
      </c>
      <c r="V603" s="3">
        <v>39.724440000000001</v>
      </c>
      <c r="W603" s="11" t="s">
        <v>1433</v>
      </c>
      <c r="X603" t="str">
        <f>TEXT(Table1_1[[#This Row],[OrderDate]],"mm yyyy")</f>
        <v>02 2024</v>
      </c>
      <c r="Y603" s="13">
        <f>DATE(YEAR(Table1_1[[#This Row],[OrderDate]]),MONTH(B603),1)</f>
        <v>45323</v>
      </c>
      <c r="Z603" s="2">
        <f t="shared" si="9"/>
        <v>45323</v>
      </c>
      <c r="AA603">
        <f>(YEAR(Table1_1[[#This Row],[OrderMonth]])-YEAR(Table1_1[[#This Row],[Firstmonth]]))*12+(MONTH(Table1_1[[#This Row],[OrderMonth]])-MONTH(Table1_1[[#This Row],[Firstmonth]]))</f>
        <v>0</v>
      </c>
    </row>
    <row r="604" spans="1:27" x14ac:dyDescent="0.25">
      <c r="A604" s="11" t="s">
        <v>31</v>
      </c>
      <c r="B604" s="2">
        <v>45497</v>
      </c>
      <c r="C604" s="2">
        <v>45498</v>
      </c>
      <c r="D604" s="11" t="s">
        <v>1413</v>
      </c>
      <c r="E604">
        <v>1</v>
      </c>
      <c r="F604" s="11" t="s">
        <v>1485</v>
      </c>
      <c r="G604" s="11" t="s">
        <v>1449</v>
      </c>
      <c r="H604" s="11" t="s">
        <v>1503</v>
      </c>
      <c r="I604" s="11" t="s">
        <v>644</v>
      </c>
      <c r="J604" s="11" t="s">
        <v>652</v>
      </c>
      <c r="K604" s="11" t="s">
        <v>672</v>
      </c>
      <c r="L604" s="11" t="s">
        <v>695</v>
      </c>
      <c r="M604" s="10">
        <v>2</v>
      </c>
      <c r="N604">
        <v>1494.4</v>
      </c>
      <c r="O604" s="3">
        <v>3661.07</v>
      </c>
      <c r="P604" s="11" t="s">
        <v>1471</v>
      </c>
      <c r="Q604" s="4">
        <v>7.1999999999999995E-2</v>
      </c>
      <c r="R604" s="3">
        <v>6794.945920000001</v>
      </c>
      <c r="S604" s="3">
        <v>2988.8</v>
      </c>
      <c r="T604" s="4">
        <v>0.56014366630897305</v>
      </c>
      <c r="U604" s="11" t="s">
        <v>654</v>
      </c>
      <c r="V604" s="3">
        <v>3806.1459200000008</v>
      </c>
      <c r="W604" s="11" t="s">
        <v>1437</v>
      </c>
      <c r="X604" t="str">
        <f>TEXT(Table1_1[[#This Row],[OrderDate]],"mm yyyy")</f>
        <v>07 2024</v>
      </c>
      <c r="Y604" s="13">
        <f>DATE(YEAR(Table1_1[[#This Row],[OrderDate]]),MONTH(B604),1)</f>
        <v>45474</v>
      </c>
      <c r="Z604" s="2">
        <f t="shared" si="9"/>
        <v>45474</v>
      </c>
      <c r="AA604">
        <f>(YEAR(Table1_1[[#This Row],[OrderMonth]])-YEAR(Table1_1[[#This Row],[Firstmonth]]))*12+(MONTH(Table1_1[[#This Row],[OrderMonth]])-MONTH(Table1_1[[#This Row],[Firstmonth]]))</f>
        <v>0</v>
      </c>
    </row>
    <row r="605" spans="1:27" x14ac:dyDescent="0.25">
      <c r="A605" s="11" t="s">
        <v>634</v>
      </c>
      <c r="B605" s="2">
        <v>45140</v>
      </c>
      <c r="C605" s="2">
        <v>45141</v>
      </c>
      <c r="D605" s="11" t="s">
        <v>1413</v>
      </c>
      <c r="E605">
        <v>1</v>
      </c>
      <c r="F605" s="11" t="s">
        <v>1476</v>
      </c>
      <c r="G605" s="11" t="s">
        <v>1457</v>
      </c>
      <c r="H605" s="11" t="s">
        <v>1511</v>
      </c>
      <c r="I605" s="11" t="s">
        <v>644</v>
      </c>
      <c r="J605" s="11" t="s">
        <v>652</v>
      </c>
      <c r="K605" s="11" t="s">
        <v>670</v>
      </c>
      <c r="L605" s="11" t="s">
        <v>1297</v>
      </c>
      <c r="M605" s="10">
        <v>17</v>
      </c>
      <c r="N605">
        <v>1021.97</v>
      </c>
      <c r="O605" s="3">
        <v>2296.25</v>
      </c>
      <c r="P605" s="11" t="s">
        <v>1471</v>
      </c>
      <c r="Q605" s="4">
        <v>0.161</v>
      </c>
      <c r="R605" s="3">
        <v>32751.41375</v>
      </c>
      <c r="S605" s="3">
        <v>17373.490000000002</v>
      </c>
      <c r="T605" s="4">
        <v>0.46953465482081702</v>
      </c>
      <c r="U605" s="11" t="s">
        <v>654</v>
      </c>
      <c r="V605" s="3">
        <v>15377.923749999998</v>
      </c>
      <c r="W605" s="11" t="s">
        <v>1430</v>
      </c>
      <c r="X605" t="str">
        <f>TEXT(Table1_1[[#This Row],[OrderDate]],"mm yyyy")</f>
        <v>08 2023</v>
      </c>
      <c r="Y605" s="13">
        <f>DATE(YEAR(Table1_1[[#This Row],[OrderDate]]),MONTH(B605),1)</f>
        <v>45139</v>
      </c>
      <c r="Z605" s="2">
        <f t="shared" si="9"/>
        <v>45139</v>
      </c>
      <c r="AA605">
        <f>(YEAR(Table1_1[[#This Row],[OrderMonth]])-YEAR(Table1_1[[#This Row],[Firstmonth]]))*12+(MONTH(Table1_1[[#This Row],[OrderMonth]])-MONTH(Table1_1[[#This Row],[Firstmonth]]))</f>
        <v>0</v>
      </c>
    </row>
    <row r="606" spans="1:27" x14ac:dyDescent="0.25">
      <c r="A606" s="11" t="s">
        <v>88</v>
      </c>
      <c r="B606" s="2">
        <v>45471</v>
      </c>
      <c r="C606" s="2">
        <v>45473</v>
      </c>
      <c r="D606" s="11" t="s">
        <v>1413</v>
      </c>
      <c r="E606">
        <v>2</v>
      </c>
      <c r="F606" s="11" t="s">
        <v>1473</v>
      </c>
      <c r="G606" s="11" t="s">
        <v>1505</v>
      </c>
      <c r="H606" s="11" t="s">
        <v>1506</v>
      </c>
      <c r="I606" s="11" t="s">
        <v>646</v>
      </c>
      <c r="J606" s="11" t="s">
        <v>652</v>
      </c>
      <c r="K606" s="11" t="s">
        <v>674</v>
      </c>
      <c r="L606" s="11" t="s">
        <v>752</v>
      </c>
      <c r="M606" s="10">
        <v>7</v>
      </c>
      <c r="N606">
        <v>1112.98</v>
      </c>
      <c r="O606" s="3">
        <v>2095.73</v>
      </c>
      <c r="P606" s="11" t="s">
        <v>1471</v>
      </c>
      <c r="Q606" s="4">
        <v>7.1999999999999995E-2</v>
      </c>
      <c r="R606" s="3">
        <v>13613.862080000001</v>
      </c>
      <c r="S606" s="3">
        <v>7790.8600000000006</v>
      </c>
      <c r="T606" s="4">
        <v>0.42772594916724799</v>
      </c>
      <c r="U606" s="11" t="s">
        <v>657</v>
      </c>
      <c r="V606" s="3">
        <v>5823.0020800000002</v>
      </c>
      <c r="W606" s="11" t="s">
        <v>1436</v>
      </c>
      <c r="X606" t="str">
        <f>TEXT(Table1_1[[#This Row],[OrderDate]],"mm yyyy")</f>
        <v>06 2024</v>
      </c>
      <c r="Y606" s="13">
        <f>DATE(YEAR(Table1_1[[#This Row],[OrderDate]]),MONTH(B606),1)</f>
        <v>45444</v>
      </c>
      <c r="Z606" s="2">
        <f t="shared" si="9"/>
        <v>45078</v>
      </c>
      <c r="AA606">
        <f>(YEAR(Table1_1[[#This Row],[OrderMonth]])-YEAR(Table1_1[[#This Row],[Firstmonth]]))*12+(MONTH(Table1_1[[#This Row],[OrderMonth]])-MONTH(Table1_1[[#This Row],[Firstmonth]]))</f>
        <v>12</v>
      </c>
    </row>
    <row r="607" spans="1:27" x14ac:dyDescent="0.25">
      <c r="A607" s="11" t="s">
        <v>447</v>
      </c>
      <c r="B607" s="2">
        <v>45035</v>
      </c>
      <c r="C607" s="2">
        <v>45037</v>
      </c>
      <c r="D607" s="11" t="s">
        <v>1413</v>
      </c>
      <c r="E607">
        <v>2</v>
      </c>
      <c r="F607" s="11" t="s">
        <v>1476</v>
      </c>
      <c r="G607" s="11" t="s">
        <v>1451</v>
      </c>
      <c r="H607" s="11" t="s">
        <v>1484</v>
      </c>
      <c r="I607" s="11" t="s">
        <v>646</v>
      </c>
      <c r="J607" s="11" t="s">
        <v>652</v>
      </c>
      <c r="K607" s="11" t="s">
        <v>668</v>
      </c>
      <c r="L607" s="11" t="s">
        <v>1111</v>
      </c>
      <c r="M607" s="10">
        <v>13</v>
      </c>
      <c r="N607">
        <v>607.04</v>
      </c>
      <c r="O607" s="3">
        <v>1229.3399999999999</v>
      </c>
      <c r="P607" s="11" t="s">
        <v>1466</v>
      </c>
      <c r="Q607" s="4">
        <v>0.14699999999999999</v>
      </c>
      <c r="R607" s="3">
        <v>13632.151259999999</v>
      </c>
      <c r="S607" s="3">
        <v>7891.5199999999995</v>
      </c>
      <c r="T607" s="4">
        <v>0.42110970972310102</v>
      </c>
      <c r="U607" s="11" t="s">
        <v>665</v>
      </c>
      <c r="V607" s="3">
        <v>5740.6312599999992</v>
      </c>
      <c r="W607" s="11" t="s">
        <v>1435</v>
      </c>
      <c r="X607" t="str">
        <f>TEXT(Table1_1[[#This Row],[OrderDate]],"mm yyyy")</f>
        <v>04 2023</v>
      </c>
      <c r="Y607" s="13">
        <f>DATE(YEAR(Table1_1[[#This Row],[OrderDate]]),MONTH(B607),1)</f>
        <v>45017</v>
      </c>
      <c r="Z607" s="2">
        <f t="shared" si="9"/>
        <v>45017</v>
      </c>
      <c r="AA607">
        <f>(YEAR(Table1_1[[#This Row],[OrderMonth]])-YEAR(Table1_1[[#This Row],[Firstmonth]]))*12+(MONTH(Table1_1[[#This Row],[OrderMonth]])-MONTH(Table1_1[[#This Row],[Firstmonth]]))</f>
        <v>0</v>
      </c>
    </row>
    <row r="608" spans="1:27" x14ac:dyDescent="0.25">
      <c r="A608" s="11" t="s">
        <v>609</v>
      </c>
      <c r="B608" s="2">
        <v>45519</v>
      </c>
      <c r="C608" s="2">
        <v>45521</v>
      </c>
      <c r="D608" s="11" t="s">
        <v>1413</v>
      </c>
      <c r="E608">
        <v>2</v>
      </c>
      <c r="F608" s="11" t="s">
        <v>1473</v>
      </c>
      <c r="G608" s="11" t="s">
        <v>1505</v>
      </c>
      <c r="H608" s="11" t="s">
        <v>1506</v>
      </c>
      <c r="I608" s="11" t="s">
        <v>645</v>
      </c>
      <c r="J608" s="11" t="s">
        <v>652</v>
      </c>
      <c r="K608" s="11" t="s">
        <v>673</v>
      </c>
      <c r="L608" s="11" t="s">
        <v>1272</v>
      </c>
      <c r="M608" s="10">
        <v>11</v>
      </c>
      <c r="N608">
        <v>165.3</v>
      </c>
      <c r="O608" s="3">
        <v>275.07</v>
      </c>
      <c r="P608" s="11" t="s">
        <v>1468</v>
      </c>
      <c r="Q608" s="4">
        <v>0.13300000000000001</v>
      </c>
      <c r="R608" s="3">
        <v>2623.3425899999997</v>
      </c>
      <c r="S608" s="3">
        <v>1818.3000000000002</v>
      </c>
      <c r="T608" s="4">
        <v>0.30687665159280603</v>
      </c>
      <c r="U608" s="11" t="s">
        <v>665</v>
      </c>
      <c r="V608" s="3">
        <v>805.04258999999956</v>
      </c>
      <c r="W608" s="11" t="s">
        <v>1437</v>
      </c>
      <c r="X608" t="str">
        <f>TEXT(Table1_1[[#This Row],[OrderDate]],"mm yyyy")</f>
        <v>08 2024</v>
      </c>
      <c r="Y608" s="13">
        <f>DATE(YEAR(Table1_1[[#This Row],[OrderDate]]),MONTH(B608),1)</f>
        <v>45505</v>
      </c>
      <c r="Z608" s="2">
        <f t="shared" si="9"/>
        <v>45078</v>
      </c>
      <c r="AA608">
        <f>(YEAR(Table1_1[[#This Row],[OrderMonth]])-YEAR(Table1_1[[#This Row],[Firstmonth]]))*12+(MONTH(Table1_1[[#This Row],[OrderMonth]])-MONTH(Table1_1[[#This Row],[Firstmonth]]))</f>
        <v>14</v>
      </c>
    </row>
    <row r="609" spans="1:27" x14ac:dyDescent="0.25">
      <c r="A609" s="11" t="s">
        <v>619</v>
      </c>
      <c r="B609" s="2">
        <v>45318</v>
      </c>
      <c r="C609" s="2">
        <v>45319</v>
      </c>
      <c r="D609" s="11" t="s">
        <v>1413</v>
      </c>
      <c r="E609">
        <v>1</v>
      </c>
      <c r="F609" s="11" t="s">
        <v>1485</v>
      </c>
      <c r="G609" s="11" t="s">
        <v>1501</v>
      </c>
      <c r="H609" s="11" t="s">
        <v>1502</v>
      </c>
      <c r="I609" s="11" t="s">
        <v>647</v>
      </c>
      <c r="J609" s="11" t="s">
        <v>652</v>
      </c>
      <c r="K609" s="11" t="s">
        <v>668</v>
      </c>
      <c r="L609" s="11" t="s">
        <v>1282</v>
      </c>
      <c r="M609" s="10">
        <v>9</v>
      </c>
      <c r="N609">
        <v>109.75</v>
      </c>
      <c r="O609" s="3">
        <v>124.25</v>
      </c>
      <c r="P609" s="11" t="s">
        <v>1468</v>
      </c>
      <c r="Q609" s="4">
        <v>0.12</v>
      </c>
      <c r="R609" s="3">
        <v>984.06000000000006</v>
      </c>
      <c r="S609" s="3">
        <v>987.75</v>
      </c>
      <c r="T609" s="4">
        <v>-3.7497713554051001E-3</v>
      </c>
      <c r="U609" s="11" t="s">
        <v>660</v>
      </c>
      <c r="V609" s="3">
        <v>-3.6899999999999409</v>
      </c>
      <c r="W609" s="11" t="s">
        <v>1433</v>
      </c>
      <c r="X609" t="str">
        <f>TEXT(Table1_1[[#This Row],[OrderDate]],"mm yyyy")</f>
        <v>01 2024</v>
      </c>
      <c r="Y609" s="13">
        <f>DATE(YEAR(Table1_1[[#This Row],[OrderDate]]),MONTH(B609),1)</f>
        <v>45292</v>
      </c>
      <c r="Z609" s="2">
        <f t="shared" si="9"/>
        <v>45292</v>
      </c>
      <c r="AA609">
        <f>(YEAR(Table1_1[[#This Row],[OrderMonth]])-YEAR(Table1_1[[#This Row],[Firstmonth]]))*12+(MONTH(Table1_1[[#This Row],[OrderMonth]])-MONTH(Table1_1[[#This Row],[Firstmonth]]))</f>
        <v>0</v>
      </c>
    </row>
    <row r="610" spans="1:27" x14ac:dyDescent="0.25">
      <c r="A610" s="11" t="s">
        <v>85</v>
      </c>
      <c r="B610" s="2">
        <v>45064</v>
      </c>
      <c r="C610" s="2">
        <v>45066</v>
      </c>
      <c r="D610" s="11" t="s">
        <v>1413</v>
      </c>
      <c r="E610">
        <v>2</v>
      </c>
      <c r="F610" s="11" t="s">
        <v>1485</v>
      </c>
      <c r="G610" s="11" t="s">
        <v>1490</v>
      </c>
      <c r="H610" s="11" t="s">
        <v>1515</v>
      </c>
      <c r="I610" s="11" t="s">
        <v>642</v>
      </c>
      <c r="J610" s="11" t="s">
        <v>651</v>
      </c>
      <c r="K610" s="11" t="s">
        <v>668</v>
      </c>
      <c r="L610" s="11" t="s">
        <v>749</v>
      </c>
      <c r="M610" s="10">
        <v>14</v>
      </c>
      <c r="N610">
        <v>917.88</v>
      </c>
      <c r="O610" s="3">
        <v>1347.92</v>
      </c>
      <c r="P610" s="11" t="s">
        <v>1466</v>
      </c>
      <c r="Q610" s="4">
        <v>0.34300000000000003</v>
      </c>
      <c r="R610" s="3">
        <v>12398.168160000001</v>
      </c>
      <c r="S610" s="3">
        <v>12850.32</v>
      </c>
      <c r="T610" s="4">
        <v>-3.64692456308802E-2</v>
      </c>
      <c r="U610" s="11" t="s">
        <v>661</v>
      </c>
      <c r="V610" s="3">
        <v>-452.15183999999863</v>
      </c>
      <c r="W610" s="11" t="s">
        <v>1435</v>
      </c>
      <c r="X610" t="str">
        <f>TEXT(Table1_1[[#This Row],[OrderDate]],"mm yyyy")</f>
        <v>05 2023</v>
      </c>
      <c r="Y610" s="13">
        <f>DATE(YEAR(Table1_1[[#This Row],[OrderDate]]),MONTH(B610),1)</f>
        <v>45047</v>
      </c>
      <c r="Z610" s="2">
        <f t="shared" si="9"/>
        <v>45047</v>
      </c>
      <c r="AA610">
        <f>(YEAR(Table1_1[[#This Row],[OrderMonth]])-YEAR(Table1_1[[#This Row],[Firstmonth]]))*12+(MONTH(Table1_1[[#This Row],[OrderMonth]])-MONTH(Table1_1[[#This Row],[Firstmonth]]))</f>
        <v>0</v>
      </c>
    </row>
    <row r="611" spans="1:27" x14ac:dyDescent="0.25">
      <c r="A611" s="11" t="s">
        <v>94</v>
      </c>
      <c r="B611" s="2">
        <v>45769</v>
      </c>
      <c r="C611" s="2">
        <v>45770</v>
      </c>
      <c r="D611" s="11" t="s">
        <v>1413</v>
      </c>
      <c r="E611">
        <v>1</v>
      </c>
      <c r="F611" s="11" t="s">
        <v>1473</v>
      </c>
      <c r="G611" s="11" t="s">
        <v>1498</v>
      </c>
      <c r="H611" s="11" t="s">
        <v>1499</v>
      </c>
      <c r="I611" s="11" t="s">
        <v>644</v>
      </c>
      <c r="J611" s="11" t="s">
        <v>651</v>
      </c>
      <c r="K611" s="11" t="s">
        <v>673</v>
      </c>
      <c r="L611" s="11" t="s">
        <v>758</v>
      </c>
      <c r="M611" s="10">
        <v>19</v>
      </c>
      <c r="N611">
        <v>23.24</v>
      </c>
      <c r="O611" s="3">
        <v>44.57</v>
      </c>
      <c r="P611" s="11" t="s">
        <v>1468</v>
      </c>
      <c r="Q611" s="4">
        <v>0.215</v>
      </c>
      <c r="R611" s="3">
        <v>664.76155000000006</v>
      </c>
      <c r="S611" s="3">
        <v>441.55999999999995</v>
      </c>
      <c r="T611" s="4">
        <v>0.335761823168022</v>
      </c>
      <c r="U611" s="11" t="s">
        <v>667</v>
      </c>
      <c r="V611" s="3">
        <v>223.20155000000011</v>
      </c>
      <c r="W611" s="11" t="s">
        <v>1431</v>
      </c>
      <c r="X611" t="str">
        <f>TEXT(Table1_1[[#This Row],[OrderDate]],"mm yyyy")</f>
        <v>04 2025</v>
      </c>
      <c r="Y611" s="13">
        <f>DATE(YEAR(Table1_1[[#This Row],[OrderDate]]),MONTH(B611),1)</f>
        <v>45748</v>
      </c>
      <c r="Z611" s="2">
        <f t="shared" si="9"/>
        <v>44958</v>
      </c>
      <c r="AA611">
        <f>(YEAR(Table1_1[[#This Row],[OrderMonth]])-YEAR(Table1_1[[#This Row],[Firstmonth]]))*12+(MONTH(Table1_1[[#This Row],[OrderMonth]])-MONTH(Table1_1[[#This Row],[Firstmonth]]))</f>
        <v>26</v>
      </c>
    </row>
    <row r="612" spans="1:27" x14ac:dyDescent="0.25">
      <c r="A612" s="11" t="s">
        <v>460</v>
      </c>
      <c r="B612" s="2">
        <v>45128</v>
      </c>
      <c r="C612" s="2">
        <v>45129</v>
      </c>
      <c r="D612" s="11" t="s">
        <v>1413</v>
      </c>
      <c r="E612">
        <v>1</v>
      </c>
      <c r="F612" s="11" t="s">
        <v>1476</v>
      </c>
      <c r="G612" s="11" t="s">
        <v>1453</v>
      </c>
      <c r="H612" s="11" t="s">
        <v>1479</v>
      </c>
      <c r="I612" s="11" t="s">
        <v>646</v>
      </c>
      <c r="J612" s="11" t="s">
        <v>651</v>
      </c>
      <c r="K612" s="11" t="s">
        <v>669</v>
      </c>
      <c r="L612" s="11" t="s">
        <v>1124</v>
      </c>
      <c r="M612" s="10">
        <v>8</v>
      </c>
      <c r="N612">
        <v>946.99</v>
      </c>
      <c r="O612" s="3">
        <v>2132.19</v>
      </c>
      <c r="P612" s="11" t="s">
        <v>1471</v>
      </c>
      <c r="Q612" s="4">
        <v>0.16500000000000001</v>
      </c>
      <c r="R612" s="3">
        <v>14243.029199999999</v>
      </c>
      <c r="S612" s="3">
        <v>7575.92</v>
      </c>
      <c r="T612" s="4">
        <v>0.468096295133622</v>
      </c>
      <c r="U612" s="11" t="s">
        <v>659</v>
      </c>
      <c r="V612" s="3">
        <v>6667.109199999999</v>
      </c>
      <c r="W612" s="11" t="s">
        <v>1430</v>
      </c>
      <c r="X612" t="str">
        <f>TEXT(Table1_1[[#This Row],[OrderDate]],"mm yyyy")</f>
        <v>07 2023</v>
      </c>
      <c r="Y612" s="13">
        <f>DATE(YEAR(Table1_1[[#This Row],[OrderDate]]),MONTH(B612),1)</f>
        <v>45108</v>
      </c>
      <c r="Z612" s="2">
        <f t="shared" si="9"/>
        <v>45108</v>
      </c>
      <c r="AA612">
        <f>(YEAR(Table1_1[[#This Row],[OrderMonth]])-YEAR(Table1_1[[#This Row],[Firstmonth]]))*12+(MONTH(Table1_1[[#This Row],[OrderMonth]])-MONTH(Table1_1[[#This Row],[Firstmonth]]))</f>
        <v>0</v>
      </c>
    </row>
    <row r="613" spans="1:27" x14ac:dyDescent="0.25">
      <c r="A613" s="11" t="s">
        <v>567</v>
      </c>
      <c r="B613" s="2">
        <v>45789</v>
      </c>
      <c r="C613" s="2">
        <v>45791</v>
      </c>
      <c r="D613" s="11" t="s">
        <v>1413</v>
      </c>
      <c r="E613">
        <v>2</v>
      </c>
      <c r="F613" s="11" t="s">
        <v>1473</v>
      </c>
      <c r="G613" s="11" t="s">
        <v>1452</v>
      </c>
      <c r="H613" s="11" t="s">
        <v>1475</v>
      </c>
      <c r="I613" s="11" t="s">
        <v>644</v>
      </c>
      <c r="J613" s="11" t="s">
        <v>651</v>
      </c>
      <c r="K613" s="11" t="s">
        <v>669</v>
      </c>
      <c r="L613" s="11" t="s">
        <v>1230</v>
      </c>
      <c r="M613" s="10">
        <v>14</v>
      </c>
      <c r="N613">
        <v>883.5</v>
      </c>
      <c r="O613" s="3">
        <v>1978.91</v>
      </c>
      <c r="P613" s="11" t="s">
        <v>1471</v>
      </c>
      <c r="Q613" s="4">
        <v>5.3999999999999999E-2</v>
      </c>
      <c r="R613" s="3">
        <v>26208.68404</v>
      </c>
      <c r="S613" s="3">
        <v>12369</v>
      </c>
      <c r="T613" s="4">
        <v>0.52805718970390603</v>
      </c>
      <c r="U613" s="11" t="s">
        <v>662</v>
      </c>
      <c r="V613" s="3">
        <v>13839.68404</v>
      </c>
      <c r="W613" s="11" t="s">
        <v>1431</v>
      </c>
      <c r="X613" t="str">
        <f>TEXT(Table1_1[[#This Row],[OrderDate]],"mm yyyy")</f>
        <v>05 2025</v>
      </c>
      <c r="Y613" s="13">
        <f>DATE(YEAR(Table1_1[[#This Row],[OrderDate]]),MONTH(B613),1)</f>
        <v>45778</v>
      </c>
      <c r="Z613" s="2">
        <f t="shared" si="9"/>
        <v>45078</v>
      </c>
      <c r="AA613">
        <f>(YEAR(Table1_1[[#This Row],[OrderMonth]])-YEAR(Table1_1[[#This Row],[Firstmonth]]))*12+(MONTH(Table1_1[[#This Row],[OrderMonth]])-MONTH(Table1_1[[#This Row],[Firstmonth]]))</f>
        <v>23</v>
      </c>
    </row>
    <row r="614" spans="1:27" x14ac:dyDescent="0.25">
      <c r="A614" s="11" t="s">
        <v>338</v>
      </c>
      <c r="B614" s="2">
        <v>45794</v>
      </c>
      <c r="C614" s="2">
        <v>45796</v>
      </c>
      <c r="D614" s="11" t="s">
        <v>1413</v>
      </c>
      <c r="E614">
        <v>2</v>
      </c>
      <c r="F614" s="11" t="s">
        <v>1473</v>
      </c>
      <c r="G614" s="11" t="s">
        <v>1488</v>
      </c>
      <c r="H614" s="11" t="s">
        <v>1489</v>
      </c>
      <c r="I614" s="11" t="s">
        <v>646</v>
      </c>
      <c r="J614" s="11" t="s">
        <v>651</v>
      </c>
      <c r="K614" s="11" t="s">
        <v>673</v>
      </c>
      <c r="L614" s="11" t="s">
        <v>1003</v>
      </c>
      <c r="M614" s="10">
        <v>9</v>
      </c>
      <c r="N614">
        <v>383.77</v>
      </c>
      <c r="O614" s="3">
        <v>952.56</v>
      </c>
      <c r="P614" s="11" t="s">
        <v>1466</v>
      </c>
      <c r="Q614" s="4">
        <v>0.34599999999999997</v>
      </c>
      <c r="R614" s="3">
        <v>5606.7681599999996</v>
      </c>
      <c r="S614" s="3">
        <v>3453.93</v>
      </c>
      <c r="T614" s="4">
        <v>0.383971317979376</v>
      </c>
      <c r="U614" s="11" t="s">
        <v>657</v>
      </c>
      <c r="V614" s="3">
        <v>2152.8381599999998</v>
      </c>
      <c r="W614" s="11" t="s">
        <v>1431</v>
      </c>
      <c r="X614" t="str">
        <f>TEXT(Table1_1[[#This Row],[OrderDate]],"mm yyyy")</f>
        <v>05 2025</v>
      </c>
      <c r="Y614" s="13">
        <f>DATE(YEAR(Table1_1[[#This Row],[OrderDate]]),MONTH(B614),1)</f>
        <v>45778</v>
      </c>
      <c r="Z614" s="2">
        <f t="shared" si="9"/>
        <v>45778</v>
      </c>
      <c r="AA614">
        <f>(YEAR(Table1_1[[#This Row],[OrderMonth]])-YEAR(Table1_1[[#This Row],[Firstmonth]]))*12+(MONTH(Table1_1[[#This Row],[OrderMonth]])-MONTH(Table1_1[[#This Row],[Firstmonth]]))</f>
        <v>0</v>
      </c>
    </row>
    <row r="615" spans="1:27" x14ac:dyDescent="0.25">
      <c r="A615" s="11" t="s">
        <v>511</v>
      </c>
      <c r="B615" s="2">
        <v>45406</v>
      </c>
      <c r="C615" s="2">
        <v>45408</v>
      </c>
      <c r="D615" s="11" t="s">
        <v>1413</v>
      </c>
      <c r="E615">
        <v>2</v>
      </c>
      <c r="F615" s="11" t="s">
        <v>1464</v>
      </c>
      <c r="G615" s="11" t="s">
        <v>1469</v>
      </c>
      <c r="H615" s="11" t="s">
        <v>1470</v>
      </c>
      <c r="I615" s="11" t="s">
        <v>644</v>
      </c>
      <c r="J615" s="11" t="s">
        <v>651</v>
      </c>
      <c r="K615" s="11" t="s">
        <v>671</v>
      </c>
      <c r="L615" s="11" t="s">
        <v>1175</v>
      </c>
      <c r="M615" s="10">
        <v>26</v>
      </c>
      <c r="N615">
        <v>1232.77</v>
      </c>
      <c r="O615" s="3">
        <v>891.73</v>
      </c>
      <c r="P615" s="11" t="s">
        <v>1466</v>
      </c>
      <c r="Q615" s="4">
        <v>0.16700000000000001</v>
      </c>
      <c r="R615" s="3">
        <v>19313.088339999998</v>
      </c>
      <c r="S615" s="3">
        <v>32052.02</v>
      </c>
      <c r="T615" s="4">
        <v>-0.65960096260813805</v>
      </c>
      <c r="U615" s="11" t="s">
        <v>666</v>
      </c>
      <c r="V615" s="3">
        <v>-12738.931660000002</v>
      </c>
      <c r="W615" s="11" t="s">
        <v>1436</v>
      </c>
      <c r="X615" t="str">
        <f>TEXT(Table1_1[[#This Row],[OrderDate]],"mm yyyy")</f>
        <v>04 2024</v>
      </c>
      <c r="Y615" s="13">
        <f>DATE(YEAR(Table1_1[[#This Row],[OrderDate]]),MONTH(B615),1)</f>
        <v>45383</v>
      </c>
      <c r="Z615" s="2">
        <f t="shared" si="9"/>
        <v>45383</v>
      </c>
      <c r="AA615">
        <f>(YEAR(Table1_1[[#This Row],[OrderMonth]])-YEAR(Table1_1[[#This Row],[Firstmonth]]))*12+(MONTH(Table1_1[[#This Row],[OrderMonth]])-MONTH(Table1_1[[#This Row],[Firstmonth]]))</f>
        <v>0</v>
      </c>
    </row>
    <row r="616" spans="1:27" x14ac:dyDescent="0.25">
      <c r="A616" s="11" t="s">
        <v>184</v>
      </c>
      <c r="B616" s="2">
        <v>45796</v>
      </c>
      <c r="C616" s="2">
        <v>45798</v>
      </c>
      <c r="D616" s="11" t="s">
        <v>1413</v>
      </c>
      <c r="E616">
        <v>2</v>
      </c>
      <c r="F616" s="11" t="s">
        <v>1485</v>
      </c>
      <c r="G616" s="11" t="s">
        <v>1490</v>
      </c>
      <c r="H616" s="11" t="s">
        <v>1491</v>
      </c>
      <c r="I616" s="11" t="s">
        <v>644</v>
      </c>
      <c r="J616" s="11" t="s">
        <v>651</v>
      </c>
      <c r="K616" s="11" t="s">
        <v>672</v>
      </c>
      <c r="L616" s="11" t="s">
        <v>848</v>
      </c>
      <c r="M616" s="10">
        <v>8</v>
      </c>
      <c r="N616">
        <v>1263.8399999999999</v>
      </c>
      <c r="O616" s="3">
        <v>2281.7199999999998</v>
      </c>
      <c r="P616" s="11" t="s">
        <v>1471</v>
      </c>
      <c r="Q616" s="4">
        <v>7.8E-2</v>
      </c>
      <c r="R616" s="3">
        <v>16829.96672</v>
      </c>
      <c r="S616" s="3">
        <v>10110.719999999999</v>
      </c>
      <c r="T616" s="4">
        <v>0.399243018823985</v>
      </c>
      <c r="U616" s="11" t="s">
        <v>660</v>
      </c>
      <c r="V616" s="3">
        <v>6719.246720000001</v>
      </c>
      <c r="W616" s="11" t="s">
        <v>1431</v>
      </c>
      <c r="X616" t="str">
        <f>TEXT(Table1_1[[#This Row],[OrderDate]],"mm yyyy")</f>
        <v>05 2025</v>
      </c>
      <c r="Y616" s="13">
        <f>DATE(YEAR(Table1_1[[#This Row],[OrderDate]]),MONTH(B616),1)</f>
        <v>45778</v>
      </c>
      <c r="Z616" s="2">
        <f t="shared" si="9"/>
        <v>45231</v>
      </c>
      <c r="AA616">
        <f>(YEAR(Table1_1[[#This Row],[OrderMonth]])-YEAR(Table1_1[[#This Row],[Firstmonth]]))*12+(MONTH(Table1_1[[#This Row],[OrderMonth]])-MONTH(Table1_1[[#This Row],[Firstmonth]]))</f>
        <v>18</v>
      </c>
    </row>
    <row r="617" spans="1:27" x14ac:dyDescent="0.25">
      <c r="A617" s="11" t="s">
        <v>277</v>
      </c>
      <c r="B617" s="2">
        <v>45051</v>
      </c>
      <c r="C617" s="2">
        <v>45053</v>
      </c>
      <c r="D617" s="11" t="s">
        <v>1413</v>
      </c>
      <c r="E617">
        <v>2</v>
      </c>
      <c r="F617" s="11" t="s">
        <v>1485</v>
      </c>
      <c r="G617" s="11" t="s">
        <v>1495</v>
      </c>
      <c r="H617" s="11" t="s">
        <v>1496</v>
      </c>
      <c r="I617" s="11" t="s">
        <v>644</v>
      </c>
      <c r="J617" s="11" t="s">
        <v>650</v>
      </c>
      <c r="K617" s="11" t="s">
        <v>668</v>
      </c>
      <c r="L617" s="11" t="s">
        <v>942</v>
      </c>
      <c r="M617" s="10">
        <v>6</v>
      </c>
      <c r="N617">
        <v>1269.6500000000001</v>
      </c>
      <c r="O617" s="3">
        <v>2462.77</v>
      </c>
      <c r="P617" s="11" t="s">
        <v>1471</v>
      </c>
      <c r="Q617" s="4">
        <v>0.107</v>
      </c>
      <c r="R617" s="3">
        <v>13195.521659999999</v>
      </c>
      <c r="S617" s="3">
        <v>7617.9000000000005</v>
      </c>
      <c r="T617" s="4">
        <v>0.42269050089225502</v>
      </c>
      <c r="U617" s="11" t="s">
        <v>661</v>
      </c>
      <c r="V617" s="3">
        <v>5577.621659999998</v>
      </c>
      <c r="W617" s="11" t="s">
        <v>1435</v>
      </c>
      <c r="X617" t="str">
        <f>TEXT(Table1_1[[#This Row],[OrderDate]],"mm yyyy")</f>
        <v>05 2023</v>
      </c>
      <c r="Y617" s="13">
        <f>DATE(YEAR(Table1_1[[#This Row],[OrderDate]]),MONTH(B617),1)</f>
        <v>45047</v>
      </c>
      <c r="Z617" s="2">
        <f t="shared" si="9"/>
        <v>45047</v>
      </c>
      <c r="AA617">
        <f>(YEAR(Table1_1[[#This Row],[OrderMonth]])-YEAR(Table1_1[[#This Row],[Firstmonth]]))*12+(MONTH(Table1_1[[#This Row],[OrderMonth]])-MONTH(Table1_1[[#This Row],[Firstmonth]]))</f>
        <v>0</v>
      </c>
    </row>
    <row r="618" spans="1:27" x14ac:dyDescent="0.25">
      <c r="A618" s="11" t="s">
        <v>331</v>
      </c>
      <c r="B618" s="2">
        <v>45292</v>
      </c>
      <c r="C618" s="2">
        <v>45293</v>
      </c>
      <c r="D618" s="11" t="s">
        <v>1413</v>
      </c>
      <c r="E618">
        <v>1</v>
      </c>
      <c r="F618" s="11" t="s">
        <v>1473</v>
      </c>
      <c r="G618" s="11" t="s">
        <v>1458</v>
      </c>
      <c r="H618" s="11" t="s">
        <v>1509</v>
      </c>
      <c r="I618" s="11" t="s">
        <v>643</v>
      </c>
      <c r="J618" s="11" t="s">
        <v>650</v>
      </c>
      <c r="K618" s="11" t="s">
        <v>670</v>
      </c>
      <c r="L618" s="11" t="s">
        <v>996</v>
      </c>
      <c r="M618" s="10">
        <v>12</v>
      </c>
      <c r="N618">
        <v>404.77</v>
      </c>
      <c r="O618" s="3">
        <v>433.88</v>
      </c>
      <c r="P618" s="11" t="s">
        <v>1468</v>
      </c>
      <c r="Q618" s="4">
        <v>0.215</v>
      </c>
      <c r="R618" s="3">
        <v>4087.1495999999997</v>
      </c>
      <c r="S618" s="3">
        <v>4857.24</v>
      </c>
      <c r="T618" s="4">
        <v>-0.18841747314558799</v>
      </c>
      <c r="U618" s="11" t="s">
        <v>658</v>
      </c>
      <c r="V618" s="3">
        <v>-770.09040000000005</v>
      </c>
      <c r="W618" s="11" t="s">
        <v>1433</v>
      </c>
      <c r="X618" t="str">
        <f>TEXT(Table1_1[[#This Row],[OrderDate]],"mm yyyy")</f>
        <v>01 2024</v>
      </c>
      <c r="Y618" s="13">
        <f>DATE(YEAR(Table1_1[[#This Row],[OrderDate]]),MONTH(B618),1)</f>
        <v>45292</v>
      </c>
      <c r="Z618" s="2">
        <f t="shared" si="9"/>
        <v>45292</v>
      </c>
      <c r="AA618">
        <f>(YEAR(Table1_1[[#This Row],[OrderMonth]])-YEAR(Table1_1[[#This Row],[Firstmonth]]))*12+(MONTH(Table1_1[[#This Row],[OrderMonth]])-MONTH(Table1_1[[#This Row],[Firstmonth]]))</f>
        <v>0</v>
      </c>
    </row>
    <row r="619" spans="1:27" x14ac:dyDescent="0.25">
      <c r="A619" s="11" t="s">
        <v>156</v>
      </c>
      <c r="B619" s="2">
        <v>45259</v>
      </c>
      <c r="C619" s="2">
        <v>45260</v>
      </c>
      <c r="D619" s="11" t="s">
        <v>1413</v>
      </c>
      <c r="E619">
        <v>1</v>
      </c>
      <c r="F619" s="11" t="s">
        <v>1485</v>
      </c>
      <c r="G619" s="11" t="s">
        <v>1490</v>
      </c>
      <c r="H619" s="11" t="s">
        <v>1515</v>
      </c>
      <c r="I619" s="11" t="s">
        <v>646</v>
      </c>
      <c r="J619" s="11" t="s">
        <v>650</v>
      </c>
      <c r="K619" s="11" t="s">
        <v>672</v>
      </c>
      <c r="L619" s="11" t="s">
        <v>820</v>
      </c>
      <c r="M619" s="10">
        <v>28</v>
      </c>
      <c r="N619">
        <v>275.56</v>
      </c>
      <c r="O619" s="3">
        <v>630.72</v>
      </c>
      <c r="P619" s="11" t="s">
        <v>1468</v>
      </c>
      <c r="Q619" s="4">
        <v>0.107</v>
      </c>
      <c r="R619" s="3">
        <v>15770.52288</v>
      </c>
      <c r="S619" s="3">
        <v>7715.68</v>
      </c>
      <c r="T619" s="4">
        <v>0.51075306388319297</v>
      </c>
      <c r="U619" s="11" t="s">
        <v>659</v>
      </c>
      <c r="V619" s="3">
        <v>8054.8428800000002</v>
      </c>
      <c r="W619" s="11" t="s">
        <v>1439</v>
      </c>
      <c r="X619" t="str">
        <f>TEXT(Table1_1[[#This Row],[OrderDate]],"mm yyyy")</f>
        <v>11 2023</v>
      </c>
      <c r="Y619" s="13">
        <f>DATE(YEAR(Table1_1[[#This Row],[OrderDate]]),MONTH(B619),1)</f>
        <v>45231</v>
      </c>
      <c r="Z619" s="2">
        <f t="shared" si="9"/>
        <v>45231</v>
      </c>
      <c r="AA619">
        <f>(YEAR(Table1_1[[#This Row],[OrderMonth]])-YEAR(Table1_1[[#This Row],[Firstmonth]]))*12+(MONTH(Table1_1[[#This Row],[OrderMonth]])-MONTH(Table1_1[[#This Row],[Firstmonth]]))</f>
        <v>0</v>
      </c>
    </row>
    <row r="620" spans="1:27" x14ac:dyDescent="0.25">
      <c r="A620" s="11" t="s">
        <v>354</v>
      </c>
      <c r="B620" s="2">
        <v>45485</v>
      </c>
      <c r="C620" s="2">
        <v>45486</v>
      </c>
      <c r="D620" s="11" t="s">
        <v>1413</v>
      </c>
      <c r="E620">
        <v>1</v>
      </c>
      <c r="F620" s="11" t="s">
        <v>1476</v>
      </c>
      <c r="G620" s="11" t="s">
        <v>1451</v>
      </c>
      <c r="H620" s="11" t="s">
        <v>1484</v>
      </c>
      <c r="I620" s="11" t="s">
        <v>646</v>
      </c>
      <c r="J620" s="11" t="s">
        <v>650</v>
      </c>
      <c r="K620" s="11" t="s">
        <v>670</v>
      </c>
      <c r="L620" s="11" t="s">
        <v>1019</v>
      </c>
      <c r="M620" s="10">
        <v>26</v>
      </c>
      <c r="N620">
        <v>105.13</v>
      </c>
      <c r="O620" s="3">
        <v>244.13</v>
      </c>
      <c r="P620" s="11" t="s">
        <v>1468</v>
      </c>
      <c r="Q620" s="4">
        <v>7.0999999999999994E-2</v>
      </c>
      <c r="R620" s="3">
        <v>5896.7160200000008</v>
      </c>
      <c r="S620" s="3">
        <v>2733.38</v>
      </c>
      <c r="T620" s="4">
        <v>0.53645724319618804</v>
      </c>
      <c r="U620" s="11" t="s">
        <v>662</v>
      </c>
      <c r="V620" s="3">
        <v>3163.3360200000006</v>
      </c>
      <c r="W620" s="11" t="s">
        <v>1437</v>
      </c>
      <c r="X620" t="str">
        <f>TEXT(Table1_1[[#This Row],[OrderDate]],"mm yyyy")</f>
        <v>07 2024</v>
      </c>
      <c r="Y620" s="13">
        <f>DATE(YEAR(Table1_1[[#This Row],[OrderDate]]),MONTH(B620),1)</f>
        <v>45474</v>
      </c>
      <c r="Z620" s="2">
        <f t="shared" si="9"/>
        <v>45261</v>
      </c>
      <c r="AA620">
        <f>(YEAR(Table1_1[[#This Row],[OrderMonth]])-YEAR(Table1_1[[#This Row],[Firstmonth]]))*12+(MONTH(Table1_1[[#This Row],[OrderMonth]])-MONTH(Table1_1[[#This Row],[Firstmonth]]))</f>
        <v>7</v>
      </c>
    </row>
    <row r="621" spans="1:27" x14ac:dyDescent="0.25">
      <c r="A621" s="11" t="s">
        <v>351</v>
      </c>
      <c r="B621" s="2">
        <v>45027</v>
      </c>
      <c r="C621" s="2">
        <v>45029</v>
      </c>
      <c r="D621" s="11" t="s">
        <v>1413</v>
      </c>
      <c r="E621">
        <v>2</v>
      </c>
      <c r="F621" s="11" t="s">
        <v>1473</v>
      </c>
      <c r="G621" s="11" t="s">
        <v>1498</v>
      </c>
      <c r="H621" s="11" t="s">
        <v>1499</v>
      </c>
      <c r="I621" s="11" t="s">
        <v>643</v>
      </c>
      <c r="J621" s="11" t="s">
        <v>650</v>
      </c>
      <c r="K621" s="11" t="s">
        <v>670</v>
      </c>
      <c r="L621" s="11" t="s">
        <v>1016</v>
      </c>
      <c r="M621" s="10">
        <v>43</v>
      </c>
      <c r="N621">
        <v>32.1</v>
      </c>
      <c r="O621" s="3">
        <v>70.599999999999994</v>
      </c>
      <c r="P621" s="11" t="s">
        <v>1468</v>
      </c>
      <c r="Q621" s="4">
        <v>0.28199999999999997</v>
      </c>
      <c r="R621" s="3">
        <v>2179.7043999999996</v>
      </c>
      <c r="S621" s="3">
        <v>1380.3</v>
      </c>
      <c r="T621" s="4">
        <v>0.36674899587301801</v>
      </c>
      <c r="U621" s="11" t="s">
        <v>656</v>
      </c>
      <c r="V621" s="3">
        <v>799.40439999999967</v>
      </c>
      <c r="W621" s="11" t="s">
        <v>1435</v>
      </c>
      <c r="X621" t="str">
        <f>TEXT(Table1_1[[#This Row],[OrderDate]],"mm yyyy")</f>
        <v>04 2023</v>
      </c>
      <c r="Y621" s="13">
        <f>DATE(YEAR(Table1_1[[#This Row],[OrderDate]]),MONTH(B621),1)</f>
        <v>45017</v>
      </c>
      <c r="Z621" s="2">
        <f t="shared" si="9"/>
        <v>44958</v>
      </c>
      <c r="AA621">
        <f>(YEAR(Table1_1[[#This Row],[OrderMonth]])-YEAR(Table1_1[[#This Row],[Firstmonth]]))*12+(MONTH(Table1_1[[#This Row],[OrderMonth]])-MONTH(Table1_1[[#This Row],[Firstmonth]]))</f>
        <v>2</v>
      </c>
    </row>
    <row r="622" spans="1:27" x14ac:dyDescent="0.25">
      <c r="A622" s="11" t="s">
        <v>163</v>
      </c>
      <c r="B622" s="2">
        <v>45265</v>
      </c>
      <c r="C622" s="2">
        <v>45267</v>
      </c>
      <c r="D622" s="11" t="s">
        <v>1413</v>
      </c>
      <c r="E622">
        <v>2</v>
      </c>
      <c r="F622" s="11" t="s">
        <v>1476</v>
      </c>
      <c r="G622" s="11" t="s">
        <v>1451</v>
      </c>
      <c r="H622" s="11" t="s">
        <v>1510</v>
      </c>
      <c r="I622" s="11" t="s">
        <v>644</v>
      </c>
      <c r="J622" s="11" t="s">
        <v>650</v>
      </c>
      <c r="K622" s="11" t="s">
        <v>669</v>
      </c>
      <c r="L622" s="11" t="s">
        <v>827</v>
      </c>
      <c r="M622" s="10">
        <v>3</v>
      </c>
      <c r="N622">
        <v>1097.5899999999999</v>
      </c>
      <c r="O622" s="3">
        <v>845.55</v>
      </c>
      <c r="P622" s="11" t="s">
        <v>1466</v>
      </c>
      <c r="Q622" s="4">
        <v>0.184</v>
      </c>
      <c r="R622" s="3">
        <v>2069.9063999999998</v>
      </c>
      <c r="S622" s="3">
        <v>3292.7699999999995</v>
      </c>
      <c r="T622" s="4">
        <v>-0.59078207594314402</v>
      </c>
      <c r="U622" s="11" t="s">
        <v>663</v>
      </c>
      <c r="V622" s="3">
        <v>-1222.8635999999997</v>
      </c>
      <c r="W622" s="11" t="s">
        <v>1439</v>
      </c>
      <c r="X622" t="str">
        <f>TEXT(Table1_1[[#This Row],[OrderDate]],"mm yyyy")</f>
        <v>12 2023</v>
      </c>
      <c r="Y622" s="13">
        <f>DATE(YEAR(Table1_1[[#This Row],[OrderDate]]),MONTH(B622),1)</f>
        <v>45261</v>
      </c>
      <c r="Z622" s="2">
        <f t="shared" si="9"/>
        <v>45261</v>
      </c>
      <c r="AA622">
        <f>(YEAR(Table1_1[[#This Row],[OrderMonth]])-YEAR(Table1_1[[#This Row],[Firstmonth]]))*12+(MONTH(Table1_1[[#This Row],[OrderMonth]])-MONTH(Table1_1[[#This Row],[Firstmonth]]))</f>
        <v>0</v>
      </c>
    </row>
    <row r="623" spans="1:27" x14ac:dyDescent="0.25">
      <c r="A623" s="11" t="s">
        <v>108</v>
      </c>
      <c r="B623" s="2">
        <v>45438</v>
      </c>
      <c r="C623" s="2">
        <v>45440</v>
      </c>
      <c r="D623" s="11" t="s">
        <v>1413</v>
      </c>
      <c r="E623">
        <v>2</v>
      </c>
      <c r="F623" s="11" t="s">
        <v>1485</v>
      </c>
      <c r="G623" s="11" t="s">
        <v>1450</v>
      </c>
      <c r="H623" s="11" t="s">
        <v>1508</v>
      </c>
      <c r="I623" s="11" t="s">
        <v>647</v>
      </c>
      <c r="J623" s="11" t="s">
        <v>649</v>
      </c>
      <c r="K623" s="11" t="s">
        <v>674</v>
      </c>
      <c r="L623" s="11" t="s">
        <v>772</v>
      </c>
      <c r="M623" s="10">
        <v>7</v>
      </c>
      <c r="N623">
        <v>1227.08</v>
      </c>
      <c r="O623" s="3">
        <v>1896.62</v>
      </c>
      <c r="P623" s="11" t="s">
        <v>1471</v>
      </c>
      <c r="Q623" s="4">
        <v>0</v>
      </c>
      <c r="R623" s="3">
        <v>13276.34</v>
      </c>
      <c r="S623" s="3">
        <v>8589.56</v>
      </c>
      <c r="T623" s="4">
        <v>0.353017473189147</v>
      </c>
      <c r="U623" s="11" t="s">
        <v>662</v>
      </c>
      <c r="V623" s="3">
        <v>4686.7800000000007</v>
      </c>
      <c r="W623" s="11" t="s">
        <v>1436</v>
      </c>
      <c r="X623" t="str">
        <f>TEXT(Table1_1[[#This Row],[OrderDate]],"mm yyyy")</f>
        <v>05 2024</v>
      </c>
      <c r="Y623" s="13">
        <f>DATE(YEAR(Table1_1[[#This Row],[OrderDate]]),MONTH(B623),1)</f>
        <v>45413</v>
      </c>
      <c r="Z623" s="2">
        <f t="shared" si="9"/>
        <v>44927</v>
      </c>
      <c r="AA623">
        <f>(YEAR(Table1_1[[#This Row],[OrderMonth]])-YEAR(Table1_1[[#This Row],[Firstmonth]]))*12+(MONTH(Table1_1[[#This Row],[OrderMonth]])-MONTH(Table1_1[[#This Row],[Firstmonth]]))</f>
        <v>16</v>
      </c>
    </row>
    <row r="624" spans="1:27" x14ac:dyDescent="0.25">
      <c r="A624" s="11" t="s">
        <v>12</v>
      </c>
      <c r="B624" s="2">
        <v>45587</v>
      </c>
      <c r="C624" s="2">
        <v>45588</v>
      </c>
      <c r="D624" s="11" t="s">
        <v>1413</v>
      </c>
      <c r="E624">
        <v>1</v>
      </c>
      <c r="F624" s="11" t="s">
        <v>1485</v>
      </c>
      <c r="G624" s="11" t="s">
        <v>1495</v>
      </c>
      <c r="H624" s="11" t="s">
        <v>1496</v>
      </c>
      <c r="I624" s="11" t="s">
        <v>643</v>
      </c>
      <c r="J624" s="11" t="s">
        <v>649</v>
      </c>
      <c r="K624" s="11" t="s">
        <v>669</v>
      </c>
      <c r="L624" s="11" t="s">
        <v>676</v>
      </c>
      <c r="M624" s="10">
        <v>24</v>
      </c>
      <c r="N624">
        <v>1084.3900000000001</v>
      </c>
      <c r="O624" s="3">
        <v>759.33</v>
      </c>
      <c r="P624" s="11" t="s">
        <v>1468</v>
      </c>
      <c r="Q624" s="4">
        <v>0.23699999999999999</v>
      </c>
      <c r="R624" s="3">
        <v>13904.850960000002</v>
      </c>
      <c r="S624" s="3">
        <v>26025.360000000001</v>
      </c>
      <c r="T624" s="4">
        <v>-0.87167486187856302</v>
      </c>
      <c r="U624" s="11" t="s">
        <v>654</v>
      </c>
      <c r="V624" s="3">
        <v>-12120.509039999999</v>
      </c>
      <c r="W624" s="11" t="s">
        <v>1440</v>
      </c>
      <c r="X624" t="str">
        <f>TEXT(Table1_1[[#This Row],[OrderDate]],"mm yyyy")</f>
        <v>10 2024</v>
      </c>
      <c r="Y624" s="13">
        <f>DATE(YEAR(Table1_1[[#This Row],[OrderDate]]),MONTH(B624),1)</f>
        <v>45566</v>
      </c>
      <c r="Z624" s="2">
        <f t="shared" si="9"/>
        <v>45566</v>
      </c>
      <c r="AA624">
        <f>(YEAR(Table1_1[[#This Row],[OrderMonth]])-YEAR(Table1_1[[#This Row],[Firstmonth]]))*12+(MONTH(Table1_1[[#This Row],[OrderMonth]])-MONTH(Table1_1[[#This Row],[Firstmonth]]))</f>
        <v>0</v>
      </c>
    </row>
    <row r="625" spans="1:27" x14ac:dyDescent="0.25">
      <c r="A625" s="11" t="s">
        <v>602</v>
      </c>
      <c r="B625" s="2">
        <v>44983</v>
      </c>
      <c r="C625" s="2">
        <v>44984</v>
      </c>
      <c r="D625" s="11" t="s">
        <v>1413</v>
      </c>
      <c r="E625">
        <v>1</v>
      </c>
      <c r="F625" s="11" t="s">
        <v>1473</v>
      </c>
      <c r="G625" s="11" t="s">
        <v>1498</v>
      </c>
      <c r="H625" s="11" t="s">
        <v>1499</v>
      </c>
      <c r="I625" s="11" t="s">
        <v>644</v>
      </c>
      <c r="J625" s="11" t="s">
        <v>649</v>
      </c>
      <c r="K625" s="11" t="s">
        <v>670</v>
      </c>
      <c r="L625" s="11" t="s">
        <v>1265</v>
      </c>
      <c r="M625" s="10">
        <v>14</v>
      </c>
      <c r="N625">
        <v>1015.91</v>
      </c>
      <c r="O625" s="3">
        <v>2331.48</v>
      </c>
      <c r="P625" s="11" t="s">
        <v>1471</v>
      </c>
      <c r="Q625" s="4">
        <v>0.14599999999999999</v>
      </c>
      <c r="R625" s="3">
        <v>27875.174879999999</v>
      </c>
      <c r="S625" s="3">
        <v>14222.74</v>
      </c>
      <c r="T625" s="4">
        <v>0.48977037592669598</v>
      </c>
      <c r="U625" s="11" t="s">
        <v>657</v>
      </c>
      <c r="V625" s="3">
        <v>13652.434879999999</v>
      </c>
      <c r="W625" s="11" t="s">
        <v>1432</v>
      </c>
      <c r="X625" t="str">
        <f>TEXT(Table1_1[[#This Row],[OrderDate]],"mm yyyy")</f>
        <v>02 2023</v>
      </c>
      <c r="Y625" s="13">
        <f>DATE(YEAR(Table1_1[[#This Row],[OrderDate]]),MONTH(B625),1)</f>
        <v>44958</v>
      </c>
      <c r="Z625" s="2">
        <f t="shared" si="9"/>
        <v>44958</v>
      </c>
      <c r="AA625">
        <f>(YEAR(Table1_1[[#This Row],[OrderMonth]])-YEAR(Table1_1[[#This Row],[Firstmonth]]))*12+(MONTH(Table1_1[[#This Row],[OrderMonth]])-MONTH(Table1_1[[#This Row],[Firstmonth]]))</f>
        <v>0</v>
      </c>
    </row>
    <row r="626" spans="1:27" x14ac:dyDescent="0.25">
      <c r="A626" s="11" t="s">
        <v>30</v>
      </c>
      <c r="B626" s="2">
        <v>45796</v>
      </c>
      <c r="C626" s="2">
        <v>45798</v>
      </c>
      <c r="D626" s="11" t="s">
        <v>1413</v>
      </c>
      <c r="E626">
        <v>2</v>
      </c>
      <c r="F626" s="11" t="s">
        <v>1464</v>
      </c>
      <c r="G626" s="11" t="s">
        <v>1469</v>
      </c>
      <c r="H626" s="11" t="s">
        <v>1507</v>
      </c>
      <c r="I626" s="11" t="s">
        <v>647</v>
      </c>
      <c r="J626" s="11" t="s">
        <v>649</v>
      </c>
      <c r="K626" s="11" t="s">
        <v>672</v>
      </c>
      <c r="L626" s="11" t="s">
        <v>694</v>
      </c>
      <c r="M626" s="10">
        <v>26</v>
      </c>
      <c r="N626">
        <v>1015.16</v>
      </c>
      <c r="O626" s="3">
        <v>2148.14</v>
      </c>
      <c r="P626" s="11" t="s">
        <v>1471</v>
      </c>
      <c r="Q626" s="4">
        <v>3.7999999999999999E-2</v>
      </c>
      <c r="R626" s="3">
        <v>53729.277679999999</v>
      </c>
      <c r="S626" s="3">
        <v>26394.16</v>
      </c>
      <c r="T626" s="4">
        <v>0.50875647059322204</v>
      </c>
      <c r="U626" s="11" t="s">
        <v>665</v>
      </c>
      <c r="V626" s="3">
        <v>27335.117679999999</v>
      </c>
      <c r="W626" s="11" t="s">
        <v>1431</v>
      </c>
      <c r="X626" t="str">
        <f>TEXT(Table1_1[[#This Row],[OrderDate]],"mm yyyy")</f>
        <v>05 2025</v>
      </c>
      <c r="Y626" s="13">
        <f>DATE(YEAR(Table1_1[[#This Row],[OrderDate]]),MONTH(B626),1)</f>
        <v>45778</v>
      </c>
      <c r="Z626" s="2">
        <f t="shared" si="9"/>
        <v>45778</v>
      </c>
      <c r="AA626">
        <f>(YEAR(Table1_1[[#This Row],[OrderMonth]])-YEAR(Table1_1[[#This Row],[Firstmonth]]))*12+(MONTH(Table1_1[[#This Row],[OrderMonth]])-MONTH(Table1_1[[#This Row],[Firstmonth]]))</f>
        <v>0</v>
      </c>
    </row>
    <row r="627" spans="1:27" x14ac:dyDescent="0.25">
      <c r="A627" s="11" t="s">
        <v>18</v>
      </c>
      <c r="B627" s="2">
        <v>44939</v>
      </c>
      <c r="C627" s="2">
        <v>44941</v>
      </c>
      <c r="D627" s="11" t="s">
        <v>1413</v>
      </c>
      <c r="E627">
        <v>2</v>
      </c>
      <c r="F627" s="11" t="s">
        <v>1485</v>
      </c>
      <c r="G627" s="11" t="s">
        <v>1450</v>
      </c>
      <c r="H627" s="11" t="s">
        <v>1508</v>
      </c>
      <c r="I627" s="11" t="s">
        <v>643</v>
      </c>
      <c r="J627" s="11" t="s">
        <v>649</v>
      </c>
      <c r="K627" s="11" t="s">
        <v>669</v>
      </c>
      <c r="L627" s="11" t="s">
        <v>682</v>
      </c>
      <c r="M627" s="10">
        <v>14</v>
      </c>
      <c r="N627">
        <v>28.38</v>
      </c>
      <c r="O627" s="3">
        <v>47.22</v>
      </c>
      <c r="P627" s="11" t="s">
        <v>1468</v>
      </c>
      <c r="Q627" s="4">
        <v>0.19400000000000001</v>
      </c>
      <c r="R627" s="3">
        <v>532.83047999999997</v>
      </c>
      <c r="S627" s="3">
        <v>397.32</v>
      </c>
      <c r="T627" s="4">
        <v>0.25432193743871401</v>
      </c>
      <c r="U627" s="11" t="s">
        <v>660</v>
      </c>
      <c r="V627" s="3">
        <v>135.51047999999997</v>
      </c>
      <c r="W627" s="11" t="s">
        <v>1432</v>
      </c>
      <c r="X627" t="str">
        <f>TEXT(Table1_1[[#This Row],[OrderDate]],"mm yyyy")</f>
        <v>01 2023</v>
      </c>
      <c r="Y627" s="13">
        <f>DATE(YEAR(Table1_1[[#This Row],[OrderDate]]),MONTH(B627),1)</f>
        <v>44927</v>
      </c>
      <c r="Z627" s="2">
        <f t="shared" si="9"/>
        <v>44927</v>
      </c>
      <c r="AA627">
        <f>(YEAR(Table1_1[[#This Row],[OrderMonth]])-YEAR(Table1_1[[#This Row],[Firstmonth]]))*12+(MONTH(Table1_1[[#This Row],[OrderMonth]])-MONTH(Table1_1[[#This Row],[Firstmonth]]))</f>
        <v>0</v>
      </c>
    </row>
    <row r="628" spans="1:27" x14ac:dyDescent="0.25">
      <c r="A628" s="11" t="s">
        <v>300</v>
      </c>
      <c r="B628" s="2">
        <v>45895</v>
      </c>
      <c r="C628" s="2">
        <v>45897</v>
      </c>
      <c r="D628" s="11" t="s">
        <v>1413</v>
      </c>
      <c r="E628">
        <v>2</v>
      </c>
      <c r="F628" s="11" t="s">
        <v>1485</v>
      </c>
      <c r="G628" s="11" t="s">
        <v>1495</v>
      </c>
      <c r="H628" s="11" t="s">
        <v>1496</v>
      </c>
      <c r="I628" s="11" t="s">
        <v>646</v>
      </c>
      <c r="J628" s="11" t="s">
        <v>648</v>
      </c>
      <c r="K628" s="11" t="s">
        <v>674</v>
      </c>
      <c r="L628" s="11" t="s">
        <v>965</v>
      </c>
      <c r="M628" s="10">
        <v>17</v>
      </c>
      <c r="N628">
        <v>521.05999999999995</v>
      </c>
      <c r="O628" s="3">
        <v>1240.31</v>
      </c>
      <c r="P628" s="11" t="s">
        <v>1466</v>
      </c>
      <c r="Q628" s="4">
        <v>0.14599999999999999</v>
      </c>
      <c r="R628" s="3">
        <v>18006.82058</v>
      </c>
      <c r="S628" s="3">
        <v>8858.0199999999986</v>
      </c>
      <c r="T628" s="4">
        <v>0.50807417885650996</v>
      </c>
      <c r="U628" s="11" t="s">
        <v>661</v>
      </c>
      <c r="V628" s="3">
        <v>9148.800580000001</v>
      </c>
      <c r="W628" s="11" t="s">
        <v>1438</v>
      </c>
      <c r="X628" t="str">
        <f>TEXT(Table1_1[[#This Row],[OrderDate]],"mm yyyy")</f>
        <v>08 2025</v>
      </c>
      <c r="Y628" s="13">
        <f>DATE(YEAR(Table1_1[[#This Row],[OrderDate]]),MONTH(B628),1)</f>
        <v>45870</v>
      </c>
      <c r="Z628" s="2">
        <f t="shared" si="9"/>
        <v>45870</v>
      </c>
      <c r="AA628">
        <f>(YEAR(Table1_1[[#This Row],[OrderMonth]])-YEAR(Table1_1[[#This Row],[Firstmonth]]))*12+(MONTH(Table1_1[[#This Row],[OrderMonth]])-MONTH(Table1_1[[#This Row],[Firstmonth]]))</f>
        <v>0</v>
      </c>
    </row>
    <row r="629" spans="1:27" x14ac:dyDescent="0.25">
      <c r="A629" s="11" t="s">
        <v>606</v>
      </c>
      <c r="B629" s="2">
        <v>45703</v>
      </c>
      <c r="C629" s="2">
        <v>45705</v>
      </c>
      <c r="D629" s="11" t="s">
        <v>1413</v>
      </c>
      <c r="E629">
        <v>2</v>
      </c>
      <c r="F629" s="11" t="s">
        <v>1473</v>
      </c>
      <c r="G629" s="11" t="s">
        <v>1452</v>
      </c>
      <c r="H629" s="11" t="s">
        <v>1474</v>
      </c>
      <c r="I629" s="11" t="s">
        <v>646</v>
      </c>
      <c r="J629" s="11" t="s">
        <v>648</v>
      </c>
      <c r="K629" s="11" t="s">
        <v>668</v>
      </c>
      <c r="L629" s="11" t="s">
        <v>1269</v>
      </c>
      <c r="M629" s="10">
        <v>11</v>
      </c>
      <c r="N629">
        <v>1133.47</v>
      </c>
      <c r="O629" s="3">
        <v>1698.75</v>
      </c>
      <c r="P629" s="11" t="s">
        <v>1471</v>
      </c>
      <c r="Q629" s="4">
        <v>4.2999999999999997E-2</v>
      </c>
      <c r="R629" s="3">
        <v>17882.741249999999</v>
      </c>
      <c r="S629" s="3">
        <v>12468.17</v>
      </c>
      <c r="T629" s="4">
        <v>0.30278194904821998</v>
      </c>
      <c r="U629" s="11" t="s">
        <v>667</v>
      </c>
      <c r="V629" s="3">
        <v>5414.5712499999991</v>
      </c>
      <c r="W629" s="11" t="s">
        <v>1434</v>
      </c>
      <c r="X629" t="str">
        <f>TEXT(Table1_1[[#This Row],[OrderDate]],"mm yyyy")</f>
        <v>02 2025</v>
      </c>
      <c r="Y629" s="13">
        <f>DATE(YEAR(Table1_1[[#This Row],[OrderDate]]),MONTH(B629),1)</f>
        <v>45689</v>
      </c>
      <c r="Z629" s="2">
        <f t="shared" si="9"/>
        <v>45078</v>
      </c>
      <c r="AA629">
        <f>(YEAR(Table1_1[[#This Row],[OrderMonth]])-YEAR(Table1_1[[#This Row],[Firstmonth]]))*12+(MONTH(Table1_1[[#This Row],[OrderMonth]])-MONTH(Table1_1[[#This Row],[Firstmonth]]))</f>
        <v>20</v>
      </c>
    </row>
    <row r="630" spans="1:27" x14ac:dyDescent="0.25">
      <c r="A630" s="11" t="s">
        <v>45</v>
      </c>
      <c r="B630" s="2">
        <v>45525</v>
      </c>
      <c r="C630" s="2">
        <v>45527</v>
      </c>
      <c r="D630" s="11" t="s">
        <v>1413</v>
      </c>
      <c r="E630">
        <v>2</v>
      </c>
      <c r="F630" s="11" t="s">
        <v>1485</v>
      </c>
      <c r="G630" s="11" t="s">
        <v>1490</v>
      </c>
      <c r="H630" s="11" t="s">
        <v>1491</v>
      </c>
      <c r="I630" s="11" t="s">
        <v>643</v>
      </c>
      <c r="J630" s="11" t="s">
        <v>648</v>
      </c>
      <c r="K630" s="11" t="s">
        <v>668</v>
      </c>
      <c r="L630" s="11" t="s">
        <v>709</v>
      </c>
      <c r="M630" s="10">
        <v>23</v>
      </c>
      <c r="N630">
        <v>1432.52</v>
      </c>
      <c r="O630" s="3">
        <v>3036.87</v>
      </c>
      <c r="P630" s="11" t="s">
        <v>1471</v>
      </c>
      <c r="Q630" s="4">
        <v>0</v>
      </c>
      <c r="R630" s="3">
        <v>69848.009999999995</v>
      </c>
      <c r="S630" s="3">
        <v>32947.96</v>
      </c>
      <c r="T630" s="4">
        <v>0.52829064135112802</v>
      </c>
      <c r="U630" s="11" t="s">
        <v>659</v>
      </c>
      <c r="V630" s="3">
        <v>36900.049999999996</v>
      </c>
      <c r="W630" s="11" t="s">
        <v>1437</v>
      </c>
      <c r="X630" t="str">
        <f>TEXT(Table1_1[[#This Row],[OrderDate]],"mm yyyy")</f>
        <v>08 2024</v>
      </c>
      <c r="Y630" s="13">
        <f>DATE(YEAR(Table1_1[[#This Row],[OrderDate]]),MONTH(B630),1)</f>
        <v>45505</v>
      </c>
      <c r="Z630" s="2">
        <f t="shared" si="9"/>
        <v>45505</v>
      </c>
      <c r="AA630">
        <f>(YEAR(Table1_1[[#This Row],[OrderMonth]])-YEAR(Table1_1[[#This Row],[Firstmonth]]))*12+(MONTH(Table1_1[[#This Row],[OrderMonth]])-MONTH(Table1_1[[#This Row],[Firstmonth]]))</f>
        <v>0</v>
      </c>
    </row>
    <row r="631" spans="1:27" x14ac:dyDescent="0.25">
      <c r="A631" s="11" t="s">
        <v>103</v>
      </c>
      <c r="B631" s="2">
        <v>45100</v>
      </c>
      <c r="C631" s="2">
        <v>45101</v>
      </c>
      <c r="D631" s="11" t="s">
        <v>1413</v>
      </c>
      <c r="E631">
        <v>1</v>
      </c>
      <c r="F631" s="11" t="s">
        <v>1473</v>
      </c>
      <c r="G631" s="11" t="s">
        <v>1505</v>
      </c>
      <c r="H631" s="11" t="s">
        <v>1506</v>
      </c>
      <c r="I631" s="11" t="s">
        <v>644</v>
      </c>
      <c r="J631" s="11" t="s">
        <v>648</v>
      </c>
      <c r="K631" s="11" t="s">
        <v>669</v>
      </c>
      <c r="L631" s="11" t="s">
        <v>767</v>
      </c>
      <c r="M631" s="10">
        <v>18</v>
      </c>
      <c r="N631">
        <v>804.01</v>
      </c>
      <c r="O631" s="3">
        <v>1405.07</v>
      </c>
      <c r="P631" s="11" t="s">
        <v>1466</v>
      </c>
      <c r="Q631" s="4">
        <v>9.6000000000000002E-2</v>
      </c>
      <c r="R631" s="3">
        <v>22863.299039999998</v>
      </c>
      <c r="S631" s="3">
        <v>14472.18</v>
      </c>
      <c r="T631" s="4">
        <v>0.367012609392874</v>
      </c>
      <c r="U631" s="11" t="s">
        <v>659</v>
      </c>
      <c r="V631" s="3">
        <v>8391.1190399999978</v>
      </c>
      <c r="W631" s="11" t="s">
        <v>1435</v>
      </c>
      <c r="X631" t="str">
        <f>TEXT(Table1_1[[#This Row],[OrderDate]],"mm yyyy")</f>
        <v>06 2023</v>
      </c>
      <c r="Y631" s="13">
        <f>DATE(YEAR(Table1_1[[#This Row],[OrderDate]]),MONTH(B631),1)</f>
        <v>45078</v>
      </c>
      <c r="Z631" s="2">
        <f t="shared" si="9"/>
        <v>45078</v>
      </c>
      <c r="AA631">
        <f>(YEAR(Table1_1[[#This Row],[OrderMonth]])-YEAR(Table1_1[[#This Row],[Firstmonth]]))*12+(MONTH(Table1_1[[#This Row],[OrderMonth]])-MONTH(Table1_1[[#This Row],[Firstmonth]]))</f>
        <v>0</v>
      </c>
    </row>
    <row r="632" spans="1:27" x14ac:dyDescent="0.25">
      <c r="A632" s="11" t="s">
        <v>332</v>
      </c>
      <c r="B632" s="2">
        <v>44984</v>
      </c>
      <c r="C632" s="2">
        <v>44985</v>
      </c>
      <c r="D632" s="11" t="s">
        <v>1413</v>
      </c>
      <c r="E632">
        <v>1</v>
      </c>
      <c r="F632" s="11" t="s">
        <v>1464</v>
      </c>
      <c r="G632" s="11" t="s">
        <v>1456</v>
      </c>
      <c r="H632" s="11" t="s">
        <v>1472</v>
      </c>
      <c r="I632" s="11" t="s">
        <v>642</v>
      </c>
      <c r="J632" s="11" t="s">
        <v>648</v>
      </c>
      <c r="K632" s="11" t="s">
        <v>670</v>
      </c>
      <c r="L632" s="11" t="s">
        <v>997</v>
      </c>
      <c r="M632" s="10">
        <v>8</v>
      </c>
      <c r="N632">
        <v>1299.81</v>
      </c>
      <c r="O632" s="3">
        <v>3149.13</v>
      </c>
      <c r="P632" s="11" t="s">
        <v>1471</v>
      </c>
      <c r="Q632" s="4">
        <v>0.10299999999999999</v>
      </c>
      <c r="R632" s="3">
        <v>22598.156880000002</v>
      </c>
      <c r="S632" s="3">
        <v>10398.48</v>
      </c>
      <c r="T632" s="4">
        <v>0.53985273864511696</v>
      </c>
      <c r="U632" s="11" t="s">
        <v>664</v>
      </c>
      <c r="V632" s="3">
        <v>12199.676880000003</v>
      </c>
      <c r="W632" s="11" t="s">
        <v>1432</v>
      </c>
      <c r="X632" t="str">
        <f>TEXT(Table1_1[[#This Row],[OrderDate]],"mm yyyy")</f>
        <v>02 2023</v>
      </c>
      <c r="Y632" s="13">
        <f>DATE(YEAR(Table1_1[[#This Row],[OrderDate]]),MONTH(B632),1)</f>
        <v>44958</v>
      </c>
      <c r="Z632" s="2">
        <f t="shared" si="9"/>
        <v>44958</v>
      </c>
      <c r="AA632">
        <f>(YEAR(Table1_1[[#This Row],[OrderMonth]])-YEAR(Table1_1[[#This Row],[Firstmonth]]))*12+(MONTH(Table1_1[[#This Row],[OrderMonth]])-MONTH(Table1_1[[#This Row],[Firstmonth]]))</f>
        <v>0</v>
      </c>
    </row>
    <row r="633" spans="1:27" x14ac:dyDescent="0.25">
      <c r="A633" s="11" t="s">
        <v>322</v>
      </c>
      <c r="B633" s="2">
        <v>45099</v>
      </c>
      <c r="C633" s="2">
        <v>45101</v>
      </c>
      <c r="D633" s="11" t="s">
        <v>1413</v>
      </c>
      <c r="E633">
        <v>2</v>
      </c>
      <c r="F633" s="11" t="s">
        <v>1473</v>
      </c>
      <c r="G633" s="11" t="s">
        <v>1452</v>
      </c>
      <c r="H633" s="11" t="s">
        <v>1474</v>
      </c>
      <c r="I633" s="11" t="s">
        <v>644</v>
      </c>
      <c r="J633" s="11" t="s">
        <v>648</v>
      </c>
      <c r="K633" s="11" t="s">
        <v>674</v>
      </c>
      <c r="L633" s="11" t="s">
        <v>987</v>
      </c>
      <c r="M633" s="10">
        <v>7</v>
      </c>
      <c r="N633">
        <v>471.42</v>
      </c>
      <c r="O633" s="3">
        <v>824.81</v>
      </c>
      <c r="P633" s="11" t="s">
        <v>1466</v>
      </c>
      <c r="Q633" s="4">
        <v>8.7999999999999995E-2</v>
      </c>
      <c r="R633" s="3">
        <v>5265.5870400000003</v>
      </c>
      <c r="S633" s="3">
        <v>3299.94</v>
      </c>
      <c r="T633" s="4">
        <v>0.37330064531608198</v>
      </c>
      <c r="U633" s="11" t="s">
        <v>665</v>
      </c>
      <c r="V633" s="3">
        <v>1965.6470400000003</v>
      </c>
      <c r="W633" s="11" t="s">
        <v>1435</v>
      </c>
      <c r="X633" t="str">
        <f>TEXT(Table1_1[[#This Row],[OrderDate]],"mm yyyy")</f>
        <v>06 2023</v>
      </c>
      <c r="Y633" s="13">
        <f>DATE(YEAR(Table1_1[[#This Row],[OrderDate]]),MONTH(B633),1)</f>
        <v>45078</v>
      </c>
      <c r="Z633" s="2">
        <f t="shared" si="9"/>
        <v>45078</v>
      </c>
      <c r="AA633">
        <f>(YEAR(Table1_1[[#This Row],[OrderMonth]])-YEAR(Table1_1[[#This Row],[Firstmonth]]))*12+(MONTH(Table1_1[[#This Row],[OrderMonth]])-MONTH(Table1_1[[#This Row],[Firstmonth]]))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A4EC-924F-4B5A-896B-49696B955B9D}">
  <dimension ref="A2:T37"/>
  <sheetViews>
    <sheetView topLeftCell="B1" zoomScale="77" workbookViewId="0">
      <selection activeCell="A2" sqref="A2"/>
    </sheetView>
  </sheetViews>
  <sheetFormatPr defaultRowHeight="15" x14ac:dyDescent="0.25"/>
  <cols>
    <col min="1" max="1" width="20.7109375" bestFit="1" customWidth="1"/>
    <col min="2" max="2" width="16.7109375" bestFit="1" customWidth="1"/>
    <col min="3" max="14" width="13.5703125" bestFit="1" customWidth="1"/>
    <col min="15" max="15" width="16.7109375" bestFit="1" customWidth="1"/>
    <col min="16" max="16" width="15.5703125" bestFit="1" customWidth="1"/>
    <col min="17" max="20" width="13.5703125" bestFit="1" customWidth="1"/>
  </cols>
  <sheetData>
    <row r="2" spans="1:20" x14ac:dyDescent="0.25">
      <c r="A2" s="14" t="s">
        <v>1526</v>
      </c>
      <c r="B2" s="14" t="s">
        <v>1523</v>
      </c>
    </row>
    <row r="3" spans="1:20" x14ac:dyDescent="0.25">
      <c r="A3" s="14" t="s">
        <v>1525</v>
      </c>
      <c r="B3" t="s">
        <v>1454</v>
      </c>
      <c r="C3" t="s">
        <v>1505</v>
      </c>
      <c r="D3" t="s">
        <v>1488</v>
      </c>
      <c r="E3" t="s">
        <v>1452</v>
      </c>
      <c r="F3" t="s">
        <v>1457</v>
      </c>
      <c r="G3" t="s">
        <v>1456</v>
      </c>
      <c r="H3" t="s">
        <v>1455</v>
      </c>
      <c r="I3" t="s">
        <v>1453</v>
      </c>
      <c r="J3" t="s">
        <v>1451</v>
      </c>
      <c r="K3" t="s">
        <v>1449</v>
      </c>
      <c r="L3" t="s">
        <v>1450</v>
      </c>
      <c r="M3" t="s">
        <v>1495</v>
      </c>
      <c r="N3" t="s">
        <v>1490</v>
      </c>
      <c r="O3" t="s">
        <v>1501</v>
      </c>
      <c r="P3" t="s">
        <v>1469</v>
      </c>
      <c r="Q3" t="s">
        <v>1458</v>
      </c>
      <c r="R3" t="s">
        <v>1516</v>
      </c>
      <c r="S3" t="s">
        <v>1498</v>
      </c>
      <c r="T3" t="s">
        <v>1524</v>
      </c>
    </row>
    <row r="4" spans="1:20" x14ac:dyDescent="0.25">
      <c r="A4" s="15">
        <v>0</v>
      </c>
      <c r="B4" s="11">
        <v>18429.585380000004</v>
      </c>
      <c r="C4" s="11">
        <v>53182.886769999997</v>
      </c>
      <c r="D4" s="11">
        <v>30578.303159999996</v>
      </c>
      <c r="E4" s="11">
        <v>41946.137600000002</v>
      </c>
      <c r="F4" s="11">
        <v>56991.203750000001</v>
      </c>
      <c r="G4" s="11">
        <v>48622.994510000004</v>
      </c>
      <c r="H4" s="11">
        <v>46046.452040000004</v>
      </c>
      <c r="I4" s="11">
        <v>128471.44151999999</v>
      </c>
      <c r="J4" s="11">
        <v>40971.811370000003</v>
      </c>
      <c r="K4" s="11">
        <v>32340.077820000002</v>
      </c>
      <c r="L4" s="11">
        <v>532.83047999999997</v>
      </c>
      <c r="M4" s="11">
        <v>76334.184479999996</v>
      </c>
      <c r="N4" s="11">
        <v>105907.98384</v>
      </c>
      <c r="O4" s="11">
        <v>16999.562480000001</v>
      </c>
      <c r="P4" s="11">
        <v>156738.34792000003</v>
      </c>
      <c r="Q4" s="11">
        <v>55915.475289999995</v>
      </c>
      <c r="R4" s="11">
        <v>80688.818169999999</v>
      </c>
      <c r="S4" s="11">
        <v>43946.62356</v>
      </c>
      <c r="T4" s="11">
        <v>1034644.72014</v>
      </c>
    </row>
    <row r="5" spans="1:20" x14ac:dyDescent="0.25">
      <c r="A5" s="15">
        <v>1</v>
      </c>
      <c r="B5" s="11">
        <v>60174.033919999994</v>
      </c>
      <c r="C5" s="11"/>
      <c r="D5" s="11"/>
      <c r="E5" s="11">
        <v>8726.6718000000001</v>
      </c>
      <c r="F5" s="11">
        <v>93164.425199999998</v>
      </c>
      <c r="G5" s="11"/>
      <c r="H5" s="11">
        <v>89303.991239999988</v>
      </c>
      <c r="I5" s="11">
        <v>13462.36608</v>
      </c>
      <c r="J5" s="11"/>
      <c r="K5" s="11">
        <v>7841.6893800000007</v>
      </c>
      <c r="L5" s="11"/>
      <c r="M5" s="11"/>
      <c r="N5" s="11">
        <v>40464.761399999996</v>
      </c>
      <c r="O5" s="11">
        <v>39422.21884999999</v>
      </c>
      <c r="P5" s="11">
        <v>6152.0014200000005</v>
      </c>
      <c r="Q5" s="11"/>
      <c r="R5" s="11"/>
      <c r="S5" s="11"/>
      <c r="T5" s="11">
        <v>358712.15928999998</v>
      </c>
    </row>
    <row r="6" spans="1:20" x14ac:dyDescent="0.25">
      <c r="A6" s="15">
        <v>2</v>
      </c>
      <c r="B6" s="11">
        <v>24523.006720000001</v>
      </c>
      <c r="C6" s="11">
        <v>28072.190160000002</v>
      </c>
      <c r="D6" s="11"/>
      <c r="E6" s="11">
        <v>48172.846920000004</v>
      </c>
      <c r="F6" s="11">
        <v>24677.426799999994</v>
      </c>
      <c r="G6" s="11">
        <v>37627.672659999997</v>
      </c>
      <c r="H6" s="11">
        <v>12415.909299999999</v>
      </c>
      <c r="I6" s="11">
        <v>44764.724949999996</v>
      </c>
      <c r="J6" s="11">
        <v>6590.7977600000004</v>
      </c>
      <c r="K6" s="11">
        <v>32133.009609999997</v>
      </c>
      <c r="L6" s="11"/>
      <c r="M6" s="11">
        <v>29978.0504</v>
      </c>
      <c r="N6" s="11">
        <v>4826.03856</v>
      </c>
      <c r="O6" s="11">
        <v>11415.87888</v>
      </c>
      <c r="P6" s="11"/>
      <c r="Q6" s="11">
        <v>7160.6728799999992</v>
      </c>
      <c r="R6" s="11"/>
      <c r="S6" s="11">
        <v>2179.7043999999996</v>
      </c>
      <c r="T6" s="11">
        <v>314537.93</v>
      </c>
    </row>
    <row r="7" spans="1:20" x14ac:dyDescent="0.25">
      <c r="A7" s="15">
        <v>3</v>
      </c>
      <c r="B7" s="11"/>
      <c r="C7" s="11"/>
      <c r="D7" s="11"/>
      <c r="E7" s="11"/>
      <c r="F7" s="11">
        <v>38334.015799999994</v>
      </c>
      <c r="G7" s="11"/>
      <c r="H7" s="11">
        <v>101205.64791</v>
      </c>
      <c r="I7" s="11">
        <v>26701.816649999997</v>
      </c>
      <c r="J7" s="11">
        <v>4559.0873600000004</v>
      </c>
      <c r="K7" s="11">
        <v>8261.2000000000007</v>
      </c>
      <c r="L7" s="11">
        <v>12631.431420000001</v>
      </c>
      <c r="M7" s="11"/>
      <c r="N7" s="11">
        <v>11851.892519999999</v>
      </c>
      <c r="O7" s="11"/>
      <c r="P7" s="11">
        <v>106201.53575999998</v>
      </c>
      <c r="Q7" s="11"/>
      <c r="R7" s="11">
        <v>618.1</v>
      </c>
      <c r="S7" s="11">
        <v>4910.4746999999998</v>
      </c>
      <c r="T7" s="11">
        <v>315275.20211999997</v>
      </c>
    </row>
    <row r="8" spans="1:20" x14ac:dyDescent="0.25">
      <c r="A8" s="15">
        <v>4</v>
      </c>
      <c r="B8" s="11"/>
      <c r="C8" s="11">
        <v>3807.8024599999999</v>
      </c>
      <c r="D8" s="11"/>
      <c r="E8" s="11">
        <v>17891.67252</v>
      </c>
      <c r="F8" s="11">
        <v>76192.033620000002</v>
      </c>
      <c r="G8" s="11">
        <v>5194.2149999999992</v>
      </c>
      <c r="H8" s="11">
        <v>53893.2114</v>
      </c>
      <c r="I8" s="11">
        <v>62968.127349999995</v>
      </c>
      <c r="J8" s="11">
        <v>57250.514990000003</v>
      </c>
      <c r="K8" s="11">
        <v>25035.822590000003</v>
      </c>
      <c r="L8" s="11">
        <v>441.36</v>
      </c>
      <c r="M8" s="11"/>
      <c r="N8" s="11"/>
      <c r="O8" s="11"/>
      <c r="P8" s="11">
        <v>17266.459800000001</v>
      </c>
      <c r="Q8" s="11">
        <v>43479.160560000004</v>
      </c>
      <c r="R8" s="11">
        <v>39550.601999999999</v>
      </c>
      <c r="S8" s="11">
        <v>2770.5987399999999</v>
      </c>
      <c r="T8" s="11">
        <v>405741.58103</v>
      </c>
    </row>
    <row r="9" spans="1:20" x14ac:dyDescent="0.25">
      <c r="A9" s="15">
        <v>5</v>
      </c>
      <c r="B9" s="11">
        <v>45012.860639999999</v>
      </c>
      <c r="C9" s="11"/>
      <c r="D9" s="11">
        <v>27058.9215</v>
      </c>
      <c r="E9" s="11"/>
      <c r="F9" s="11">
        <v>13269.334339999999</v>
      </c>
      <c r="G9" s="11">
        <v>61964.232120000001</v>
      </c>
      <c r="H9" s="11">
        <v>14531.674079999999</v>
      </c>
      <c r="I9" s="11">
        <v>23885.009399999995</v>
      </c>
      <c r="J9" s="11">
        <v>39802.3177</v>
      </c>
      <c r="K9" s="11">
        <v>6333.0052500000002</v>
      </c>
      <c r="L9" s="11">
        <v>17564.48</v>
      </c>
      <c r="M9" s="11">
        <v>12584.04168</v>
      </c>
      <c r="N9" s="11">
        <v>34091.630239999999</v>
      </c>
      <c r="O9" s="11"/>
      <c r="P9" s="11">
        <v>57442.956820000007</v>
      </c>
      <c r="Q9" s="11">
        <v>6381.7426400000004</v>
      </c>
      <c r="R9" s="11"/>
      <c r="S9" s="11">
        <v>7751.5651200000002</v>
      </c>
      <c r="T9" s="11">
        <v>367673.77152999997</v>
      </c>
    </row>
    <row r="10" spans="1:20" x14ac:dyDescent="0.25">
      <c r="A10" s="15">
        <v>6</v>
      </c>
      <c r="B10" s="11">
        <v>5501.1700799999999</v>
      </c>
      <c r="C10" s="11">
        <v>14957.867520000002</v>
      </c>
      <c r="D10" s="11">
        <v>6741.1482000000005</v>
      </c>
      <c r="E10" s="11">
        <v>60894.508700000006</v>
      </c>
      <c r="F10" s="11"/>
      <c r="G10" s="11"/>
      <c r="H10" s="11">
        <v>22179.250500000002</v>
      </c>
      <c r="I10" s="11"/>
      <c r="J10" s="11"/>
      <c r="K10" s="11">
        <v>49448.242560000006</v>
      </c>
      <c r="L10" s="11">
        <v>20962.581299999998</v>
      </c>
      <c r="M10" s="11"/>
      <c r="N10" s="11">
        <v>177746.99076000002</v>
      </c>
      <c r="O10" s="11">
        <v>25878.977360000001</v>
      </c>
      <c r="P10" s="11">
        <v>15967.320320000001</v>
      </c>
      <c r="Q10" s="11"/>
      <c r="R10" s="11">
        <v>40867.68</v>
      </c>
      <c r="S10" s="11"/>
      <c r="T10" s="11">
        <v>441145.73730000004</v>
      </c>
    </row>
    <row r="11" spans="1:20" x14ac:dyDescent="0.25">
      <c r="A11" s="15">
        <v>7</v>
      </c>
      <c r="B11" s="11">
        <v>20853.792260000002</v>
      </c>
      <c r="C11" s="11"/>
      <c r="D11" s="11"/>
      <c r="E11" s="11"/>
      <c r="F11" s="11">
        <v>5961.9900799999996</v>
      </c>
      <c r="G11" s="11">
        <v>19069.26744</v>
      </c>
      <c r="H11" s="11">
        <v>394.53039999999999</v>
      </c>
      <c r="I11" s="11">
        <v>30197.749399999997</v>
      </c>
      <c r="J11" s="11">
        <v>43169.369059999997</v>
      </c>
      <c r="K11" s="11"/>
      <c r="L11" s="11">
        <v>62974.84921</v>
      </c>
      <c r="M11" s="11"/>
      <c r="N11" s="11"/>
      <c r="O11" s="11">
        <v>4053.0927600000005</v>
      </c>
      <c r="P11" s="11">
        <v>36486.250039999999</v>
      </c>
      <c r="Q11" s="11">
        <v>8027.9176799999996</v>
      </c>
      <c r="R11" s="11">
        <v>28923.612600000004</v>
      </c>
      <c r="S11" s="11"/>
      <c r="T11" s="11">
        <v>260112.42093000002</v>
      </c>
    </row>
    <row r="12" spans="1:20" x14ac:dyDescent="0.25">
      <c r="A12" s="15">
        <v>8</v>
      </c>
      <c r="B12" s="11">
        <v>16418.270700000001</v>
      </c>
      <c r="C12" s="11">
        <v>12944.189700000001</v>
      </c>
      <c r="D12" s="11"/>
      <c r="E12" s="11">
        <v>61789.020479999999</v>
      </c>
      <c r="F12" s="11">
        <v>4979.3533799999996</v>
      </c>
      <c r="G12" s="11">
        <v>13148.124240000001</v>
      </c>
      <c r="H12" s="11"/>
      <c r="I12" s="11">
        <v>36544.503420000001</v>
      </c>
      <c r="J12" s="11">
        <v>12419.043660000001</v>
      </c>
      <c r="K12" s="11">
        <v>5153.7870000000003</v>
      </c>
      <c r="L12" s="11"/>
      <c r="M12" s="11"/>
      <c r="N12" s="11"/>
      <c r="O12" s="11"/>
      <c r="P12" s="11"/>
      <c r="Q12" s="11"/>
      <c r="R12" s="11"/>
      <c r="S12" s="11"/>
      <c r="T12" s="11">
        <v>163396.29258000001</v>
      </c>
    </row>
    <row r="13" spans="1:20" x14ac:dyDescent="0.25">
      <c r="A13" s="15">
        <v>9</v>
      </c>
      <c r="B13" s="11">
        <v>23777.718699999998</v>
      </c>
      <c r="C13" s="11"/>
      <c r="D13" s="11">
        <v>13045.275000000001</v>
      </c>
      <c r="E13" s="11"/>
      <c r="F13" s="11">
        <v>17049.58914</v>
      </c>
      <c r="G13" s="11">
        <v>45966.69126</v>
      </c>
      <c r="H13" s="11"/>
      <c r="I13" s="11">
        <v>34431.525450000001</v>
      </c>
      <c r="J13" s="11">
        <v>83212.762239999996</v>
      </c>
      <c r="K13" s="11">
        <v>7266.4</v>
      </c>
      <c r="L13" s="11"/>
      <c r="M13" s="11"/>
      <c r="N13" s="11"/>
      <c r="O13" s="11"/>
      <c r="P13" s="11">
        <v>22663.84748</v>
      </c>
      <c r="Q13" s="11">
        <v>15426.900000000001</v>
      </c>
      <c r="R13" s="11"/>
      <c r="S13" s="11">
        <v>12450.651750000001</v>
      </c>
      <c r="T13" s="11">
        <v>275291.36102000001</v>
      </c>
    </row>
    <row r="14" spans="1:20" x14ac:dyDescent="0.25">
      <c r="A14" s="15">
        <v>10</v>
      </c>
      <c r="B14" s="11">
        <v>1987.4015999999999</v>
      </c>
      <c r="C14" s="11"/>
      <c r="D14" s="11">
        <v>1984.8</v>
      </c>
      <c r="E14" s="11"/>
      <c r="F14" s="11">
        <v>47894.380499999999</v>
      </c>
      <c r="G14" s="11">
        <v>40253.142719999996</v>
      </c>
      <c r="H14" s="11">
        <v>8735.16</v>
      </c>
      <c r="I14" s="11">
        <v>40732.287449999996</v>
      </c>
      <c r="J14" s="11">
        <v>58068.306120000008</v>
      </c>
      <c r="K14" s="11"/>
      <c r="L14" s="11"/>
      <c r="M14" s="11">
        <v>1391.6764399999997</v>
      </c>
      <c r="N14" s="11"/>
      <c r="O14" s="11"/>
      <c r="P14" s="11">
        <v>16183.672699999999</v>
      </c>
      <c r="Q14" s="11"/>
      <c r="R14" s="11"/>
      <c r="S14" s="11"/>
      <c r="T14" s="11">
        <v>217230.82753000001</v>
      </c>
    </row>
    <row r="15" spans="1:20" x14ac:dyDescent="0.25">
      <c r="A15" s="15">
        <v>11</v>
      </c>
      <c r="B15" s="11">
        <v>31234.289089999998</v>
      </c>
      <c r="C15" s="11"/>
      <c r="D15" s="11">
        <v>15706.88625</v>
      </c>
      <c r="E15" s="11">
        <v>15162.534000000001</v>
      </c>
      <c r="F15" s="11">
        <v>25640.940000000002</v>
      </c>
      <c r="G15" s="11">
        <v>12951.09</v>
      </c>
      <c r="H15" s="11">
        <v>102906.42594</v>
      </c>
      <c r="I15" s="11">
        <v>66561.825859999997</v>
      </c>
      <c r="J15" s="11">
        <v>3813.2674499999998</v>
      </c>
      <c r="K15" s="11">
        <v>2676.99548</v>
      </c>
      <c r="L15" s="11">
        <v>25461.463199999998</v>
      </c>
      <c r="M15" s="11">
        <v>20725.254000000001</v>
      </c>
      <c r="N15" s="11">
        <v>33436.01</v>
      </c>
      <c r="O15" s="11">
        <v>55990.536759999995</v>
      </c>
      <c r="P15" s="11"/>
      <c r="Q15" s="11">
        <v>2782.6780799999997</v>
      </c>
      <c r="R15" s="11"/>
      <c r="S15" s="11"/>
      <c r="T15" s="11">
        <v>415050.19610999996</v>
      </c>
    </row>
    <row r="16" spans="1:20" x14ac:dyDescent="0.25">
      <c r="A16" s="15">
        <v>12</v>
      </c>
      <c r="B16" s="11"/>
      <c r="C16" s="11">
        <v>15042.331980000001</v>
      </c>
      <c r="D16" s="11">
        <v>757.33840000000021</v>
      </c>
      <c r="E16" s="11">
        <v>2392.4492800000003</v>
      </c>
      <c r="F16" s="11"/>
      <c r="G16" s="11">
        <v>41153.183080000003</v>
      </c>
      <c r="H16" s="11">
        <v>44074.584999999999</v>
      </c>
      <c r="I16" s="11">
        <v>45249.798600000002</v>
      </c>
      <c r="J16" s="11"/>
      <c r="K16" s="11"/>
      <c r="L16" s="11"/>
      <c r="M16" s="11"/>
      <c r="N16" s="11"/>
      <c r="O16" s="11">
        <v>44108.005359999996</v>
      </c>
      <c r="P16" s="11">
        <v>5522.6233999999995</v>
      </c>
      <c r="Q16" s="11">
        <v>10541.911839999999</v>
      </c>
      <c r="R16" s="11">
        <v>48601.81</v>
      </c>
      <c r="S16" s="11">
        <v>9652.8833999999988</v>
      </c>
      <c r="T16" s="11">
        <v>267096.92034000001</v>
      </c>
    </row>
    <row r="17" spans="1:20" x14ac:dyDescent="0.25">
      <c r="A17" s="15">
        <v>13</v>
      </c>
      <c r="B17" s="11">
        <v>16664.196799999998</v>
      </c>
      <c r="C17" s="11"/>
      <c r="D17" s="11"/>
      <c r="E17" s="11"/>
      <c r="F17" s="11">
        <v>73515.432529999991</v>
      </c>
      <c r="G17" s="11">
        <v>16470.554369999998</v>
      </c>
      <c r="H17" s="11">
        <v>965.79872999999998</v>
      </c>
      <c r="I17" s="11">
        <v>37714.232349999998</v>
      </c>
      <c r="J17" s="11"/>
      <c r="K17" s="11">
        <v>112327.31816</v>
      </c>
      <c r="L17" s="11"/>
      <c r="M17" s="11">
        <v>14277.115600000001</v>
      </c>
      <c r="N17" s="11">
        <v>10457.50251</v>
      </c>
      <c r="O17" s="11"/>
      <c r="P17" s="11"/>
      <c r="Q17" s="11">
        <v>11.153460000000001</v>
      </c>
      <c r="R17" s="11"/>
      <c r="S17" s="11"/>
      <c r="T17" s="11">
        <v>282403.30450999999</v>
      </c>
    </row>
    <row r="18" spans="1:20" x14ac:dyDescent="0.25">
      <c r="A18" s="15">
        <v>14</v>
      </c>
      <c r="B18" s="11">
        <v>10964.80154</v>
      </c>
      <c r="C18" s="11">
        <v>10826.48259</v>
      </c>
      <c r="D18" s="11"/>
      <c r="E18" s="11">
        <v>16967.5242</v>
      </c>
      <c r="F18" s="11">
        <v>14108.310240000001</v>
      </c>
      <c r="G18" s="11">
        <v>4634.0985600000004</v>
      </c>
      <c r="H18" s="11">
        <v>110342.76545000001</v>
      </c>
      <c r="I18" s="11">
        <v>36149.674320000006</v>
      </c>
      <c r="J18" s="11">
        <v>48359.033800000005</v>
      </c>
      <c r="K18" s="11">
        <v>3244.2191999999995</v>
      </c>
      <c r="L18" s="11">
        <v>17277.669750000001</v>
      </c>
      <c r="M18" s="11"/>
      <c r="N18" s="11">
        <v>16611.933100000002</v>
      </c>
      <c r="O18" s="11"/>
      <c r="P18" s="11">
        <v>40695.526279999998</v>
      </c>
      <c r="Q18" s="11"/>
      <c r="R18" s="11"/>
      <c r="S18" s="11">
        <v>62042.193839999993</v>
      </c>
      <c r="T18" s="11">
        <v>392224.23286999995</v>
      </c>
    </row>
    <row r="19" spans="1:20" x14ac:dyDescent="0.25">
      <c r="A19" s="15">
        <v>15</v>
      </c>
      <c r="B19" s="11">
        <v>45066.307239999995</v>
      </c>
      <c r="C19" s="11">
        <v>29950.696599999999</v>
      </c>
      <c r="D19" s="11"/>
      <c r="E19" s="11">
        <v>35045.966640000006</v>
      </c>
      <c r="F19" s="11">
        <v>12777.357959999999</v>
      </c>
      <c r="G19" s="11">
        <v>36558.985480000003</v>
      </c>
      <c r="H19" s="11">
        <v>53148.160799999998</v>
      </c>
      <c r="I19" s="11"/>
      <c r="J19" s="11">
        <v>98878.426920000013</v>
      </c>
      <c r="K19" s="11">
        <v>20604.873150000003</v>
      </c>
      <c r="L19" s="11">
        <v>13693.23753</v>
      </c>
      <c r="M19" s="11"/>
      <c r="N19" s="11">
        <v>6955.6919199999993</v>
      </c>
      <c r="O19" s="11"/>
      <c r="P19" s="11"/>
      <c r="Q19" s="11">
        <v>11006.6304</v>
      </c>
      <c r="R19" s="11"/>
      <c r="S19" s="11">
        <v>3816.4658999999997</v>
      </c>
      <c r="T19" s="11">
        <v>367502.80054000003</v>
      </c>
    </row>
    <row r="20" spans="1:20" x14ac:dyDescent="0.25">
      <c r="A20" s="15">
        <v>16</v>
      </c>
      <c r="B20" s="11"/>
      <c r="C20" s="11">
        <v>18578.582280000002</v>
      </c>
      <c r="D20" s="11"/>
      <c r="E20" s="11">
        <v>7753.9934500000008</v>
      </c>
      <c r="F20" s="11"/>
      <c r="G20" s="11"/>
      <c r="H20" s="11">
        <v>34717.507679999995</v>
      </c>
      <c r="I20" s="11">
        <v>13108.084079999999</v>
      </c>
      <c r="J20" s="11">
        <v>123882.57666999998</v>
      </c>
      <c r="K20" s="11">
        <v>26217.571680000001</v>
      </c>
      <c r="L20" s="11">
        <v>76742.417719999998</v>
      </c>
      <c r="M20" s="11"/>
      <c r="N20" s="11">
        <v>31458.689100000003</v>
      </c>
      <c r="O20" s="11"/>
      <c r="P20" s="11">
        <v>3747.5022199999994</v>
      </c>
      <c r="Q20" s="11">
        <v>31545.902959999999</v>
      </c>
      <c r="R20" s="11"/>
      <c r="S20" s="11"/>
      <c r="T20" s="11">
        <v>367752.82783999998</v>
      </c>
    </row>
    <row r="21" spans="1:20" x14ac:dyDescent="0.25">
      <c r="A21" s="15">
        <v>17</v>
      </c>
      <c r="B21" s="11">
        <v>5860.3373399999991</v>
      </c>
      <c r="C21" s="11"/>
      <c r="D21" s="11"/>
      <c r="E21" s="11">
        <v>89323.531840000011</v>
      </c>
      <c r="F21" s="11">
        <v>28028.209599999998</v>
      </c>
      <c r="G21" s="11">
        <v>39142.331700000002</v>
      </c>
      <c r="H21" s="11">
        <v>41122.98072</v>
      </c>
      <c r="I21" s="11">
        <v>146107.68864000001</v>
      </c>
      <c r="J21" s="11">
        <v>7726.3469999999998</v>
      </c>
      <c r="K21" s="11">
        <v>144885.40412000002</v>
      </c>
      <c r="L21" s="11"/>
      <c r="M21" s="11">
        <v>11482.016699999998</v>
      </c>
      <c r="N21" s="11"/>
      <c r="O21" s="11"/>
      <c r="P21" s="11">
        <v>31849.099679999999</v>
      </c>
      <c r="Q21" s="11"/>
      <c r="R21" s="11">
        <v>15927.446799999998</v>
      </c>
      <c r="S21" s="11"/>
      <c r="T21" s="11">
        <v>561455.39414000011</v>
      </c>
    </row>
    <row r="22" spans="1:20" x14ac:dyDescent="0.25">
      <c r="A22" s="15">
        <v>18</v>
      </c>
      <c r="B22" s="11"/>
      <c r="C22" s="11"/>
      <c r="D22" s="11"/>
      <c r="E22" s="11">
        <v>39503.996460000002</v>
      </c>
      <c r="F22" s="11">
        <v>21959.23328</v>
      </c>
      <c r="G22" s="11">
        <v>21892.595099999999</v>
      </c>
      <c r="H22" s="11"/>
      <c r="I22" s="11">
        <v>10212.771749999998</v>
      </c>
      <c r="J22" s="11">
        <v>18522.077539999998</v>
      </c>
      <c r="K22" s="11">
        <v>6634.5124999999998</v>
      </c>
      <c r="L22" s="11"/>
      <c r="M22" s="11"/>
      <c r="N22" s="11">
        <v>16829.96672</v>
      </c>
      <c r="O22" s="11"/>
      <c r="P22" s="11"/>
      <c r="Q22" s="11">
        <v>17603.874080000001</v>
      </c>
      <c r="R22" s="11"/>
      <c r="S22" s="11"/>
      <c r="T22" s="11">
        <v>153159.02743000002</v>
      </c>
    </row>
    <row r="23" spans="1:20" x14ac:dyDescent="0.25">
      <c r="A23" s="15">
        <v>19</v>
      </c>
      <c r="B23" s="11"/>
      <c r="C23" s="11">
        <v>1009.8806400000001</v>
      </c>
      <c r="D23" s="11">
        <v>35531.898480000003</v>
      </c>
      <c r="E23" s="11"/>
      <c r="F23" s="11"/>
      <c r="G23" s="11"/>
      <c r="H23" s="11">
        <v>17241.042449999997</v>
      </c>
      <c r="I23" s="11">
        <v>79186.521059999999</v>
      </c>
      <c r="J23" s="11">
        <v>8926.9557999999997</v>
      </c>
      <c r="K23" s="11">
        <v>12426.749269999998</v>
      </c>
      <c r="L23" s="11"/>
      <c r="M23" s="11"/>
      <c r="N23" s="11"/>
      <c r="O23" s="11"/>
      <c r="P23" s="11">
        <v>77726.07925000001</v>
      </c>
      <c r="Q23" s="11"/>
      <c r="R23" s="11"/>
      <c r="S23" s="11"/>
      <c r="T23" s="11">
        <v>232049.12695000001</v>
      </c>
    </row>
    <row r="24" spans="1:20" x14ac:dyDescent="0.25">
      <c r="A24" s="15">
        <v>20</v>
      </c>
      <c r="B24" s="11">
        <v>25397.456040000001</v>
      </c>
      <c r="C24" s="11"/>
      <c r="D24" s="11"/>
      <c r="E24" s="11">
        <v>17882.741249999999</v>
      </c>
      <c r="F24" s="11">
        <v>41157.530609999994</v>
      </c>
      <c r="G24" s="11">
        <v>18301.650249999999</v>
      </c>
      <c r="H24" s="11"/>
      <c r="I24" s="11">
        <v>76941.574919999999</v>
      </c>
      <c r="J24" s="11">
        <v>41668.614240000003</v>
      </c>
      <c r="K24" s="11">
        <v>21580.090049999995</v>
      </c>
      <c r="L24" s="11">
        <v>8639.9508000000005</v>
      </c>
      <c r="M24" s="11"/>
      <c r="N24" s="11">
        <v>14047.603359999999</v>
      </c>
      <c r="O24" s="11">
        <v>8648.001479999999</v>
      </c>
      <c r="P24" s="11">
        <v>12121.456019999998</v>
      </c>
      <c r="Q24" s="11">
        <v>9575.0038999999997</v>
      </c>
      <c r="R24" s="11">
        <v>7218.1151999999993</v>
      </c>
      <c r="S24" s="11"/>
      <c r="T24" s="11">
        <v>303179.78811999992</v>
      </c>
    </row>
    <row r="25" spans="1:20" x14ac:dyDescent="0.25">
      <c r="A25" s="15">
        <v>21</v>
      </c>
      <c r="B25" s="11"/>
      <c r="C25" s="11"/>
      <c r="D25" s="11"/>
      <c r="E25" s="11">
        <v>51228.821280000004</v>
      </c>
      <c r="F25" s="11">
        <v>85865.692420000007</v>
      </c>
      <c r="G25" s="11">
        <v>86695.951180000004</v>
      </c>
      <c r="H25" s="11"/>
      <c r="I25" s="11">
        <v>1798.596</v>
      </c>
      <c r="J25" s="11"/>
      <c r="K25" s="11">
        <v>130874.66099999999</v>
      </c>
      <c r="L25" s="11">
        <v>13532.20923</v>
      </c>
      <c r="M25" s="11"/>
      <c r="N25" s="11"/>
      <c r="O25" s="11"/>
      <c r="P25" s="11">
        <v>33072.319680000001</v>
      </c>
      <c r="Q25" s="11"/>
      <c r="R25" s="11"/>
      <c r="S25" s="11"/>
      <c r="T25" s="11">
        <v>403068.25078999996</v>
      </c>
    </row>
    <row r="26" spans="1:20" x14ac:dyDescent="0.25">
      <c r="A26" s="15">
        <v>22</v>
      </c>
      <c r="B26" s="11">
        <v>27043.353999999999</v>
      </c>
      <c r="C26" s="11"/>
      <c r="D26" s="11"/>
      <c r="E26" s="11">
        <v>108391.30040000001</v>
      </c>
      <c r="F26" s="11">
        <v>14658.48</v>
      </c>
      <c r="G26" s="11">
        <v>17999.222000000002</v>
      </c>
      <c r="H26" s="11">
        <v>12955.824749999998</v>
      </c>
      <c r="I26" s="11">
        <v>41286.127890000003</v>
      </c>
      <c r="J26" s="11">
        <v>6678.2148999999999</v>
      </c>
      <c r="K26" s="11">
        <v>44626.099470000001</v>
      </c>
      <c r="L26" s="11"/>
      <c r="M26" s="11"/>
      <c r="N26" s="11"/>
      <c r="O26" s="11"/>
      <c r="P26" s="11">
        <v>4532.8571999999995</v>
      </c>
      <c r="Q26" s="11"/>
      <c r="R26" s="11">
        <v>4555.4016000000011</v>
      </c>
      <c r="S26" s="11"/>
      <c r="T26" s="11">
        <v>282726.88221000001</v>
      </c>
    </row>
    <row r="27" spans="1:20" x14ac:dyDescent="0.25">
      <c r="A27" s="15">
        <v>23</v>
      </c>
      <c r="B27" s="11"/>
      <c r="C27" s="11">
        <v>16459.771919999999</v>
      </c>
      <c r="D27" s="11"/>
      <c r="E27" s="11">
        <v>27400.750840000001</v>
      </c>
      <c r="F27" s="11">
        <v>65604.043539999999</v>
      </c>
      <c r="G27" s="11">
        <v>10012.976610000002</v>
      </c>
      <c r="H27" s="11">
        <v>97844.293990000006</v>
      </c>
      <c r="I27" s="11">
        <v>21927.701140000001</v>
      </c>
      <c r="J27" s="11">
        <v>20867.171179999998</v>
      </c>
      <c r="K27" s="11"/>
      <c r="L27" s="11">
        <v>19451.937960000003</v>
      </c>
      <c r="M27" s="11">
        <v>15706.90746</v>
      </c>
      <c r="N27" s="11">
        <v>1886.9915999999998</v>
      </c>
      <c r="O27" s="11"/>
      <c r="P27" s="11">
        <v>60685.831049999986</v>
      </c>
      <c r="Q27" s="11">
        <v>5286.0225</v>
      </c>
      <c r="R27" s="11"/>
      <c r="S27" s="11">
        <v>2313.7484000000004</v>
      </c>
      <c r="T27" s="11">
        <v>365448.14818999998</v>
      </c>
    </row>
    <row r="28" spans="1:20" x14ac:dyDescent="0.25">
      <c r="A28" s="15">
        <v>24</v>
      </c>
      <c r="B28" s="11"/>
      <c r="C28" s="11"/>
      <c r="D28" s="11">
        <v>63897.025979999991</v>
      </c>
      <c r="E28" s="11"/>
      <c r="F28" s="11">
        <v>28332.084080000001</v>
      </c>
      <c r="G28" s="11">
        <v>24081.287039999999</v>
      </c>
      <c r="H28" s="11"/>
      <c r="I28" s="11"/>
      <c r="J28" s="11">
        <v>155682.96676000004</v>
      </c>
      <c r="K28" s="11">
        <v>76680.217439999993</v>
      </c>
      <c r="L28" s="11"/>
      <c r="M28" s="11"/>
      <c r="N28" s="11"/>
      <c r="O28" s="11">
        <v>15971.011760000001</v>
      </c>
      <c r="P28" s="11">
        <v>14581.808640000001</v>
      </c>
      <c r="Q28" s="11"/>
      <c r="R28" s="11"/>
      <c r="S28" s="11"/>
      <c r="T28" s="11">
        <v>379226.40170000005</v>
      </c>
    </row>
    <row r="29" spans="1:20" x14ac:dyDescent="0.25">
      <c r="A29" s="15">
        <v>25</v>
      </c>
      <c r="B29" s="11"/>
      <c r="C29" s="11"/>
      <c r="D29" s="11">
        <v>1098.9470800000001</v>
      </c>
      <c r="E29" s="11"/>
      <c r="F29" s="11"/>
      <c r="G29" s="11"/>
      <c r="H29" s="11">
        <v>38384.359199999999</v>
      </c>
      <c r="I29" s="11">
        <v>6675.6081000000004</v>
      </c>
      <c r="J29" s="11">
        <v>53755.636559999999</v>
      </c>
      <c r="K29" s="11">
        <v>35686.759680000003</v>
      </c>
      <c r="L29" s="11">
        <v>20361.603209999997</v>
      </c>
      <c r="M29" s="11">
        <v>68287.961719999992</v>
      </c>
      <c r="N29" s="11">
        <v>31623.780019999998</v>
      </c>
      <c r="O29" s="11"/>
      <c r="P29" s="11">
        <v>24880.55934</v>
      </c>
      <c r="Q29" s="11"/>
      <c r="R29" s="11"/>
      <c r="S29" s="11">
        <v>36610.625699999997</v>
      </c>
      <c r="T29" s="11">
        <v>317365.84060999996</v>
      </c>
    </row>
    <row r="30" spans="1:20" x14ac:dyDescent="0.25">
      <c r="A30" s="15">
        <v>26</v>
      </c>
      <c r="B30" s="11"/>
      <c r="C30" s="11"/>
      <c r="D30" s="11">
        <v>10798.2441</v>
      </c>
      <c r="E30" s="11">
        <v>20247.60441</v>
      </c>
      <c r="F30" s="11">
        <v>37264.771769999999</v>
      </c>
      <c r="G30" s="11">
        <v>50287.940620000001</v>
      </c>
      <c r="H30" s="11">
        <v>14439.514319999998</v>
      </c>
      <c r="I30" s="11">
        <v>38246.461020000002</v>
      </c>
      <c r="J30" s="11">
        <v>16825.270700000001</v>
      </c>
      <c r="K30" s="11">
        <v>31245.279999999999</v>
      </c>
      <c r="L30" s="11">
        <v>44628.607320000003</v>
      </c>
      <c r="M30" s="11"/>
      <c r="N30" s="11"/>
      <c r="O30" s="11"/>
      <c r="P30" s="11"/>
      <c r="Q30" s="11">
        <v>9942.9804000000004</v>
      </c>
      <c r="R30" s="11"/>
      <c r="S30" s="11">
        <v>664.76155000000006</v>
      </c>
      <c r="T30" s="11">
        <v>274591.43620999996</v>
      </c>
    </row>
    <row r="31" spans="1:20" x14ac:dyDescent="0.25">
      <c r="A31" s="15">
        <v>27</v>
      </c>
      <c r="B31" s="11"/>
      <c r="C31" s="11"/>
      <c r="D31" s="11">
        <v>33412.404519999996</v>
      </c>
      <c r="E31" s="11">
        <v>51414.553440000003</v>
      </c>
      <c r="F31" s="11"/>
      <c r="G31" s="11">
        <v>2132.6678400000005</v>
      </c>
      <c r="H31" s="11">
        <v>8500.1032799999994</v>
      </c>
      <c r="I31" s="11">
        <v>14569.071749999999</v>
      </c>
      <c r="J31" s="11">
        <v>11354.1075</v>
      </c>
      <c r="K31" s="11">
        <v>8865.8114999999998</v>
      </c>
      <c r="L31" s="11"/>
      <c r="M31" s="11">
        <v>18841.095000000001</v>
      </c>
      <c r="N31" s="11"/>
      <c r="O31" s="11"/>
      <c r="P31" s="11">
        <v>77520.296839999995</v>
      </c>
      <c r="Q31" s="11"/>
      <c r="R31" s="11"/>
      <c r="S31" s="11">
        <v>2466.9226999999996</v>
      </c>
      <c r="T31" s="11">
        <v>229077.03436999998</v>
      </c>
    </row>
    <row r="32" spans="1:20" x14ac:dyDescent="0.25">
      <c r="A32" s="15">
        <v>28</v>
      </c>
      <c r="B32" s="11"/>
      <c r="C32" s="11">
        <v>6374.8249000000005</v>
      </c>
      <c r="D32" s="11"/>
      <c r="E32" s="11">
        <v>14964.5834</v>
      </c>
      <c r="F32" s="11">
        <v>19369.751200000002</v>
      </c>
      <c r="G32" s="11">
        <v>9490.1334500000012</v>
      </c>
      <c r="H32" s="11">
        <v>8726.9149800000014</v>
      </c>
      <c r="I32" s="11">
        <v>23821.634999999998</v>
      </c>
      <c r="J32" s="11">
        <v>23549.380659999999</v>
      </c>
      <c r="K32" s="11">
        <v>49599.131699999998</v>
      </c>
      <c r="L32" s="11">
        <v>757.78194000000008</v>
      </c>
      <c r="M32" s="11"/>
      <c r="N32" s="11">
        <v>40882.135699999999</v>
      </c>
      <c r="O32" s="11"/>
      <c r="P32" s="11"/>
      <c r="Q32" s="11"/>
      <c r="R32" s="11"/>
      <c r="S32" s="11"/>
      <c r="T32" s="11">
        <v>197536.27292999998</v>
      </c>
    </row>
    <row r="33" spans="1:20" x14ac:dyDescent="0.25">
      <c r="A33" s="15">
        <v>29</v>
      </c>
      <c r="B33" s="11"/>
      <c r="C33" s="11">
        <v>41.984640000000006</v>
      </c>
      <c r="D33" s="11"/>
      <c r="E33" s="11">
        <v>931.74477000000002</v>
      </c>
      <c r="F33" s="11">
        <v>45228.280110000007</v>
      </c>
      <c r="G33" s="11">
        <v>5791.8600000000006</v>
      </c>
      <c r="H33" s="11">
        <v>93382.402530000007</v>
      </c>
      <c r="I33" s="11">
        <v>56563.366699999999</v>
      </c>
      <c r="J33" s="11">
        <v>116459.06771999999</v>
      </c>
      <c r="K33" s="11"/>
      <c r="L33" s="11"/>
      <c r="M33" s="11"/>
      <c r="N33" s="11">
        <v>30838.918239999999</v>
      </c>
      <c r="O33" s="11"/>
      <c r="P33" s="11">
        <v>39551.516009999999</v>
      </c>
      <c r="Q33" s="11"/>
      <c r="R33" s="11"/>
      <c r="S33" s="11"/>
      <c r="T33" s="11">
        <v>388789.14072000002</v>
      </c>
    </row>
    <row r="34" spans="1:20" x14ac:dyDescent="0.25">
      <c r="A34" s="15">
        <v>30</v>
      </c>
      <c r="B34" s="11"/>
      <c r="C34" s="11"/>
      <c r="D34" s="11">
        <v>31711.29</v>
      </c>
      <c r="E34" s="11">
        <v>7254.7142400000002</v>
      </c>
      <c r="F34" s="11">
        <v>22745.47856</v>
      </c>
      <c r="G34" s="11">
        <v>68474.93243999999</v>
      </c>
      <c r="H34" s="11"/>
      <c r="I34" s="11"/>
      <c r="J34" s="11">
        <v>129738.04161999999</v>
      </c>
      <c r="K34" s="11">
        <v>11275.991240000001</v>
      </c>
      <c r="L34" s="11">
        <v>146225.95913999999</v>
      </c>
      <c r="M34" s="11"/>
      <c r="N34" s="11"/>
      <c r="O34" s="11"/>
      <c r="P34" s="11">
        <v>15794.91504</v>
      </c>
      <c r="Q34" s="11"/>
      <c r="R34" s="11"/>
      <c r="S34" s="11"/>
      <c r="T34" s="11">
        <v>433221.32227999996</v>
      </c>
    </row>
    <row r="35" spans="1:20" x14ac:dyDescent="0.25">
      <c r="A35" s="15">
        <v>31</v>
      </c>
      <c r="B35" s="11">
        <v>4700.9558400000005</v>
      </c>
      <c r="C35" s="11"/>
      <c r="D35" s="11"/>
      <c r="E35" s="11">
        <v>14208.951360000001</v>
      </c>
      <c r="F35" s="11">
        <v>23963.094539999995</v>
      </c>
      <c r="G35" s="11"/>
      <c r="H35" s="11">
        <v>50559.100019999998</v>
      </c>
      <c r="I35" s="11">
        <v>8118.4313400000001</v>
      </c>
      <c r="J35" s="11"/>
      <c r="K35" s="11">
        <v>23351.913899999996</v>
      </c>
      <c r="L35" s="11"/>
      <c r="M35" s="11"/>
      <c r="N35" s="11">
        <v>36919.520400000009</v>
      </c>
      <c r="O35" s="11"/>
      <c r="P35" s="11">
        <v>482.31286999999998</v>
      </c>
      <c r="Q35" s="11"/>
      <c r="R35" s="11"/>
      <c r="S35" s="11">
        <v>6388.1118499999993</v>
      </c>
      <c r="T35" s="11">
        <v>168692.39211999997</v>
      </c>
    </row>
    <row r="36" spans="1:20" x14ac:dyDescent="0.25">
      <c r="A36" s="15">
        <v>32</v>
      </c>
      <c r="B36" s="11"/>
      <c r="C36" s="11"/>
      <c r="D36" s="11"/>
      <c r="E36" s="11"/>
      <c r="F36" s="11"/>
      <c r="G36" s="11"/>
      <c r="H36" s="11"/>
      <c r="I36" s="11">
        <v>18517.075199999999</v>
      </c>
      <c r="J36" s="11"/>
      <c r="K36" s="11">
        <v>24455.464049999999</v>
      </c>
      <c r="L36" s="11"/>
      <c r="M36" s="11"/>
      <c r="N36" s="11"/>
      <c r="O36" s="11"/>
      <c r="P36" s="11">
        <v>5393.4809599999999</v>
      </c>
      <c r="Q36" s="11"/>
      <c r="R36" s="11"/>
      <c r="S36" s="11"/>
      <c r="T36" s="11">
        <v>48366.020210000002</v>
      </c>
    </row>
    <row r="37" spans="1:20" x14ac:dyDescent="0.25">
      <c r="A37" s="15" t="s">
        <v>1524</v>
      </c>
      <c r="B37" s="11">
        <v>383609.53789000009</v>
      </c>
      <c r="C37" s="11">
        <v>211249.49216000002</v>
      </c>
      <c r="D37" s="11">
        <v>272322.48266999994</v>
      </c>
      <c r="E37" s="11">
        <v>759496.61927999998</v>
      </c>
      <c r="F37" s="11">
        <v>938732.44305</v>
      </c>
      <c r="G37" s="11">
        <v>737917.79966999986</v>
      </c>
      <c r="H37" s="11">
        <v>1078017.60671</v>
      </c>
      <c r="I37" s="11">
        <v>1184915.7973899997</v>
      </c>
      <c r="J37" s="11">
        <v>1232731.1672800002</v>
      </c>
      <c r="K37" s="11">
        <v>961072.29779999994</v>
      </c>
      <c r="L37" s="11">
        <v>501880.37020999996</v>
      </c>
      <c r="M37" s="11">
        <v>269608.30348</v>
      </c>
      <c r="N37" s="11">
        <v>646838.03999000019</v>
      </c>
      <c r="O37" s="11">
        <v>222487.28568999999</v>
      </c>
      <c r="P37" s="11">
        <v>883260.57673999993</v>
      </c>
      <c r="Q37" s="11">
        <v>234688.02666999999</v>
      </c>
      <c r="R37" s="11">
        <v>266951.58636999998</v>
      </c>
      <c r="S37" s="11">
        <v>197965.33160999999</v>
      </c>
      <c r="T37" s="11">
        <v>10983744.764660003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4BED-74E9-4FA9-B4DF-CE8CDB47FE35}">
  <dimension ref="A1:X636"/>
  <sheetViews>
    <sheetView workbookViewId="0">
      <pane ySplit="1" topLeftCell="A4" activePane="bottomLeft" state="frozen"/>
      <selection activeCell="K1" sqref="K1"/>
      <selection pane="bottomLeft" activeCell="O28" sqref="O28"/>
    </sheetView>
  </sheetViews>
  <sheetFormatPr defaultRowHeight="15" x14ac:dyDescent="0.25"/>
  <cols>
    <col min="1" max="1" width="16.42578125" bestFit="1" customWidth="1"/>
    <col min="2" max="2" width="14.85546875" style="2" bestFit="1" customWidth="1"/>
    <col min="3" max="3" width="15.7109375" style="2" bestFit="1" customWidth="1"/>
    <col min="4" max="4" width="21.5703125" bestFit="1" customWidth="1"/>
    <col min="5" max="5" width="15.7109375" style="10" bestFit="1" customWidth="1"/>
    <col min="6" max="6" width="34" bestFit="1" customWidth="1"/>
    <col min="7" max="7" width="20" bestFit="1" customWidth="1"/>
    <col min="8" max="8" width="12" bestFit="1" customWidth="1"/>
    <col min="9" max="9" width="18.140625" bestFit="1" customWidth="1"/>
    <col min="10" max="10" width="10.28515625" bestFit="1" customWidth="1"/>
    <col min="11" max="11" width="11" bestFit="1" customWidth="1"/>
    <col min="12" max="12" width="11" style="3" bestFit="1" customWidth="1"/>
    <col min="13" max="13" width="11.5703125" style="3" bestFit="1" customWidth="1"/>
    <col min="14" max="14" width="11.5703125" style="3" customWidth="1"/>
    <col min="15" max="15" width="13.7109375" style="4" bestFit="1" customWidth="1"/>
    <col min="16" max="16" width="16.28515625" style="3" bestFit="1" customWidth="1"/>
    <col min="17" max="17" width="15.140625" style="3" bestFit="1" customWidth="1"/>
    <col min="18" max="18" width="12.7109375" style="4" bestFit="1" customWidth="1"/>
    <col min="19" max="19" width="14" bestFit="1" customWidth="1"/>
    <col min="20" max="20" width="13.28515625" style="3" bestFit="1" customWidth="1"/>
    <col min="21" max="21" width="10.140625" bestFit="1" customWidth="1"/>
    <col min="22" max="22" width="13.42578125" style="13" customWidth="1"/>
  </cols>
  <sheetData>
    <row r="1" spans="1:24" s="5" customFormat="1" x14ac:dyDescent="0.25">
      <c r="A1" s="5" t="s">
        <v>0</v>
      </c>
      <c r="B1" s="6" t="s">
        <v>1</v>
      </c>
      <c r="C1" s="6" t="s">
        <v>2</v>
      </c>
      <c r="D1" s="5" t="s">
        <v>1368</v>
      </c>
      <c r="E1" s="9" t="s">
        <v>1370</v>
      </c>
      <c r="F1" s="5" t="s">
        <v>1412</v>
      </c>
      <c r="G1" s="5" t="s">
        <v>3</v>
      </c>
      <c r="H1" s="5" t="s">
        <v>4</v>
      </c>
      <c r="I1" s="5" t="s">
        <v>6</v>
      </c>
      <c r="J1" s="5" t="s">
        <v>7</v>
      </c>
      <c r="K1" s="5" t="s">
        <v>1372</v>
      </c>
      <c r="L1" s="7" t="s">
        <v>8</v>
      </c>
      <c r="M1" s="7" t="s">
        <v>9</v>
      </c>
      <c r="N1" s="7" t="s">
        <v>1443</v>
      </c>
      <c r="O1" s="8" t="s">
        <v>10</v>
      </c>
      <c r="P1" s="7" t="s">
        <v>1371</v>
      </c>
      <c r="Q1" s="7" t="s">
        <v>1373</v>
      </c>
      <c r="R1" s="8" t="s">
        <v>1378</v>
      </c>
      <c r="S1" s="5" t="s">
        <v>5</v>
      </c>
      <c r="T1" s="7" t="s">
        <v>1376</v>
      </c>
      <c r="U1" s="5" t="s">
        <v>1379</v>
      </c>
      <c r="V1" s="12" t="s">
        <v>1441</v>
      </c>
      <c r="W1" s="5" t="s">
        <v>1448</v>
      </c>
      <c r="X1" s="5" t="s">
        <v>1459</v>
      </c>
    </row>
    <row r="2" spans="1:24" x14ac:dyDescent="0.25">
      <c r="A2" t="s">
        <v>54</v>
      </c>
      <c r="B2" s="2">
        <v>45806</v>
      </c>
      <c r="C2" s="2">
        <v>45828</v>
      </c>
      <c r="D2" t="s">
        <v>1413</v>
      </c>
      <c r="E2" s="10">
        <v>22</v>
      </c>
      <c r="F2" t="s">
        <v>1390</v>
      </c>
      <c r="G2" t="s">
        <v>642</v>
      </c>
      <c r="H2" t="s">
        <v>652</v>
      </c>
      <c r="I2" t="s">
        <v>669</v>
      </c>
      <c r="J2" t="s">
        <v>718</v>
      </c>
      <c r="K2">
        <v>9</v>
      </c>
      <c r="L2" s="3">
        <v>483.47</v>
      </c>
      <c r="M2" s="3">
        <v>1135.43</v>
      </c>
      <c r="N2" s="3" t="str">
        <f>IF(Table1_1[[#This Row],[UnitPrice]]&lt;=816.08,"low",IF(Table1_1[[#This Row],[UnitPrice]]&lt;=1640.06,"medium","high"))</f>
        <v>medium</v>
      </c>
      <c r="O2" s="4">
        <v>0.14599999999999999</v>
      </c>
      <c r="P2" s="3">
        <v>8726.9149800000014</v>
      </c>
      <c r="Q2" s="3">
        <v>4351.2300000000005</v>
      </c>
      <c r="R2" s="4">
        <v>0.50140112399720005</v>
      </c>
      <c r="S2" t="s">
        <v>661</v>
      </c>
      <c r="T2" s="3">
        <v>4375.6849800000009</v>
      </c>
      <c r="U2" t="s">
        <v>1431</v>
      </c>
      <c r="V2" s="13" t="str">
        <f>TEXT(Table1_1[[#This Row],[OrderDate]],"MM YYYY")</f>
        <v>05 2025</v>
      </c>
      <c r="W2" s="11" t="str">
        <f>TEXT(Table1_1[[#This Row],[OrderDate]],"MM")</f>
        <v>05</v>
      </c>
      <c r="X2" s="11"/>
    </row>
    <row r="3" spans="1:24" x14ac:dyDescent="0.25">
      <c r="A3" t="s">
        <v>487</v>
      </c>
      <c r="B3" s="2">
        <v>44999</v>
      </c>
      <c r="C3" s="2">
        <v>45003</v>
      </c>
      <c r="D3" t="s">
        <v>1413</v>
      </c>
      <c r="E3" s="10">
        <v>4</v>
      </c>
      <c r="F3" t="s">
        <v>1410</v>
      </c>
      <c r="G3" t="s">
        <v>647</v>
      </c>
      <c r="H3" t="s">
        <v>652</v>
      </c>
      <c r="I3" t="s">
        <v>668</v>
      </c>
      <c r="J3" t="s">
        <v>1151</v>
      </c>
      <c r="K3">
        <v>31</v>
      </c>
      <c r="L3" s="3">
        <v>472.33</v>
      </c>
      <c r="M3" s="3">
        <v>360.34</v>
      </c>
      <c r="N3" s="3" t="str">
        <f>IF(Table1_1[[#This Row],[UnitPrice]]&lt;=816.08,"low",IF(Table1_1[[#This Row],[UnitPrice]]&lt;=1640.06,"medium","high"))</f>
        <v>low</v>
      </c>
      <c r="O3" s="4">
        <v>0.16500000000000001</v>
      </c>
      <c r="P3" s="3">
        <v>9327.4008999999987</v>
      </c>
      <c r="Q3" s="3">
        <v>14642.23</v>
      </c>
      <c r="R3" s="4">
        <v>-0.56980815523861605</v>
      </c>
      <c r="S3" t="s">
        <v>661</v>
      </c>
      <c r="T3" s="3">
        <v>-5314.8291000000008</v>
      </c>
      <c r="U3" t="s">
        <v>1432</v>
      </c>
      <c r="V3" s="13" t="str">
        <f>TEXT(Table1_1[[#This Row],[OrderDate]],"MM YYYY")</f>
        <v>03 2023</v>
      </c>
      <c r="W3" s="11" t="str">
        <f>TEXT(Table1_1[[#This Row],[OrderDate]],"MM")</f>
        <v>03</v>
      </c>
      <c r="X3" s="11"/>
    </row>
    <row r="4" spans="1:24" x14ac:dyDescent="0.25">
      <c r="A4" t="s">
        <v>302</v>
      </c>
      <c r="B4" s="2">
        <v>45220</v>
      </c>
      <c r="C4" s="2">
        <v>45239</v>
      </c>
      <c r="D4" t="s">
        <v>1413</v>
      </c>
      <c r="E4" s="10">
        <v>19</v>
      </c>
      <c r="F4" t="s">
        <v>1399</v>
      </c>
      <c r="G4" t="s">
        <v>644</v>
      </c>
      <c r="H4" t="s">
        <v>652</v>
      </c>
      <c r="I4" t="s">
        <v>674</v>
      </c>
      <c r="J4" t="s">
        <v>967</v>
      </c>
      <c r="K4">
        <v>12</v>
      </c>
      <c r="L4" s="3">
        <v>1142.48</v>
      </c>
      <c r="M4" s="3">
        <v>2105.5300000000002</v>
      </c>
      <c r="N4" s="3" t="str">
        <f>IF(Table1_1[[#This Row],[UnitPrice]]&lt;=816.08,"low",IF(Table1_1[[#This Row],[UnitPrice]]&lt;=1640.06,"medium","high"))</f>
        <v>high</v>
      </c>
      <c r="O4" s="4">
        <v>0.20699999999999999</v>
      </c>
      <c r="P4" s="3">
        <v>20036.223480000001</v>
      </c>
      <c r="Q4" s="3">
        <v>13709.76</v>
      </c>
      <c r="R4" s="4">
        <v>0.31575129346680703</v>
      </c>
      <c r="S4" t="s">
        <v>661</v>
      </c>
      <c r="T4" s="3">
        <v>6326.4634800000003</v>
      </c>
      <c r="U4" t="s">
        <v>1439</v>
      </c>
      <c r="V4" s="13" t="str">
        <f>TEXT(Table1_1[[#This Row],[OrderDate]],"MM YYYY")</f>
        <v>10 2023</v>
      </c>
      <c r="W4" s="11" t="str">
        <f>TEXT(Table1_1[[#This Row],[OrderDate]],"MM")</f>
        <v>10</v>
      </c>
      <c r="X4" s="11"/>
    </row>
    <row r="5" spans="1:24" x14ac:dyDescent="0.25">
      <c r="A5" t="s">
        <v>313</v>
      </c>
      <c r="B5" s="2">
        <v>45830</v>
      </c>
      <c r="C5" s="2">
        <v>45846</v>
      </c>
      <c r="D5" t="s">
        <v>1413</v>
      </c>
      <c r="E5" s="10">
        <v>16</v>
      </c>
      <c r="F5" t="s">
        <v>1399</v>
      </c>
      <c r="G5" t="s">
        <v>643</v>
      </c>
      <c r="H5" t="s">
        <v>652</v>
      </c>
      <c r="I5" t="s">
        <v>671</v>
      </c>
      <c r="J5" t="s">
        <v>978</v>
      </c>
      <c r="K5">
        <v>22</v>
      </c>
      <c r="L5" s="3">
        <v>892.73</v>
      </c>
      <c r="M5" s="3">
        <v>979.84</v>
      </c>
      <c r="N5" s="3" t="str">
        <f>IF(Table1_1[[#This Row],[UnitPrice]]&lt;=816.08,"low",IF(Table1_1[[#This Row],[UnitPrice]]&lt;=1640.06,"medium","high"))</f>
        <v>medium</v>
      </c>
      <c r="O5" s="4">
        <v>0.17399999999999999</v>
      </c>
      <c r="P5" s="3">
        <v>17805.652480000001</v>
      </c>
      <c r="Q5" s="3">
        <v>19640.060000000001</v>
      </c>
      <c r="R5" s="4">
        <v>-0.10302388649112799</v>
      </c>
      <c r="S5" t="s">
        <v>661</v>
      </c>
      <c r="T5" s="3">
        <v>-1834.4075200000007</v>
      </c>
      <c r="U5" t="s">
        <v>1431</v>
      </c>
      <c r="V5" s="13" t="str">
        <f>TEXT(Table1_1[[#This Row],[OrderDate]],"MM YYYY")</f>
        <v>06 2025</v>
      </c>
      <c r="W5" s="11" t="str">
        <f>TEXT(Table1_1[[#This Row],[OrderDate]],"MM")</f>
        <v>06</v>
      </c>
      <c r="X5" s="11"/>
    </row>
    <row r="6" spans="1:24" x14ac:dyDescent="0.25">
      <c r="A6" t="s">
        <v>279</v>
      </c>
      <c r="B6" s="2">
        <v>45301</v>
      </c>
      <c r="C6" s="2">
        <v>45314</v>
      </c>
      <c r="D6" t="s">
        <v>1413</v>
      </c>
      <c r="E6" s="10">
        <v>13</v>
      </c>
      <c r="F6" t="s">
        <v>1391</v>
      </c>
      <c r="G6" t="s">
        <v>642</v>
      </c>
      <c r="H6" t="s">
        <v>652</v>
      </c>
      <c r="I6" t="s">
        <v>669</v>
      </c>
      <c r="J6" t="s">
        <v>944</v>
      </c>
      <c r="K6">
        <v>15</v>
      </c>
      <c r="L6" s="3">
        <v>720</v>
      </c>
      <c r="M6" s="3">
        <v>907.59</v>
      </c>
      <c r="N6" s="3" t="str">
        <f>IF(Table1_1[[#This Row],[UnitPrice]]&lt;=816.08,"low",IF(Table1_1[[#This Row],[UnitPrice]]&lt;=1640.06,"medium","high"))</f>
        <v>medium</v>
      </c>
      <c r="O6" s="4">
        <v>0.154</v>
      </c>
      <c r="P6" s="3">
        <v>11517.3171</v>
      </c>
      <c r="Q6" s="3">
        <v>10800</v>
      </c>
      <c r="R6" s="4">
        <v>6.2281614179052203E-2</v>
      </c>
      <c r="S6" t="s">
        <v>661</v>
      </c>
      <c r="T6" s="3">
        <v>717.31710000000021</v>
      </c>
      <c r="U6" t="s">
        <v>1433</v>
      </c>
      <c r="V6" s="13" t="str">
        <f>TEXT(Table1_1[[#This Row],[OrderDate]],"MM YYYY")</f>
        <v>01 2024</v>
      </c>
      <c r="W6" s="11" t="str">
        <f>TEXT(Table1_1[[#This Row],[OrderDate]],"MM")</f>
        <v>01</v>
      </c>
      <c r="X6" s="11"/>
    </row>
    <row r="7" spans="1:24" x14ac:dyDescent="0.25">
      <c r="A7" t="s">
        <v>557</v>
      </c>
      <c r="B7" s="2">
        <v>45177</v>
      </c>
      <c r="C7" s="2">
        <v>45201</v>
      </c>
      <c r="D7" t="s">
        <v>1413</v>
      </c>
      <c r="E7" s="10">
        <v>24</v>
      </c>
      <c r="F7" t="s">
        <v>1414</v>
      </c>
      <c r="G7" t="s">
        <v>643</v>
      </c>
      <c r="H7" t="s">
        <v>652</v>
      </c>
      <c r="I7" t="s">
        <v>674</v>
      </c>
      <c r="J7" t="s">
        <v>1220</v>
      </c>
      <c r="K7">
        <v>7</v>
      </c>
      <c r="L7" s="3">
        <v>1299.03</v>
      </c>
      <c r="M7" s="3">
        <v>2451.2199999999998</v>
      </c>
      <c r="N7" s="3" t="str">
        <f>IF(Table1_1[[#This Row],[UnitPrice]]&lt;=816.08,"low",IF(Table1_1[[#This Row],[UnitPrice]]&lt;=1640.06,"medium","high"))</f>
        <v>high</v>
      </c>
      <c r="O7" s="4">
        <v>0.20799999999999999</v>
      </c>
      <c r="P7" s="3">
        <v>13589.563679999999</v>
      </c>
      <c r="Q7" s="3">
        <v>9093.2099999999991</v>
      </c>
      <c r="R7" s="4">
        <v>0.33086814160320399</v>
      </c>
      <c r="S7" t="s">
        <v>661</v>
      </c>
      <c r="T7" s="3">
        <v>4496.3536800000002</v>
      </c>
      <c r="U7" t="s">
        <v>1430</v>
      </c>
      <c r="V7" s="13" t="str">
        <f>TEXT(Table1_1[[#This Row],[OrderDate]],"MM YYYY")</f>
        <v>09 2023</v>
      </c>
      <c r="W7" s="11" t="str">
        <f>TEXT(Table1_1[[#This Row],[OrderDate]],"MM")</f>
        <v>09</v>
      </c>
      <c r="X7" s="11"/>
    </row>
    <row r="8" spans="1:24" x14ac:dyDescent="0.25">
      <c r="A8" t="s">
        <v>583</v>
      </c>
      <c r="B8" s="2">
        <v>45293</v>
      </c>
      <c r="C8" s="2">
        <v>45293</v>
      </c>
      <c r="D8" t="s">
        <v>1413</v>
      </c>
      <c r="E8" s="10">
        <v>0</v>
      </c>
      <c r="F8" t="s">
        <v>1415</v>
      </c>
      <c r="G8" t="s">
        <v>643</v>
      </c>
      <c r="H8" t="s">
        <v>652</v>
      </c>
      <c r="I8" t="s">
        <v>672</v>
      </c>
      <c r="J8" t="s">
        <v>1246</v>
      </c>
      <c r="K8">
        <v>4</v>
      </c>
      <c r="L8" s="3">
        <v>444.41</v>
      </c>
      <c r="M8" s="3">
        <v>754.24</v>
      </c>
      <c r="N8" s="3" t="str">
        <f>IF(Table1_1[[#This Row],[UnitPrice]]&lt;=816.08,"low",IF(Table1_1[[#This Row],[UnitPrice]]&lt;=1640.06,"medium","high"))</f>
        <v>low</v>
      </c>
      <c r="O8" s="4">
        <v>0.20699999999999999</v>
      </c>
      <c r="P8" s="3">
        <v>2392.4492800000003</v>
      </c>
      <c r="Q8" s="3">
        <v>1777.64</v>
      </c>
      <c r="R8" s="4">
        <v>0.25697902360546598</v>
      </c>
      <c r="S8" t="s">
        <v>661</v>
      </c>
      <c r="T8" s="3">
        <v>614.80928000000017</v>
      </c>
      <c r="U8" t="s">
        <v>1433</v>
      </c>
      <c r="V8" s="13" t="str">
        <f>TEXT(Table1_1[[#This Row],[OrderDate]],"MM YYYY")</f>
        <v>01 2024</v>
      </c>
      <c r="W8" s="11" t="str">
        <f>TEXT(Table1_1[[#This Row],[OrderDate]],"MM")</f>
        <v>01</v>
      </c>
      <c r="X8" s="11"/>
    </row>
    <row r="9" spans="1:24" x14ac:dyDescent="0.25">
      <c r="A9" t="s">
        <v>192</v>
      </c>
      <c r="B9" s="2">
        <v>45568</v>
      </c>
      <c r="C9" s="2">
        <v>45576</v>
      </c>
      <c r="D9" t="s">
        <v>1413</v>
      </c>
      <c r="E9" s="10">
        <v>8</v>
      </c>
      <c r="F9" t="s">
        <v>1411</v>
      </c>
      <c r="G9" t="s">
        <v>647</v>
      </c>
      <c r="H9" t="s">
        <v>652</v>
      </c>
      <c r="I9" t="s">
        <v>671</v>
      </c>
      <c r="J9" t="s">
        <v>856</v>
      </c>
      <c r="K9">
        <v>18</v>
      </c>
      <c r="L9" s="3">
        <v>1132.6099999999999</v>
      </c>
      <c r="M9" s="3">
        <v>2206.63</v>
      </c>
      <c r="N9" s="3" t="str">
        <f>IF(Table1_1[[#This Row],[UnitPrice]]&lt;=816.08,"low",IF(Table1_1[[#This Row],[UnitPrice]]&lt;=1640.06,"medium","high"))</f>
        <v>high</v>
      </c>
      <c r="O9" s="4">
        <v>6.3E-2</v>
      </c>
      <c r="P9" s="3">
        <v>37217.021580000008</v>
      </c>
      <c r="Q9" s="3">
        <v>20386.98</v>
      </c>
      <c r="R9" s="4">
        <v>0.452213553516713</v>
      </c>
      <c r="S9" t="s">
        <v>658</v>
      </c>
      <c r="T9" s="3">
        <v>16830.041580000008</v>
      </c>
      <c r="U9" t="s">
        <v>1440</v>
      </c>
      <c r="V9" s="13" t="str">
        <f>TEXT(Table1_1[[#This Row],[OrderDate]],"MM YYYY")</f>
        <v>10 2024</v>
      </c>
      <c r="W9" s="11" t="str">
        <f>TEXT(Table1_1[[#This Row],[OrderDate]],"MM")</f>
        <v>10</v>
      </c>
      <c r="X9" s="11"/>
    </row>
    <row r="10" spans="1:24" x14ac:dyDescent="0.25">
      <c r="A10" t="s">
        <v>155</v>
      </c>
      <c r="B10" s="2">
        <v>45112</v>
      </c>
      <c r="C10" s="2">
        <v>45121</v>
      </c>
      <c r="D10" t="s">
        <v>1413</v>
      </c>
      <c r="E10" s="10">
        <v>9</v>
      </c>
      <c r="F10" t="s">
        <v>1416</v>
      </c>
      <c r="G10" t="s">
        <v>647</v>
      </c>
      <c r="H10" t="s">
        <v>652</v>
      </c>
      <c r="I10" t="s">
        <v>670</v>
      </c>
      <c r="J10" t="s">
        <v>819</v>
      </c>
      <c r="K10">
        <v>6</v>
      </c>
      <c r="L10" s="3">
        <v>578.85</v>
      </c>
      <c r="M10" s="3">
        <v>998.76</v>
      </c>
      <c r="N10" s="3" t="str">
        <f>IF(Table1_1[[#This Row],[UnitPrice]]&lt;=816.08,"low",IF(Table1_1[[#This Row],[UnitPrice]]&lt;=1640.06,"medium","high"))</f>
        <v>medium</v>
      </c>
      <c r="O10" s="4">
        <v>8.2000000000000003E-2</v>
      </c>
      <c r="P10" s="3">
        <v>5501.1700799999999</v>
      </c>
      <c r="Q10" s="3">
        <v>3473.1000000000004</v>
      </c>
      <c r="R10" s="4">
        <v>0.36866158480960798</v>
      </c>
      <c r="S10" t="s">
        <v>658</v>
      </c>
      <c r="T10" s="3">
        <v>2028.0700799999995</v>
      </c>
      <c r="U10" t="s">
        <v>1430</v>
      </c>
      <c r="V10" s="13" t="str">
        <f>TEXT(Table1_1[[#This Row],[OrderDate]],"MM YYYY")</f>
        <v>07 2023</v>
      </c>
      <c r="W10" s="11" t="str">
        <f>TEXT(Table1_1[[#This Row],[OrderDate]],"MM")</f>
        <v>07</v>
      </c>
      <c r="X10" s="11"/>
    </row>
    <row r="11" spans="1:24" x14ac:dyDescent="0.25">
      <c r="A11" t="s">
        <v>86</v>
      </c>
      <c r="B11" s="2">
        <v>45187</v>
      </c>
      <c r="C11" s="2">
        <v>45207</v>
      </c>
      <c r="D11" t="s">
        <v>1413</v>
      </c>
      <c r="E11" s="10">
        <v>20</v>
      </c>
      <c r="F11" t="s">
        <v>1397</v>
      </c>
      <c r="G11" t="s">
        <v>646</v>
      </c>
      <c r="H11" t="s">
        <v>652</v>
      </c>
      <c r="I11" t="s">
        <v>668</v>
      </c>
      <c r="J11" t="s">
        <v>750</v>
      </c>
      <c r="K11">
        <v>31</v>
      </c>
      <c r="L11" s="3">
        <v>825.64</v>
      </c>
      <c r="M11" s="3">
        <v>1108.43</v>
      </c>
      <c r="N11" s="3" t="str">
        <f>IF(Table1_1[[#This Row],[UnitPrice]]&lt;=816.08,"low",IF(Table1_1[[#This Row],[UnitPrice]]&lt;=1640.06,"medium","high"))</f>
        <v>medium</v>
      </c>
      <c r="O11" s="4">
        <v>0.114</v>
      </c>
      <c r="P11" s="3">
        <v>30444.13838</v>
      </c>
      <c r="Q11" s="3">
        <v>25594.84</v>
      </c>
      <c r="R11" s="4">
        <v>0.15928512475773299</v>
      </c>
      <c r="S11" t="s">
        <v>658</v>
      </c>
      <c r="T11" s="3">
        <v>4849.2983800000002</v>
      </c>
      <c r="U11" t="s">
        <v>1430</v>
      </c>
      <c r="V11" s="13" t="str">
        <f>TEXT(Table1_1[[#This Row],[OrderDate]],"MM YYYY")</f>
        <v>09 2023</v>
      </c>
      <c r="W11" s="11" t="str">
        <f>TEXT(Table1_1[[#This Row],[OrderDate]],"MM")</f>
        <v>09</v>
      </c>
      <c r="X11" s="11"/>
    </row>
    <row r="12" spans="1:24" x14ac:dyDescent="0.25">
      <c r="A12" t="s">
        <v>168</v>
      </c>
      <c r="B12" s="2">
        <v>45531</v>
      </c>
      <c r="C12" s="2">
        <v>45553</v>
      </c>
      <c r="D12" t="s">
        <v>1413</v>
      </c>
      <c r="E12" s="10">
        <v>22</v>
      </c>
      <c r="F12" t="s">
        <v>1397</v>
      </c>
      <c r="G12" t="s">
        <v>645</v>
      </c>
      <c r="H12" t="s">
        <v>652</v>
      </c>
      <c r="I12" t="s">
        <v>668</v>
      </c>
      <c r="J12" t="s">
        <v>832</v>
      </c>
      <c r="K12">
        <v>23</v>
      </c>
      <c r="L12" s="3">
        <v>896.75</v>
      </c>
      <c r="M12" s="3">
        <v>1651.14</v>
      </c>
      <c r="N12" s="3" t="str">
        <f>IF(Table1_1[[#This Row],[UnitPrice]]&lt;=816.08,"low",IF(Table1_1[[#This Row],[UnitPrice]]&lt;=1640.06,"medium","high"))</f>
        <v>high</v>
      </c>
      <c r="O12" s="4">
        <v>2.5000000000000001E-2</v>
      </c>
      <c r="P12" s="3">
        <v>37026.8145</v>
      </c>
      <c r="Q12" s="3">
        <v>20625.25</v>
      </c>
      <c r="R12" s="4">
        <v>0.44296450346815602</v>
      </c>
      <c r="S12" t="s">
        <v>658</v>
      </c>
      <c r="T12" s="3">
        <v>16401.5645</v>
      </c>
      <c r="U12" t="s">
        <v>1437</v>
      </c>
      <c r="V12" s="13" t="str">
        <f>TEXT(Table1_1[[#This Row],[OrderDate]],"MM YYYY")</f>
        <v>08 2024</v>
      </c>
      <c r="W12" s="11" t="str">
        <f>TEXT(Table1_1[[#This Row],[OrderDate]],"MM")</f>
        <v>08</v>
      </c>
      <c r="X12" s="11"/>
    </row>
    <row r="13" spans="1:24" x14ac:dyDescent="0.25">
      <c r="A13" t="s">
        <v>294</v>
      </c>
      <c r="B13" s="2">
        <v>45304</v>
      </c>
      <c r="C13" s="2">
        <v>45327</v>
      </c>
      <c r="D13" t="s">
        <v>1413</v>
      </c>
      <c r="E13" s="10">
        <v>23</v>
      </c>
      <c r="F13" t="s">
        <v>1410</v>
      </c>
      <c r="G13" t="s">
        <v>643</v>
      </c>
      <c r="H13" t="s">
        <v>652</v>
      </c>
      <c r="I13" t="s">
        <v>672</v>
      </c>
      <c r="J13" t="s">
        <v>959</v>
      </c>
      <c r="K13">
        <v>20</v>
      </c>
      <c r="L13" s="3">
        <v>1017.93</v>
      </c>
      <c r="M13" s="3">
        <v>1529.14</v>
      </c>
      <c r="N13" s="3" t="str">
        <f>IF(Table1_1[[#This Row],[UnitPrice]]&lt;=816.08,"low",IF(Table1_1[[#This Row],[UnitPrice]]&lt;=1640.06,"medium","high"))</f>
        <v>medium</v>
      </c>
      <c r="O13" s="4">
        <v>0.155</v>
      </c>
      <c r="P13" s="3">
        <v>25842.466</v>
      </c>
      <c r="Q13" s="3">
        <v>20358.599999999999</v>
      </c>
      <c r="R13" s="4">
        <v>0.21220366508366501</v>
      </c>
      <c r="S13" t="s">
        <v>658</v>
      </c>
      <c r="T13" s="3">
        <v>5483.8660000000018</v>
      </c>
      <c r="U13" t="s">
        <v>1433</v>
      </c>
      <c r="V13" s="13" t="str">
        <f>TEXT(Table1_1[[#This Row],[OrderDate]],"MM YYYY")</f>
        <v>01 2024</v>
      </c>
      <c r="W13" s="11" t="str">
        <f>TEXT(Table1_1[[#This Row],[OrderDate]],"MM")</f>
        <v>01</v>
      </c>
      <c r="X13" s="11"/>
    </row>
    <row r="14" spans="1:24" x14ac:dyDescent="0.25">
      <c r="A14" t="s">
        <v>336</v>
      </c>
      <c r="B14" s="2">
        <v>45303</v>
      </c>
      <c r="C14" s="2">
        <v>45320</v>
      </c>
      <c r="D14" t="s">
        <v>1413</v>
      </c>
      <c r="E14" s="10">
        <v>17</v>
      </c>
      <c r="F14" t="s">
        <v>1409</v>
      </c>
      <c r="G14" t="s">
        <v>646</v>
      </c>
      <c r="H14" t="s">
        <v>652</v>
      </c>
      <c r="I14" t="s">
        <v>668</v>
      </c>
      <c r="J14" t="s">
        <v>1001</v>
      </c>
      <c r="K14">
        <v>10</v>
      </c>
      <c r="L14" s="3">
        <v>310.02</v>
      </c>
      <c r="M14" s="3">
        <v>619.51</v>
      </c>
      <c r="N14" s="3" t="str">
        <f>IF(Table1_1[[#This Row],[UnitPrice]]&lt;=816.08,"low",IF(Table1_1[[#This Row],[UnitPrice]]&lt;=1640.06,"medium","high"))</f>
        <v>low</v>
      </c>
      <c r="O14" s="4">
        <v>4.2000000000000003E-2</v>
      </c>
      <c r="P14" s="3">
        <v>5934.9058000000005</v>
      </c>
      <c r="Q14" s="3">
        <v>3100.2</v>
      </c>
      <c r="R14" s="4">
        <v>0.47763282106347799</v>
      </c>
      <c r="S14" t="s">
        <v>658</v>
      </c>
      <c r="T14" s="3">
        <v>2834.7058000000006</v>
      </c>
      <c r="U14" t="s">
        <v>1433</v>
      </c>
      <c r="V14" s="13" t="str">
        <f>TEXT(Table1_1[[#This Row],[OrderDate]],"MM YYYY")</f>
        <v>01 2024</v>
      </c>
      <c r="W14" s="11" t="str">
        <f>TEXT(Table1_1[[#This Row],[OrderDate]],"MM")</f>
        <v>01</v>
      </c>
      <c r="X14" s="11"/>
    </row>
    <row r="15" spans="1:24" x14ac:dyDescent="0.25">
      <c r="A15" t="s">
        <v>159</v>
      </c>
      <c r="B15" s="2">
        <v>45183</v>
      </c>
      <c r="C15" s="2">
        <v>45185</v>
      </c>
      <c r="D15" t="s">
        <v>1413</v>
      </c>
      <c r="E15" s="10">
        <v>2</v>
      </c>
      <c r="F15" t="s">
        <v>1396</v>
      </c>
      <c r="G15" t="s">
        <v>644</v>
      </c>
      <c r="H15" t="s">
        <v>652</v>
      </c>
      <c r="I15" t="s">
        <v>669</v>
      </c>
      <c r="J15" t="s">
        <v>823</v>
      </c>
      <c r="K15">
        <v>15</v>
      </c>
      <c r="L15" s="3">
        <v>376.83</v>
      </c>
      <c r="M15" s="3">
        <v>732.88</v>
      </c>
      <c r="N15" s="3" t="str">
        <f>IF(Table1_1[[#This Row],[UnitPrice]]&lt;=816.08,"low",IF(Table1_1[[#This Row],[UnitPrice]]&lt;=1640.06,"medium","high"))</f>
        <v>low</v>
      </c>
      <c r="O15" s="4">
        <v>0.188</v>
      </c>
      <c r="P15" s="3">
        <v>8926.4784000000018</v>
      </c>
      <c r="Q15" s="3">
        <v>5652.45</v>
      </c>
      <c r="R15" s="4">
        <v>0.36677716040852099</v>
      </c>
      <c r="S15" t="s">
        <v>658</v>
      </c>
      <c r="T15" s="3">
        <v>3274.028400000002</v>
      </c>
      <c r="U15" t="s">
        <v>1430</v>
      </c>
      <c r="V15" s="13" t="str">
        <f>TEXT(Table1_1[[#This Row],[OrderDate]],"MM YYYY")</f>
        <v>09 2023</v>
      </c>
      <c r="W15" s="11" t="str">
        <f>TEXT(Table1_1[[#This Row],[OrderDate]],"MM")</f>
        <v>09</v>
      </c>
      <c r="X15" s="11"/>
    </row>
    <row r="16" spans="1:24" x14ac:dyDescent="0.25">
      <c r="A16" t="s">
        <v>481</v>
      </c>
      <c r="B16" s="2">
        <v>45167</v>
      </c>
      <c r="C16" s="2">
        <v>45188</v>
      </c>
      <c r="D16" t="s">
        <v>1413</v>
      </c>
      <c r="E16" s="10">
        <v>21</v>
      </c>
      <c r="F16" t="s">
        <v>1396</v>
      </c>
      <c r="G16" t="s">
        <v>646</v>
      </c>
      <c r="H16" t="s">
        <v>652</v>
      </c>
      <c r="I16" t="s">
        <v>669</v>
      </c>
      <c r="J16" t="s">
        <v>1145</v>
      </c>
      <c r="K16">
        <v>12</v>
      </c>
      <c r="L16" s="3">
        <v>784.46</v>
      </c>
      <c r="M16" s="3">
        <v>1843.51</v>
      </c>
      <c r="N16" s="3" t="str">
        <f>IF(Table1_1[[#This Row],[UnitPrice]]&lt;=816.08,"low",IF(Table1_1[[#This Row],[UnitPrice]]&lt;=1640.06,"medium","high"))</f>
        <v>high</v>
      </c>
      <c r="O16" s="4">
        <v>0.13800000000000001</v>
      </c>
      <c r="P16" s="3">
        <v>19069.26744</v>
      </c>
      <c r="Q16" s="3">
        <v>9413.52</v>
      </c>
      <c r="R16" s="4">
        <v>0.50635125184441798</v>
      </c>
      <c r="S16" t="s">
        <v>658</v>
      </c>
      <c r="T16" s="3">
        <v>9655.7474399999992</v>
      </c>
      <c r="U16" t="s">
        <v>1430</v>
      </c>
      <c r="V16" s="13" t="str">
        <f>TEXT(Table1_1[[#This Row],[OrderDate]],"MM YYYY")</f>
        <v>08 2023</v>
      </c>
      <c r="W16" s="11" t="str">
        <f>TEXT(Table1_1[[#This Row],[OrderDate]],"MM")</f>
        <v>08</v>
      </c>
      <c r="X16" s="11"/>
    </row>
    <row r="17" spans="1:24" x14ac:dyDescent="0.25">
      <c r="A17" t="s">
        <v>320</v>
      </c>
      <c r="B17" s="2">
        <v>45655</v>
      </c>
      <c r="C17" s="2">
        <v>45669</v>
      </c>
      <c r="D17" t="s">
        <v>1413</v>
      </c>
      <c r="E17" s="10">
        <v>14</v>
      </c>
      <c r="F17" t="s">
        <v>1406</v>
      </c>
      <c r="G17" t="s">
        <v>642</v>
      </c>
      <c r="H17" t="s">
        <v>652</v>
      </c>
      <c r="I17" t="s">
        <v>673</v>
      </c>
      <c r="J17" t="s">
        <v>985</v>
      </c>
      <c r="K17">
        <v>9</v>
      </c>
      <c r="L17" s="3">
        <v>1399.72</v>
      </c>
      <c r="M17" s="3">
        <v>3149.21</v>
      </c>
      <c r="N17" s="3" t="str">
        <f>IF(Table1_1[[#This Row],[UnitPrice]]&lt;=816.08,"low",IF(Table1_1[[#This Row],[UnitPrice]]&lt;=1640.06,"medium","high"))</f>
        <v>high</v>
      </c>
      <c r="O17" s="4">
        <v>0.185</v>
      </c>
      <c r="P17" s="3">
        <v>23099.455349999997</v>
      </c>
      <c r="Q17" s="3">
        <v>12597.48</v>
      </c>
      <c r="R17" s="4">
        <v>0.45464168703873797</v>
      </c>
      <c r="S17" t="s">
        <v>658</v>
      </c>
      <c r="T17" s="3">
        <v>10501.975349999997</v>
      </c>
      <c r="U17" t="s">
        <v>1440</v>
      </c>
      <c r="V17" s="13" t="str">
        <f>TEXT(Table1_1[[#This Row],[OrderDate]],"MM YYYY")</f>
        <v>12 2024</v>
      </c>
      <c r="W17" s="11" t="str">
        <f>TEXT(Table1_1[[#This Row],[OrderDate]],"MM")</f>
        <v>12</v>
      </c>
      <c r="X17" s="11"/>
    </row>
    <row r="18" spans="1:24" x14ac:dyDescent="0.25">
      <c r="A18" t="s">
        <v>489</v>
      </c>
      <c r="B18" s="2">
        <v>45032</v>
      </c>
      <c r="C18" s="2">
        <v>45035</v>
      </c>
      <c r="D18" t="s">
        <v>1413</v>
      </c>
      <c r="E18" s="10">
        <v>3</v>
      </c>
      <c r="F18" t="s">
        <v>1400</v>
      </c>
      <c r="G18" t="s">
        <v>642</v>
      </c>
      <c r="H18" t="s">
        <v>652</v>
      </c>
      <c r="I18" t="s">
        <v>674</v>
      </c>
      <c r="J18" t="s">
        <v>1153</v>
      </c>
      <c r="K18">
        <v>28</v>
      </c>
      <c r="L18" s="3">
        <v>553.61</v>
      </c>
      <c r="M18" s="3">
        <v>699.47</v>
      </c>
      <c r="N18" s="3" t="str">
        <f>IF(Table1_1[[#This Row],[UnitPrice]]&lt;=816.08,"low",IF(Table1_1[[#This Row],[UnitPrice]]&lt;=1640.06,"medium","high"))</f>
        <v>low</v>
      </c>
      <c r="O18" s="4">
        <v>0.02</v>
      </c>
      <c r="P18" s="3">
        <v>19193.4568</v>
      </c>
      <c r="Q18" s="3">
        <v>15501.08</v>
      </c>
      <c r="R18" s="4">
        <v>0.19237685209472</v>
      </c>
      <c r="S18" t="s">
        <v>658</v>
      </c>
      <c r="T18" s="3">
        <v>3692.3768</v>
      </c>
      <c r="U18" t="s">
        <v>1435</v>
      </c>
      <c r="V18" s="13" t="str">
        <f>TEXT(Table1_1[[#This Row],[OrderDate]],"MM YYYY")</f>
        <v>04 2023</v>
      </c>
      <c r="W18" s="11" t="str">
        <f>TEXT(Table1_1[[#This Row],[OrderDate]],"MM")</f>
        <v>04</v>
      </c>
      <c r="X18" s="11"/>
    </row>
    <row r="19" spans="1:24" x14ac:dyDescent="0.25">
      <c r="A19" t="s">
        <v>456</v>
      </c>
      <c r="B19" s="2">
        <v>45284</v>
      </c>
      <c r="C19" s="2">
        <v>45304</v>
      </c>
      <c r="D19" t="s">
        <v>1413</v>
      </c>
      <c r="E19" s="10">
        <v>20</v>
      </c>
      <c r="F19" t="s">
        <v>1407</v>
      </c>
      <c r="G19" t="s">
        <v>643</v>
      </c>
      <c r="H19" t="s">
        <v>652</v>
      </c>
      <c r="I19" t="s">
        <v>672</v>
      </c>
      <c r="J19" t="s">
        <v>1120</v>
      </c>
      <c r="K19">
        <v>16</v>
      </c>
      <c r="L19" s="3">
        <v>625.37</v>
      </c>
      <c r="M19" s="3">
        <v>1319.04</v>
      </c>
      <c r="N19" s="3" t="str">
        <f>IF(Table1_1[[#This Row],[UnitPrice]]&lt;=816.08,"low",IF(Table1_1[[#This Row],[UnitPrice]]&lt;=1640.06,"medium","high"))</f>
        <v>medium</v>
      </c>
      <c r="O19" s="4">
        <v>7.3999999999999996E-2</v>
      </c>
      <c r="P19" s="3">
        <v>19542.896639999999</v>
      </c>
      <c r="Q19" s="3">
        <v>10005.92</v>
      </c>
      <c r="R19" s="4">
        <v>0.48800220436513603</v>
      </c>
      <c r="S19" t="s">
        <v>658</v>
      </c>
      <c r="T19" s="3">
        <v>9536.976639999999</v>
      </c>
      <c r="U19" t="s">
        <v>1439</v>
      </c>
      <c r="V19" s="13" t="str">
        <f>TEXT(Table1_1[[#This Row],[OrderDate]],"MM YYYY")</f>
        <v>12 2023</v>
      </c>
      <c r="W19" s="11" t="str">
        <f>TEXT(Table1_1[[#This Row],[OrderDate]],"MM")</f>
        <v>12</v>
      </c>
      <c r="X19" s="11"/>
    </row>
    <row r="20" spans="1:24" x14ac:dyDescent="0.25">
      <c r="A20" t="s">
        <v>463</v>
      </c>
      <c r="B20" s="2">
        <v>45817</v>
      </c>
      <c r="C20" s="2">
        <v>45832</v>
      </c>
      <c r="D20" t="s">
        <v>1413</v>
      </c>
      <c r="E20" s="10">
        <v>15</v>
      </c>
      <c r="F20" t="s">
        <v>1407</v>
      </c>
      <c r="G20" t="s">
        <v>642</v>
      </c>
      <c r="H20" t="s">
        <v>652</v>
      </c>
      <c r="I20" t="s">
        <v>671</v>
      </c>
      <c r="J20" t="s">
        <v>1127</v>
      </c>
      <c r="K20">
        <v>18</v>
      </c>
      <c r="L20" s="3">
        <v>400.39</v>
      </c>
      <c r="M20" s="3">
        <v>712.75</v>
      </c>
      <c r="N20" s="3" t="str">
        <f>IF(Table1_1[[#This Row],[UnitPrice]]&lt;=816.08,"low",IF(Table1_1[[#This Row],[UnitPrice]]&lt;=1640.06,"medium","high"))</f>
        <v>low</v>
      </c>
      <c r="O20" s="4">
        <v>0.115</v>
      </c>
      <c r="P20" s="3">
        <v>11354.1075</v>
      </c>
      <c r="Q20" s="3">
        <v>7207.0199999999995</v>
      </c>
      <c r="R20" s="4">
        <v>0.36524997671547499</v>
      </c>
      <c r="S20" t="s">
        <v>658</v>
      </c>
      <c r="T20" s="3">
        <v>4147.0875000000005</v>
      </c>
      <c r="U20" t="s">
        <v>1431</v>
      </c>
      <c r="V20" s="13" t="str">
        <f>TEXT(Table1_1[[#This Row],[OrderDate]],"MM YYYY")</f>
        <v>06 2025</v>
      </c>
      <c r="W20" s="11" t="str">
        <f>TEXT(Table1_1[[#This Row],[OrderDate]],"MM")</f>
        <v>06</v>
      </c>
      <c r="X20" s="11"/>
    </row>
    <row r="21" spans="1:24" x14ac:dyDescent="0.25">
      <c r="A21" t="s">
        <v>230</v>
      </c>
      <c r="B21" s="2">
        <v>45894</v>
      </c>
      <c r="C21" s="2">
        <v>45924</v>
      </c>
      <c r="D21" t="s">
        <v>1413</v>
      </c>
      <c r="E21" s="10">
        <v>30</v>
      </c>
      <c r="F21" t="s">
        <v>1385</v>
      </c>
      <c r="G21" t="s">
        <v>645</v>
      </c>
      <c r="H21" t="s">
        <v>652</v>
      </c>
      <c r="I21" t="s">
        <v>668</v>
      </c>
      <c r="J21" t="s">
        <v>895</v>
      </c>
      <c r="K21">
        <v>19</v>
      </c>
      <c r="L21" s="3">
        <v>589.14</v>
      </c>
      <c r="M21" s="3">
        <v>1300.58</v>
      </c>
      <c r="N21" s="3" t="str">
        <f>IF(Table1_1[[#This Row],[UnitPrice]]&lt;=816.08,"low",IF(Table1_1[[#This Row],[UnitPrice]]&lt;=1640.06,"medium","high"))</f>
        <v>medium</v>
      </c>
      <c r="O21" s="4">
        <v>5.5E-2</v>
      </c>
      <c r="P21" s="3">
        <v>23351.913899999996</v>
      </c>
      <c r="Q21" s="3">
        <v>11193.66</v>
      </c>
      <c r="R21" s="4">
        <v>0.52065342275863702</v>
      </c>
      <c r="S21" t="s">
        <v>658</v>
      </c>
      <c r="T21" s="3">
        <v>12158.253899999996</v>
      </c>
      <c r="U21" t="s">
        <v>1438</v>
      </c>
      <c r="V21" s="13" t="str">
        <f>TEXT(Table1_1[[#This Row],[OrderDate]],"MM YYYY")</f>
        <v>08 2025</v>
      </c>
      <c r="W21" s="11" t="str">
        <f>TEXT(Table1_1[[#This Row],[OrderDate]],"MM")</f>
        <v>08</v>
      </c>
      <c r="X21" s="11"/>
    </row>
    <row r="22" spans="1:24" x14ac:dyDescent="0.25">
      <c r="A22" t="s">
        <v>206</v>
      </c>
      <c r="B22" s="2">
        <v>45588</v>
      </c>
      <c r="C22" s="2">
        <v>45610</v>
      </c>
      <c r="D22" t="s">
        <v>1413</v>
      </c>
      <c r="E22" s="10">
        <v>22</v>
      </c>
      <c r="F22" t="s">
        <v>1387</v>
      </c>
      <c r="G22" t="s">
        <v>644</v>
      </c>
      <c r="H22" t="s">
        <v>652</v>
      </c>
      <c r="I22" t="s">
        <v>671</v>
      </c>
      <c r="J22" t="s">
        <v>871</v>
      </c>
      <c r="K22">
        <v>7</v>
      </c>
      <c r="L22" s="3">
        <v>1406.4</v>
      </c>
      <c r="M22" s="3">
        <v>1564.76</v>
      </c>
      <c r="N22" s="3" t="str">
        <f>IF(Table1_1[[#This Row],[UnitPrice]]&lt;=816.08,"low",IF(Table1_1[[#This Row],[UnitPrice]]&lt;=1640.06,"medium","high"))</f>
        <v>medium</v>
      </c>
      <c r="O22" s="4">
        <v>0.185</v>
      </c>
      <c r="P22" s="3">
        <v>8926.9557999999997</v>
      </c>
      <c r="Q22" s="3">
        <v>9844.8000000000011</v>
      </c>
      <c r="R22" s="4">
        <v>-0.102817155205361</v>
      </c>
      <c r="S22" t="s">
        <v>658</v>
      </c>
      <c r="T22" s="3">
        <v>-917.84420000000136</v>
      </c>
      <c r="U22" t="s">
        <v>1440</v>
      </c>
      <c r="V22" s="13" t="str">
        <f>TEXT(Table1_1[[#This Row],[OrderDate]],"MM YYYY")</f>
        <v>10 2024</v>
      </c>
      <c r="W22" s="11" t="str">
        <f>TEXT(Table1_1[[#This Row],[OrderDate]],"MM")</f>
        <v>10</v>
      </c>
      <c r="X22" s="11"/>
    </row>
    <row r="23" spans="1:24" x14ac:dyDescent="0.25">
      <c r="A23" t="s">
        <v>141</v>
      </c>
      <c r="B23" s="2">
        <v>45700</v>
      </c>
      <c r="C23" s="2">
        <v>45716</v>
      </c>
      <c r="D23" t="s">
        <v>1413</v>
      </c>
      <c r="E23" s="10">
        <v>16</v>
      </c>
      <c r="F23" t="s">
        <v>1417</v>
      </c>
      <c r="G23" t="s">
        <v>644</v>
      </c>
      <c r="H23" t="s">
        <v>652</v>
      </c>
      <c r="I23" t="s">
        <v>673</v>
      </c>
      <c r="J23" t="s">
        <v>805</v>
      </c>
      <c r="K23">
        <v>8</v>
      </c>
      <c r="L23" s="3">
        <v>414.95</v>
      </c>
      <c r="M23" s="3">
        <v>1027.73</v>
      </c>
      <c r="N23" s="3" t="str">
        <f>IF(Table1_1[[#This Row],[UnitPrice]]&lt;=816.08,"low",IF(Table1_1[[#This Row],[UnitPrice]]&lt;=1640.06,"medium","high"))</f>
        <v>medium</v>
      </c>
      <c r="O23" s="4">
        <v>6.3E-2</v>
      </c>
      <c r="P23" s="3">
        <v>7703.8640800000003</v>
      </c>
      <c r="Q23" s="3">
        <v>3319.6</v>
      </c>
      <c r="R23" s="4">
        <v>0.56909935513815602</v>
      </c>
      <c r="S23" t="s">
        <v>658</v>
      </c>
      <c r="T23" s="3">
        <v>4384.2640800000008</v>
      </c>
      <c r="U23" t="s">
        <v>1434</v>
      </c>
      <c r="V23" s="13" t="str">
        <f>TEXT(Table1_1[[#This Row],[OrderDate]],"MM YYYY")</f>
        <v>02 2025</v>
      </c>
      <c r="W23" s="11" t="str">
        <f>TEXT(Table1_1[[#This Row],[OrderDate]],"MM")</f>
        <v>02</v>
      </c>
      <c r="X23" s="11"/>
    </row>
    <row r="24" spans="1:24" x14ac:dyDescent="0.25">
      <c r="A24" t="s">
        <v>415</v>
      </c>
      <c r="B24" s="2">
        <v>44991</v>
      </c>
      <c r="C24" s="2">
        <v>45020</v>
      </c>
      <c r="D24" t="s">
        <v>1413</v>
      </c>
      <c r="E24" s="10">
        <v>29</v>
      </c>
      <c r="F24" t="s">
        <v>1411</v>
      </c>
      <c r="G24" t="s">
        <v>646</v>
      </c>
      <c r="H24" t="s">
        <v>652</v>
      </c>
      <c r="I24" t="s">
        <v>673</v>
      </c>
      <c r="J24" t="s">
        <v>1079</v>
      </c>
      <c r="K24">
        <v>10</v>
      </c>
      <c r="L24" s="3">
        <v>1126.29</v>
      </c>
      <c r="M24" s="3">
        <v>2050.87</v>
      </c>
      <c r="N24" s="3" t="str">
        <f>IF(Table1_1[[#This Row],[UnitPrice]]&lt;=816.08,"low",IF(Table1_1[[#This Row],[UnitPrice]]&lt;=1640.06,"medium","high"))</f>
        <v>high</v>
      </c>
      <c r="O24" s="4">
        <v>6.4000000000000001E-2</v>
      </c>
      <c r="P24" s="3">
        <v>19196.143199999995</v>
      </c>
      <c r="Q24" s="3">
        <v>11262.9</v>
      </c>
      <c r="R24" s="4">
        <v>0.413272766166904</v>
      </c>
      <c r="S24" t="s">
        <v>653</v>
      </c>
      <c r="T24" s="3">
        <v>7933.2431999999953</v>
      </c>
      <c r="U24" t="s">
        <v>1432</v>
      </c>
      <c r="V24" s="13" t="str">
        <f>TEXT(Table1_1[[#This Row],[OrderDate]],"MM YYYY")</f>
        <v>03 2023</v>
      </c>
      <c r="W24" s="11" t="str">
        <f>TEXT(Table1_1[[#This Row],[OrderDate]],"MM")</f>
        <v>03</v>
      </c>
      <c r="X24" s="11"/>
    </row>
    <row r="25" spans="1:24" x14ac:dyDescent="0.25">
      <c r="A25" t="s">
        <v>506</v>
      </c>
      <c r="B25" s="2">
        <v>45097</v>
      </c>
      <c r="C25" s="2">
        <v>45111</v>
      </c>
      <c r="D25" t="s">
        <v>1413</v>
      </c>
      <c r="E25" s="10">
        <v>14</v>
      </c>
      <c r="F25" t="s">
        <v>1416</v>
      </c>
      <c r="G25" t="s">
        <v>644</v>
      </c>
      <c r="H25" t="s">
        <v>652</v>
      </c>
      <c r="I25" t="s">
        <v>670</v>
      </c>
      <c r="J25" t="s">
        <v>1170</v>
      </c>
      <c r="K25">
        <v>8</v>
      </c>
      <c r="L25" s="3">
        <v>1292.8599999999999</v>
      </c>
      <c r="M25" s="3">
        <v>2981.01</v>
      </c>
      <c r="N25" s="3" t="str">
        <f>IF(Table1_1[[#This Row],[UnitPrice]]&lt;=816.08,"low",IF(Table1_1[[#This Row],[UnitPrice]]&lt;=1640.06,"medium","high"))</f>
        <v>high</v>
      </c>
      <c r="O25" s="4">
        <v>0.14199999999999999</v>
      </c>
      <c r="P25" s="3">
        <v>20461.65264</v>
      </c>
      <c r="Q25" s="3">
        <v>10342.879999999999</v>
      </c>
      <c r="R25" s="4">
        <v>0.49452372288927698</v>
      </c>
      <c r="S25" t="s">
        <v>653</v>
      </c>
      <c r="T25" s="3">
        <v>10118.772640000001</v>
      </c>
      <c r="U25" t="s">
        <v>1435</v>
      </c>
      <c r="V25" s="13" t="str">
        <f>TEXT(Table1_1[[#This Row],[OrderDate]],"MM YYYY")</f>
        <v>06 2023</v>
      </c>
      <c r="W25" s="11" t="str">
        <f>TEXT(Table1_1[[#This Row],[OrderDate]],"MM")</f>
        <v>06</v>
      </c>
      <c r="X25" s="11"/>
    </row>
    <row r="26" spans="1:24" x14ac:dyDescent="0.25">
      <c r="A26" t="s">
        <v>635</v>
      </c>
      <c r="B26" s="2">
        <v>45249</v>
      </c>
      <c r="C26" s="2">
        <v>45272</v>
      </c>
      <c r="D26" t="s">
        <v>1413</v>
      </c>
      <c r="E26" s="10">
        <v>23</v>
      </c>
      <c r="F26" t="s">
        <v>1397</v>
      </c>
      <c r="G26" t="s">
        <v>646</v>
      </c>
      <c r="H26" t="s">
        <v>652</v>
      </c>
      <c r="I26" t="s">
        <v>670</v>
      </c>
      <c r="J26" t="s">
        <v>1298</v>
      </c>
      <c r="K26">
        <v>12</v>
      </c>
      <c r="L26" s="3">
        <v>1349.04</v>
      </c>
      <c r="M26" s="3">
        <v>2636.6</v>
      </c>
      <c r="N26" s="3" t="str">
        <f>IF(Table1_1[[#This Row],[UnitPrice]]&lt;=816.08,"low",IF(Table1_1[[#This Row],[UnitPrice]]&lt;=1640.06,"medium","high"))</f>
        <v>high</v>
      </c>
      <c r="O26" s="4">
        <v>0.114</v>
      </c>
      <c r="P26" s="3">
        <v>28032.331199999997</v>
      </c>
      <c r="Q26" s="3">
        <v>16188.48</v>
      </c>
      <c r="R26" s="4">
        <v>0.422506823121439</v>
      </c>
      <c r="S26" t="s">
        <v>653</v>
      </c>
      <c r="T26" s="3">
        <v>11843.851199999997</v>
      </c>
      <c r="U26" t="s">
        <v>1439</v>
      </c>
      <c r="V26" s="13" t="str">
        <f>TEXT(Table1_1[[#This Row],[OrderDate]],"MM YYYY")</f>
        <v>11 2023</v>
      </c>
      <c r="W26" s="11" t="str">
        <f>TEXT(Table1_1[[#This Row],[OrderDate]],"MM")</f>
        <v>11</v>
      </c>
      <c r="X26" s="11"/>
    </row>
    <row r="27" spans="1:24" x14ac:dyDescent="0.25">
      <c r="A27" t="s">
        <v>99</v>
      </c>
      <c r="B27" s="2">
        <v>45312</v>
      </c>
      <c r="C27" s="2">
        <v>45316</v>
      </c>
      <c r="D27" t="s">
        <v>1413</v>
      </c>
      <c r="E27" s="10">
        <v>4</v>
      </c>
      <c r="F27" t="s">
        <v>1397</v>
      </c>
      <c r="G27" t="s">
        <v>645</v>
      </c>
      <c r="H27" t="s">
        <v>652</v>
      </c>
      <c r="I27" t="s">
        <v>673</v>
      </c>
      <c r="J27" t="s">
        <v>763</v>
      </c>
      <c r="K27">
        <v>4</v>
      </c>
      <c r="L27" s="3">
        <v>523.70000000000005</v>
      </c>
      <c r="M27" s="3">
        <v>1109.92</v>
      </c>
      <c r="N27" s="3" t="str">
        <f>IF(Table1_1[[#This Row],[UnitPrice]]&lt;=816.08,"low",IF(Table1_1[[#This Row],[UnitPrice]]&lt;=1640.06,"medium","high"))</f>
        <v>medium</v>
      </c>
      <c r="O27" s="4">
        <v>0.03</v>
      </c>
      <c r="P27" s="3">
        <v>4306.4895999999999</v>
      </c>
      <c r="Q27" s="3">
        <v>2094.8000000000002</v>
      </c>
      <c r="R27" s="4">
        <v>0.51357133197302995</v>
      </c>
      <c r="S27" t="s">
        <v>653</v>
      </c>
      <c r="T27" s="3">
        <v>2211.6895999999997</v>
      </c>
      <c r="U27" t="s">
        <v>1433</v>
      </c>
      <c r="V27" s="13" t="str">
        <f>TEXT(Table1_1[[#This Row],[OrderDate]],"MM YYYY")</f>
        <v>01 2024</v>
      </c>
      <c r="W27" s="11" t="str">
        <f>TEXT(Table1_1[[#This Row],[OrderDate]],"MM")</f>
        <v>01</v>
      </c>
      <c r="X27" s="11"/>
    </row>
    <row r="28" spans="1:24" x14ac:dyDescent="0.25">
      <c r="A28" t="s">
        <v>400</v>
      </c>
      <c r="B28" s="2">
        <v>45823</v>
      </c>
      <c r="C28" s="2">
        <v>45838</v>
      </c>
      <c r="D28" t="s">
        <v>1413</v>
      </c>
      <c r="E28" s="10">
        <v>15</v>
      </c>
      <c r="F28" t="s">
        <v>1398</v>
      </c>
      <c r="G28" t="s">
        <v>646</v>
      </c>
      <c r="H28" t="s">
        <v>652</v>
      </c>
      <c r="I28" t="s">
        <v>673</v>
      </c>
      <c r="J28" t="s">
        <v>1064</v>
      </c>
      <c r="K28">
        <v>10</v>
      </c>
      <c r="L28" s="3">
        <v>1487.59</v>
      </c>
      <c r="M28" s="3">
        <v>1480.83</v>
      </c>
      <c r="N28" s="3" t="str">
        <f>IF(Table1_1[[#This Row],[UnitPrice]]&lt;=816.08,"low",IF(Table1_1[[#This Row],[UnitPrice]]&lt;=1640.06,"medium","high"))</f>
        <v>medium</v>
      </c>
      <c r="O28" s="4">
        <v>8.9999999999999993E-3</v>
      </c>
      <c r="P28" s="3">
        <v>14675.025299999999</v>
      </c>
      <c r="Q28" s="3">
        <v>14875.9</v>
      </c>
      <c r="R28" s="4">
        <v>-1.3688201273492901E-2</v>
      </c>
      <c r="S28" t="s">
        <v>653</v>
      </c>
      <c r="T28" s="3">
        <v>-200.8747000000003</v>
      </c>
      <c r="U28" t="s">
        <v>1431</v>
      </c>
      <c r="V28" s="13" t="str">
        <f>TEXT(Table1_1[[#This Row],[OrderDate]],"MM YYYY")</f>
        <v>06 2025</v>
      </c>
      <c r="W28" s="11" t="str">
        <f>TEXT(Table1_1[[#This Row],[OrderDate]],"MM")</f>
        <v>06</v>
      </c>
      <c r="X28" s="11"/>
    </row>
    <row r="29" spans="1:24" x14ac:dyDescent="0.25">
      <c r="A29" t="s">
        <v>360</v>
      </c>
      <c r="B29" s="2">
        <v>44980</v>
      </c>
      <c r="C29" s="2">
        <v>44993</v>
      </c>
      <c r="D29" t="s">
        <v>1413</v>
      </c>
      <c r="E29" s="10">
        <v>13</v>
      </c>
      <c r="F29" t="s">
        <v>1406</v>
      </c>
      <c r="G29" t="s">
        <v>646</v>
      </c>
      <c r="H29" t="s">
        <v>652</v>
      </c>
      <c r="I29" t="s">
        <v>669</v>
      </c>
      <c r="J29" t="s">
        <v>1025</v>
      </c>
      <c r="K29">
        <v>6</v>
      </c>
      <c r="L29" s="3">
        <v>307.37</v>
      </c>
      <c r="M29" s="3">
        <v>462.61</v>
      </c>
      <c r="N29" s="3" t="str">
        <f>IF(Table1_1[[#This Row],[UnitPrice]]&lt;=816.08,"low",IF(Table1_1[[#This Row],[UnitPrice]]&lt;=1640.06,"medium","high"))</f>
        <v>low</v>
      </c>
      <c r="O29" s="4">
        <v>0.188</v>
      </c>
      <c r="P29" s="3">
        <v>2253.83592</v>
      </c>
      <c r="Q29" s="3">
        <v>1844.22</v>
      </c>
      <c r="R29" s="4">
        <v>0.18174167709599701</v>
      </c>
      <c r="S29" t="s">
        <v>653</v>
      </c>
      <c r="T29" s="3">
        <v>409.61591999999996</v>
      </c>
      <c r="U29" t="s">
        <v>1432</v>
      </c>
      <c r="V29" s="13" t="str">
        <f>TEXT(Table1_1[[#This Row],[OrderDate]],"MM YYYY")</f>
        <v>02 2023</v>
      </c>
      <c r="W29" s="11" t="str">
        <f>TEXT(Table1_1[[#This Row],[OrderDate]],"MM")</f>
        <v>02</v>
      </c>
      <c r="X29" s="11"/>
    </row>
    <row r="30" spans="1:24" x14ac:dyDescent="0.25">
      <c r="A30" t="s">
        <v>604</v>
      </c>
      <c r="B30" s="2">
        <v>45823</v>
      </c>
      <c r="C30" s="2">
        <v>45850</v>
      </c>
      <c r="D30" t="s">
        <v>1413</v>
      </c>
      <c r="E30" s="10">
        <v>27</v>
      </c>
      <c r="F30" t="s">
        <v>1391</v>
      </c>
      <c r="G30" t="s">
        <v>645</v>
      </c>
      <c r="H30" t="s">
        <v>652</v>
      </c>
      <c r="I30" t="s">
        <v>674</v>
      </c>
      <c r="J30" t="s">
        <v>1267</v>
      </c>
      <c r="K30">
        <v>9</v>
      </c>
      <c r="L30" s="3">
        <v>318.83</v>
      </c>
      <c r="M30" s="3">
        <v>699.5</v>
      </c>
      <c r="N30" s="3" t="str">
        <f>IF(Table1_1[[#This Row],[UnitPrice]]&lt;=816.08,"low",IF(Table1_1[[#This Row],[UnitPrice]]&lt;=1640.06,"medium","high"))</f>
        <v>low</v>
      </c>
      <c r="O30" s="4">
        <v>0.08</v>
      </c>
      <c r="P30" s="3">
        <v>5791.8600000000006</v>
      </c>
      <c r="Q30" s="3">
        <v>2869.47</v>
      </c>
      <c r="R30" s="4">
        <v>0.50456848059172699</v>
      </c>
      <c r="S30" t="s">
        <v>653</v>
      </c>
      <c r="T30" s="3">
        <v>2922.3900000000008</v>
      </c>
      <c r="U30" t="s">
        <v>1431</v>
      </c>
      <c r="V30" s="13" t="str">
        <f>TEXT(Table1_1[[#This Row],[OrderDate]],"MM YYYY")</f>
        <v>06 2025</v>
      </c>
      <c r="W30" s="11" t="str">
        <f>TEXT(Table1_1[[#This Row],[OrderDate]],"MM")</f>
        <v>06</v>
      </c>
      <c r="X30" s="11"/>
    </row>
    <row r="31" spans="1:24" x14ac:dyDescent="0.25">
      <c r="A31" t="s">
        <v>283</v>
      </c>
      <c r="B31" s="2">
        <v>45131</v>
      </c>
      <c r="C31" s="2">
        <v>45151</v>
      </c>
      <c r="D31" t="s">
        <v>1413</v>
      </c>
      <c r="E31" s="10">
        <v>20</v>
      </c>
      <c r="F31" t="s">
        <v>1418</v>
      </c>
      <c r="G31" t="s">
        <v>643</v>
      </c>
      <c r="H31" t="s">
        <v>652</v>
      </c>
      <c r="I31" t="s">
        <v>673</v>
      </c>
      <c r="J31" t="s">
        <v>948</v>
      </c>
      <c r="K31">
        <v>14</v>
      </c>
      <c r="L31" s="3">
        <v>1082.3800000000001</v>
      </c>
      <c r="M31" s="3">
        <v>1766.55</v>
      </c>
      <c r="N31" s="3" t="str">
        <f>IF(Table1_1[[#This Row],[UnitPrice]]&lt;=816.08,"low",IF(Table1_1[[#This Row],[UnitPrice]]&lt;=1640.06,"medium","high"))</f>
        <v>high</v>
      </c>
      <c r="O31" s="4">
        <v>0.16400000000000001</v>
      </c>
      <c r="P31" s="3">
        <v>20675.7012</v>
      </c>
      <c r="Q31" s="3">
        <v>15153.320000000002</v>
      </c>
      <c r="R31" s="4">
        <v>0.26709523157550702</v>
      </c>
      <c r="S31" t="s">
        <v>653</v>
      </c>
      <c r="T31" s="3">
        <v>5522.381199999998</v>
      </c>
      <c r="U31" t="s">
        <v>1430</v>
      </c>
      <c r="V31" s="13" t="str">
        <f>TEXT(Table1_1[[#This Row],[OrderDate]],"MM YYYY")</f>
        <v>07 2023</v>
      </c>
      <c r="W31" s="11" t="str">
        <f>TEXT(Table1_1[[#This Row],[OrderDate]],"MM")</f>
        <v>07</v>
      </c>
      <c r="X31" s="11"/>
    </row>
    <row r="32" spans="1:24" x14ac:dyDescent="0.25">
      <c r="A32" t="s">
        <v>377</v>
      </c>
      <c r="B32" s="2">
        <v>45731</v>
      </c>
      <c r="C32" s="2">
        <v>45745</v>
      </c>
      <c r="D32" t="s">
        <v>1413</v>
      </c>
      <c r="E32" s="10">
        <v>14</v>
      </c>
      <c r="F32" t="s">
        <v>1405</v>
      </c>
      <c r="G32" t="s">
        <v>647</v>
      </c>
      <c r="H32" t="s">
        <v>652</v>
      </c>
      <c r="I32" t="s">
        <v>668</v>
      </c>
      <c r="J32" t="s">
        <v>1042</v>
      </c>
      <c r="K32">
        <v>17</v>
      </c>
      <c r="L32" s="3">
        <v>935.83</v>
      </c>
      <c r="M32" s="3">
        <v>2303.46</v>
      </c>
      <c r="N32" s="3" t="str">
        <f>IF(Table1_1[[#This Row],[UnitPrice]]&lt;=816.08,"low",IF(Table1_1[[#This Row],[UnitPrice]]&lt;=1640.06,"medium","high"))</f>
        <v>high</v>
      </c>
      <c r="O32" s="4">
        <v>0.105</v>
      </c>
      <c r="P32" s="3">
        <v>35047.143900000003</v>
      </c>
      <c r="Q32" s="3">
        <v>15909.11</v>
      </c>
      <c r="R32" s="4">
        <v>0.54606543559174303</v>
      </c>
      <c r="S32" t="s">
        <v>653</v>
      </c>
      <c r="T32" s="3">
        <v>19138.033900000002</v>
      </c>
      <c r="U32" t="s">
        <v>1434</v>
      </c>
      <c r="V32" s="13" t="str">
        <f>TEXT(Table1_1[[#This Row],[OrderDate]],"MM YYYY")</f>
        <v>03 2025</v>
      </c>
      <c r="W32" s="11" t="str">
        <f>TEXT(Table1_1[[#This Row],[OrderDate]],"MM")</f>
        <v>03</v>
      </c>
      <c r="X32" s="11"/>
    </row>
    <row r="33" spans="1:24" x14ac:dyDescent="0.25">
      <c r="A33" t="s">
        <v>113</v>
      </c>
      <c r="B33" s="2">
        <v>45747</v>
      </c>
      <c r="C33" s="2">
        <v>45751</v>
      </c>
      <c r="D33" t="s">
        <v>1413</v>
      </c>
      <c r="E33" s="10">
        <v>4</v>
      </c>
      <c r="F33" t="s">
        <v>1395</v>
      </c>
      <c r="G33" t="s">
        <v>642</v>
      </c>
      <c r="H33" t="s">
        <v>652</v>
      </c>
      <c r="I33" t="s">
        <v>672</v>
      </c>
      <c r="J33" t="s">
        <v>777</v>
      </c>
      <c r="K33">
        <v>16</v>
      </c>
      <c r="L33" s="3">
        <v>862.08</v>
      </c>
      <c r="M33" s="3">
        <v>1952.83</v>
      </c>
      <c r="N33" s="3" t="str">
        <f>IF(Table1_1[[#This Row],[UnitPrice]]&lt;=816.08,"low",IF(Table1_1[[#This Row],[UnitPrice]]&lt;=1640.06,"medium","high"))</f>
        <v>high</v>
      </c>
      <c r="O33" s="4">
        <v>0</v>
      </c>
      <c r="P33" s="3">
        <v>31245.279999999999</v>
      </c>
      <c r="Q33" s="3">
        <v>13793.28</v>
      </c>
      <c r="R33" s="4">
        <v>0.55854836314476897</v>
      </c>
      <c r="S33" t="s">
        <v>653</v>
      </c>
      <c r="T33" s="3">
        <v>17452</v>
      </c>
      <c r="U33" t="s">
        <v>1434</v>
      </c>
      <c r="V33" s="13" t="str">
        <f>TEXT(Table1_1[[#This Row],[OrderDate]],"MM YYYY")</f>
        <v>03 2025</v>
      </c>
      <c r="W33" s="11" t="str">
        <f>TEXT(Table1_1[[#This Row],[OrderDate]],"MM")</f>
        <v>03</v>
      </c>
      <c r="X33" s="11"/>
    </row>
    <row r="34" spans="1:24" x14ac:dyDescent="0.25">
      <c r="A34" t="s">
        <v>278</v>
      </c>
      <c r="B34" s="2">
        <v>45284</v>
      </c>
      <c r="C34" s="2">
        <v>45292</v>
      </c>
      <c r="D34" t="s">
        <v>1413</v>
      </c>
      <c r="E34" s="10">
        <v>8</v>
      </c>
      <c r="F34" t="s">
        <v>1417</v>
      </c>
      <c r="G34" t="s">
        <v>643</v>
      </c>
      <c r="H34" t="s">
        <v>652</v>
      </c>
      <c r="I34" t="s">
        <v>671</v>
      </c>
      <c r="J34" t="s">
        <v>943</v>
      </c>
      <c r="K34">
        <v>4</v>
      </c>
      <c r="L34" s="3">
        <v>526.49</v>
      </c>
      <c r="M34" s="3">
        <v>496.2</v>
      </c>
      <c r="N34" s="3" t="str">
        <f>IF(Table1_1[[#This Row],[UnitPrice]]&lt;=816.08,"low",IF(Table1_1[[#This Row],[UnitPrice]]&lt;=1640.06,"medium","high"))</f>
        <v>low</v>
      </c>
      <c r="O34" s="4">
        <v>0</v>
      </c>
      <c r="P34" s="3">
        <v>1984.8</v>
      </c>
      <c r="Q34" s="3">
        <v>2105.96</v>
      </c>
      <c r="R34" s="4">
        <v>-6.1043933897621999E-2</v>
      </c>
      <c r="S34" t="s">
        <v>653</v>
      </c>
      <c r="T34" s="3">
        <v>-121.16000000000008</v>
      </c>
      <c r="U34" t="s">
        <v>1439</v>
      </c>
      <c r="V34" s="13" t="str">
        <f>TEXT(Table1_1[[#This Row],[OrderDate]],"MM YYYY")</f>
        <v>12 2023</v>
      </c>
      <c r="W34" s="11" t="str">
        <f>TEXT(Table1_1[[#This Row],[OrderDate]],"MM")</f>
        <v>12</v>
      </c>
      <c r="X34" s="11"/>
    </row>
    <row r="35" spans="1:24" x14ac:dyDescent="0.25">
      <c r="A35" t="s">
        <v>310</v>
      </c>
      <c r="B35" s="2">
        <v>45787</v>
      </c>
      <c r="C35" s="2">
        <v>45804</v>
      </c>
      <c r="D35" t="s">
        <v>1413</v>
      </c>
      <c r="E35" s="10">
        <v>17</v>
      </c>
      <c r="F35" t="s">
        <v>1415</v>
      </c>
      <c r="G35" t="s">
        <v>643</v>
      </c>
      <c r="H35" t="s">
        <v>652</v>
      </c>
      <c r="I35" t="s">
        <v>668</v>
      </c>
      <c r="J35" t="s">
        <v>975</v>
      </c>
      <c r="K35">
        <v>10</v>
      </c>
      <c r="L35" s="3">
        <v>862.89</v>
      </c>
      <c r="M35" s="3">
        <v>1426.03</v>
      </c>
      <c r="N35" s="3" t="str">
        <f>IF(Table1_1[[#This Row],[UnitPrice]]&lt;=816.08,"low",IF(Table1_1[[#This Row],[UnitPrice]]&lt;=1640.06,"medium","high"))</f>
        <v>medium</v>
      </c>
      <c r="O35" s="4">
        <v>5.6000000000000001E-2</v>
      </c>
      <c r="P35" s="3">
        <v>13461.723199999999</v>
      </c>
      <c r="Q35" s="3">
        <v>8628.9</v>
      </c>
      <c r="R35" s="4">
        <v>0.359004796651888</v>
      </c>
      <c r="S35" t="s">
        <v>653</v>
      </c>
      <c r="T35" s="3">
        <v>4832.8231999999989</v>
      </c>
      <c r="U35" t="s">
        <v>1431</v>
      </c>
      <c r="V35" s="13" t="str">
        <f>TEXT(Table1_1[[#This Row],[OrderDate]],"MM YYYY")</f>
        <v>05 2025</v>
      </c>
      <c r="W35" s="11" t="str">
        <f>TEXT(Table1_1[[#This Row],[OrderDate]],"MM")</f>
        <v>05</v>
      </c>
      <c r="X35" s="11"/>
    </row>
    <row r="36" spans="1:24" x14ac:dyDescent="0.25">
      <c r="A36" t="s">
        <v>51</v>
      </c>
      <c r="B36" s="2">
        <v>45531</v>
      </c>
      <c r="C36" s="2">
        <v>45554</v>
      </c>
      <c r="D36" t="s">
        <v>1413</v>
      </c>
      <c r="E36" s="10">
        <v>23</v>
      </c>
      <c r="F36" t="s">
        <v>1390</v>
      </c>
      <c r="G36" t="s">
        <v>646</v>
      </c>
      <c r="H36" t="s">
        <v>652</v>
      </c>
      <c r="I36" t="s">
        <v>673</v>
      </c>
      <c r="J36" t="s">
        <v>715</v>
      </c>
      <c r="K36">
        <v>9</v>
      </c>
      <c r="L36" s="3">
        <v>1024.01</v>
      </c>
      <c r="M36" s="3">
        <v>1580.97</v>
      </c>
      <c r="N36" s="3" t="str">
        <f>IF(Table1_1[[#This Row],[UnitPrice]]&lt;=816.08,"low",IF(Table1_1[[#This Row],[UnitPrice]]&lt;=1640.06,"medium","high"))</f>
        <v>medium</v>
      </c>
      <c r="O36" s="4">
        <v>3.6999999999999998E-2</v>
      </c>
      <c r="P36" s="3">
        <v>13702.266989999998</v>
      </c>
      <c r="Q36" s="3">
        <v>9216.09</v>
      </c>
      <c r="R36" s="4">
        <v>0.32740399769425299</v>
      </c>
      <c r="S36" t="s">
        <v>667</v>
      </c>
      <c r="T36" s="3">
        <v>4486.1769899999981</v>
      </c>
      <c r="U36" t="s">
        <v>1437</v>
      </c>
      <c r="V36" s="13" t="str">
        <f>TEXT(Table1_1[[#This Row],[OrderDate]],"MM YYYY")</f>
        <v>08 2024</v>
      </c>
      <c r="W36" s="11" t="str">
        <f>TEXT(Table1_1[[#This Row],[OrderDate]],"MM")</f>
        <v>08</v>
      </c>
      <c r="X36" s="11"/>
    </row>
    <row r="37" spans="1:24" x14ac:dyDescent="0.25">
      <c r="A37" t="s">
        <v>319</v>
      </c>
      <c r="B37" s="2">
        <v>44936</v>
      </c>
      <c r="C37" s="2">
        <v>44955</v>
      </c>
      <c r="D37" t="s">
        <v>1413</v>
      </c>
      <c r="E37" s="10">
        <v>19</v>
      </c>
      <c r="F37" t="s">
        <v>1396</v>
      </c>
      <c r="G37" t="s">
        <v>644</v>
      </c>
      <c r="H37" t="s">
        <v>652</v>
      </c>
      <c r="I37" t="s">
        <v>672</v>
      </c>
      <c r="J37" t="s">
        <v>984</v>
      </c>
      <c r="K37">
        <v>37</v>
      </c>
      <c r="L37" s="3">
        <v>401.66</v>
      </c>
      <c r="M37" s="3">
        <v>772.09</v>
      </c>
      <c r="N37" s="3" t="str">
        <f>IF(Table1_1[[#This Row],[UnitPrice]]&lt;=816.08,"low",IF(Table1_1[[#This Row],[UnitPrice]]&lt;=1640.06,"medium","high"))</f>
        <v>low</v>
      </c>
      <c r="O37" s="4">
        <v>8.8999999999999996E-2</v>
      </c>
      <c r="P37" s="3">
        <v>26024.837630000002</v>
      </c>
      <c r="Q37" s="3">
        <v>14861.42</v>
      </c>
      <c r="R37" s="4">
        <v>0.42895244107619002</v>
      </c>
      <c r="S37" t="s">
        <v>667</v>
      </c>
      <c r="T37" s="3">
        <v>11163.417630000002</v>
      </c>
      <c r="U37" t="s">
        <v>1432</v>
      </c>
      <c r="V37" s="13" t="str">
        <f>TEXT(Table1_1[[#This Row],[OrderDate]],"MM YYYY")</f>
        <v>01 2023</v>
      </c>
      <c r="W37" s="11" t="str">
        <f>TEXT(Table1_1[[#This Row],[OrderDate]],"MM")</f>
        <v>01</v>
      </c>
      <c r="X37" s="11"/>
    </row>
    <row r="38" spans="1:24" x14ac:dyDescent="0.25">
      <c r="A38" t="s">
        <v>553</v>
      </c>
      <c r="B38" s="2">
        <v>44968</v>
      </c>
      <c r="C38" s="2">
        <v>44969</v>
      </c>
      <c r="D38" t="s">
        <v>1413</v>
      </c>
      <c r="E38" s="10">
        <v>1</v>
      </c>
      <c r="F38" t="s">
        <v>1384</v>
      </c>
      <c r="G38" t="s">
        <v>644</v>
      </c>
      <c r="H38" t="s">
        <v>652</v>
      </c>
      <c r="I38" t="s">
        <v>674</v>
      </c>
      <c r="J38" t="s">
        <v>1216</v>
      </c>
      <c r="K38">
        <v>27</v>
      </c>
      <c r="L38" s="3">
        <v>944.61</v>
      </c>
      <c r="M38" s="3">
        <v>839.04</v>
      </c>
      <c r="N38" s="3" t="str">
        <f>IF(Table1_1[[#This Row],[UnitPrice]]&lt;=816.08,"low",IF(Table1_1[[#This Row],[UnitPrice]]&lt;=1640.06,"medium","high"))</f>
        <v>medium</v>
      </c>
      <c r="O38" s="4">
        <v>5.8999999999999997E-2</v>
      </c>
      <c r="P38" s="3">
        <v>21317.489279999998</v>
      </c>
      <c r="Q38" s="3">
        <v>25504.47</v>
      </c>
      <c r="R38" s="4">
        <v>-0.19641059343363701</v>
      </c>
      <c r="S38" t="s">
        <v>667</v>
      </c>
      <c r="T38" s="3">
        <v>-4186.9807200000032</v>
      </c>
      <c r="U38" t="s">
        <v>1432</v>
      </c>
      <c r="V38" s="13" t="str">
        <f>TEXT(Table1_1[[#This Row],[OrderDate]],"MM YYYY")</f>
        <v>02 2023</v>
      </c>
      <c r="W38" s="11" t="str">
        <f>TEXT(Table1_1[[#This Row],[OrderDate]],"MM")</f>
        <v>02</v>
      </c>
      <c r="X38" s="11"/>
    </row>
    <row r="39" spans="1:24" x14ac:dyDescent="0.25">
      <c r="A39" t="s">
        <v>570</v>
      </c>
      <c r="B39" s="2">
        <v>45299</v>
      </c>
      <c r="C39" s="2">
        <v>45303</v>
      </c>
      <c r="D39" t="s">
        <v>1413</v>
      </c>
      <c r="E39" s="10">
        <v>4</v>
      </c>
      <c r="F39" t="s">
        <v>1388</v>
      </c>
      <c r="G39" t="s">
        <v>642</v>
      </c>
      <c r="H39" t="s">
        <v>652</v>
      </c>
      <c r="I39" t="s">
        <v>669</v>
      </c>
      <c r="J39" t="s">
        <v>1233</v>
      </c>
      <c r="K39">
        <v>8</v>
      </c>
      <c r="L39" s="3">
        <v>802.32</v>
      </c>
      <c r="M39" s="3">
        <v>602.34</v>
      </c>
      <c r="N39" s="3" t="str">
        <f>IF(Table1_1[[#This Row],[UnitPrice]]&lt;=816.08,"low",IF(Table1_1[[#This Row],[UnitPrice]]&lt;=1640.06,"medium","high"))</f>
        <v>low</v>
      </c>
      <c r="O39" s="4">
        <v>0.12</v>
      </c>
      <c r="P39" s="3">
        <v>4240.4736000000003</v>
      </c>
      <c r="Q39" s="3">
        <v>6418.56</v>
      </c>
      <c r="R39" s="4">
        <v>-0.51364224977134598</v>
      </c>
      <c r="S39" t="s">
        <v>659</v>
      </c>
      <c r="T39" s="3">
        <v>-2178.0864000000001</v>
      </c>
      <c r="U39" t="s">
        <v>1433</v>
      </c>
      <c r="V39" s="13" t="str">
        <f>TEXT(Table1_1[[#This Row],[OrderDate]],"MM YYYY")</f>
        <v>01 2024</v>
      </c>
      <c r="W39" s="11" t="str">
        <f>TEXT(Table1_1[[#This Row],[OrderDate]],"MM")</f>
        <v>01</v>
      </c>
      <c r="X39" s="11"/>
    </row>
    <row r="40" spans="1:24" x14ac:dyDescent="0.25">
      <c r="A40" t="s">
        <v>138</v>
      </c>
      <c r="B40" s="2">
        <v>45874</v>
      </c>
      <c r="C40" s="2">
        <v>45883</v>
      </c>
      <c r="D40" t="s">
        <v>1413</v>
      </c>
      <c r="E40" s="10">
        <v>9</v>
      </c>
      <c r="F40" t="s">
        <v>1399</v>
      </c>
      <c r="G40" t="s">
        <v>644</v>
      </c>
      <c r="H40" t="s">
        <v>652</v>
      </c>
      <c r="I40" t="s">
        <v>668</v>
      </c>
      <c r="J40" t="s">
        <v>802</v>
      </c>
      <c r="K40">
        <v>13</v>
      </c>
      <c r="L40" s="3">
        <v>41.76</v>
      </c>
      <c r="M40" s="3">
        <v>45.19</v>
      </c>
      <c r="N40" s="3" t="str">
        <f>IF(Table1_1[[#This Row],[UnitPrice]]&lt;=816.08,"low",IF(Table1_1[[#This Row],[UnitPrice]]&lt;=1640.06,"medium","high"))</f>
        <v>low</v>
      </c>
      <c r="O40" s="4">
        <v>0.17899999999999999</v>
      </c>
      <c r="P40" s="3">
        <v>482.31286999999998</v>
      </c>
      <c r="Q40" s="3">
        <v>542.88</v>
      </c>
      <c r="R40" s="4">
        <v>-0.12557643340514599</v>
      </c>
      <c r="S40" t="s">
        <v>659</v>
      </c>
      <c r="T40" s="3">
        <v>-60.56713000000002</v>
      </c>
      <c r="U40" t="s">
        <v>1438</v>
      </c>
      <c r="V40" s="13" t="str">
        <f>TEXT(Table1_1[[#This Row],[OrderDate]],"MM YYYY")</f>
        <v>08 2025</v>
      </c>
      <c r="W40" s="11" t="str">
        <f>TEXT(Table1_1[[#This Row],[OrderDate]],"MM")</f>
        <v>08</v>
      </c>
      <c r="X40" s="11"/>
    </row>
    <row r="41" spans="1:24" x14ac:dyDescent="0.25">
      <c r="A41" t="s">
        <v>146</v>
      </c>
      <c r="B41" s="2">
        <v>45028</v>
      </c>
      <c r="C41" s="2">
        <v>45033</v>
      </c>
      <c r="D41" t="s">
        <v>1413</v>
      </c>
      <c r="E41" s="10">
        <v>5</v>
      </c>
      <c r="F41" t="s">
        <v>1396</v>
      </c>
      <c r="G41" t="s">
        <v>647</v>
      </c>
      <c r="H41" t="s">
        <v>652</v>
      </c>
      <c r="I41" t="s">
        <v>673</v>
      </c>
      <c r="J41" t="s">
        <v>810</v>
      </c>
      <c r="K41">
        <v>9</v>
      </c>
      <c r="L41" s="3">
        <v>1087.81</v>
      </c>
      <c r="M41" s="3">
        <v>2323.87</v>
      </c>
      <c r="N41" s="3" t="str">
        <f>IF(Table1_1[[#This Row],[UnitPrice]]&lt;=816.08,"low",IF(Table1_1[[#This Row],[UnitPrice]]&lt;=1640.06,"medium","high"))</f>
        <v>high</v>
      </c>
      <c r="O41" s="4">
        <v>9.4E-2</v>
      </c>
      <c r="P41" s="3">
        <v>18948.83598</v>
      </c>
      <c r="Q41" s="3">
        <v>9790.2899999999991</v>
      </c>
      <c r="R41" s="4">
        <v>0.48333026839572701</v>
      </c>
      <c r="S41" t="s">
        <v>659</v>
      </c>
      <c r="T41" s="3">
        <v>9158.5459800000008</v>
      </c>
      <c r="U41" t="s">
        <v>1435</v>
      </c>
      <c r="V41" s="13" t="str">
        <f>TEXT(Table1_1[[#This Row],[OrderDate]],"MM YYYY")</f>
        <v>04 2023</v>
      </c>
      <c r="W41" s="11" t="str">
        <f>TEXT(Table1_1[[#This Row],[OrderDate]],"MM")</f>
        <v>04</v>
      </c>
      <c r="X41" s="11"/>
    </row>
    <row r="42" spans="1:24" x14ac:dyDescent="0.25">
      <c r="A42" t="s">
        <v>601</v>
      </c>
      <c r="B42" s="2">
        <v>45899</v>
      </c>
      <c r="C42" s="2">
        <v>45922</v>
      </c>
      <c r="D42" t="s">
        <v>1413</v>
      </c>
      <c r="E42" s="10">
        <v>23</v>
      </c>
      <c r="F42" t="s">
        <v>1391</v>
      </c>
      <c r="G42" t="s">
        <v>642</v>
      </c>
      <c r="H42" t="s">
        <v>652</v>
      </c>
      <c r="I42" t="s">
        <v>668</v>
      </c>
      <c r="J42" t="s">
        <v>1264</v>
      </c>
      <c r="K42">
        <v>27</v>
      </c>
      <c r="L42" s="3">
        <v>663.9</v>
      </c>
      <c r="M42" s="3">
        <v>947.77</v>
      </c>
      <c r="N42" s="3" t="str">
        <f>IF(Table1_1[[#This Row],[UnitPrice]]&lt;=816.08,"low",IF(Table1_1[[#This Row],[UnitPrice]]&lt;=1640.06,"medium","high"))</f>
        <v>medium</v>
      </c>
      <c r="O42" s="4">
        <v>0.17399999999999999</v>
      </c>
      <c r="P42" s="3">
        <v>21137.166540000002</v>
      </c>
      <c r="Q42" s="3">
        <v>17925.3</v>
      </c>
      <c r="R42" s="4">
        <v>0.15195350492800699</v>
      </c>
      <c r="S42" t="s">
        <v>659</v>
      </c>
      <c r="T42" s="3">
        <v>3211.8665400000027</v>
      </c>
      <c r="U42" t="s">
        <v>1438</v>
      </c>
      <c r="V42" s="13" t="str">
        <f>TEXT(Table1_1[[#This Row],[OrderDate]],"MM YYYY")</f>
        <v>08 2025</v>
      </c>
      <c r="W42" s="11" t="str">
        <f>TEXT(Table1_1[[#This Row],[OrderDate]],"MM")</f>
        <v>08</v>
      </c>
      <c r="X42" s="11"/>
    </row>
    <row r="43" spans="1:24" x14ac:dyDescent="0.25">
      <c r="A43" t="s">
        <v>534</v>
      </c>
      <c r="B43" s="2">
        <v>45304</v>
      </c>
      <c r="C43" s="2">
        <v>45306</v>
      </c>
      <c r="D43" t="s">
        <v>1413</v>
      </c>
      <c r="E43" s="10">
        <v>2</v>
      </c>
      <c r="F43" t="s">
        <v>1419</v>
      </c>
      <c r="G43" t="s">
        <v>644</v>
      </c>
      <c r="H43" t="s">
        <v>652</v>
      </c>
      <c r="I43" t="s">
        <v>668</v>
      </c>
      <c r="J43" t="s">
        <v>1198</v>
      </c>
      <c r="K43">
        <v>6</v>
      </c>
      <c r="L43" s="3">
        <v>1061.3699999999999</v>
      </c>
      <c r="M43" s="3">
        <v>1938.33</v>
      </c>
      <c r="N43" s="3" t="str">
        <f>IF(Table1_1[[#This Row],[UnitPrice]]&lt;=816.08,"low",IF(Table1_1[[#This Row],[UnitPrice]]&lt;=1640.06,"medium","high"))</f>
        <v>high</v>
      </c>
      <c r="O43" s="4">
        <v>0.17</v>
      </c>
      <c r="P43" s="3">
        <v>9652.8833999999988</v>
      </c>
      <c r="Q43" s="3">
        <v>6368.2199999999993</v>
      </c>
      <c r="R43" s="4">
        <v>0.34027795259600901</v>
      </c>
      <c r="S43" t="s">
        <v>659</v>
      </c>
      <c r="T43" s="3">
        <v>3284.6633999999995</v>
      </c>
      <c r="U43" t="s">
        <v>1433</v>
      </c>
      <c r="V43" s="13" t="str">
        <f>TEXT(Table1_1[[#This Row],[OrderDate]],"MM YYYY")</f>
        <v>01 2024</v>
      </c>
      <c r="W43" s="11" t="str">
        <f>TEXT(Table1_1[[#This Row],[OrderDate]],"MM")</f>
        <v>01</v>
      </c>
      <c r="X43" s="11"/>
    </row>
    <row r="44" spans="1:24" x14ac:dyDescent="0.25">
      <c r="A44" t="s">
        <v>307</v>
      </c>
      <c r="B44" s="2">
        <v>45097</v>
      </c>
      <c r="C44" s="2">
        <v>45115</v>
      </c>
      <c r="D44" t="s">
        <v>1413</v>
      </c>
      <c r="E44" s="10">
        <v>18</v>
      </c>
      <c r="F44" t="s">
        <v>1420</v>
      </c>
      <c r="G44" t="s">
        <v>644</v>
      </c>
      <c r="H44" t="s">
        <v>652</v>
      </c>
      <c r="I44" t="s">
        <v>673</v>
      </c>
      <c r="J44" t="s">
        <v>972</v>
      </c>
      <c r="K44">
        <v>14</v>
      </c>
      <c r="L44" s="3">
        <v>337</v>
      </c>
      <c r="M44" s="3">
        <v>511.03</v>
      </c>
      <c r="N44" s="3" t="str">
        <f>IF(Table1_1[[#This Row],[UnitPrice]]&lt;=816.08,"low",IF(Table1_1[[#This Row],[UnitPrice]]&lt;=1640.06,"medium","high"))</f>
        <v>low</v>
      </c>
      <c r="O44" s="4">
        <v>0.108</v>
      </c>
      <c r="P44" s="3">
        <v>6381.7426400000004</v>
      </c>
      <c r="Q44" s="3">
        <v>4718</v>
      </c>
      <c r="R44" s="4">
        <v>0.26070349963219502</v>
      </c>
      <c r="S44" t="s">
        <v>662</v>
      </c>
      <c r="T44" s="3">
        <v>1663.7426400000004</v>
      </c>
      <c r="U44" t="s">
        <v>1435</v>
      </c>
      <c r="V44" s="13" t="str">
        <f>TEXT(Table1_1[[#This Row],[OrderDate]],"MM YYYY")</f>
        <v>06 2023</v>
      </c>
      <c r="W44" s="11" t="str">
        <f>TEXT(Table1_1[[#This Row],[OrderDate]],"MM")</f>
        <v>06</v>
      </c>
      <c r="X44" s="11"/>
    </row>
    <row r="45" spans="1:24" x14ac:dyDescent="0.25">
      <c r="A45" t="s">
        <v>466</v>
      </c>
      <c r="B45" s="2">
        <v>45265</v>
      </c>
      <c r="C45" s="2">
        <v>45272</v>
      </c>
      <c r="D45" t="s">
        <v>1413</v>
      </c>
      <c r="E45" s="10">
        <v>7</v>
      </c>
      <c r="F45" t="s">
        <v>1416</v>
      </c>
      <c r="G45" t="s">
        <v>642</v>
      </c>
      <c r="H45" t="s">
        <v>652</v>
      </c>
      <c r="I45" t="s">
        <v>671</v>
      </c>
      <c r="J45" t="s">
        <v>1130</v>
      </c>
      <c r="K45">
        <v>11</v>
      </c>
      <c r="L45" s="3">
        <v>307.43</v>
      </c>
      <c r="M45" s="3">
        <v>495.19</v>
      </c>
      <c r="N45" s="3" t="str">
        <f>IF(Table1_1[[#This Row],[UnitPrice]]&lt;=816.08,"low",IF(Table1_1[[#This Row],[UnitPrice]]&lt;=1640.06,"medium","high"))</f>
        <v>low</v>
      </c>
      <c r="O45" s="4">
        <v>0</v>
      </c>
      <c r="P45" s="3">
        <v>5447.09</v>
      </c>
      <c r="Q45" s="3">
        <v>3381.73</v>
      </c>
      <c r="R45" s="4">
        <v>0.37916759223732299</v>
      </c>
      <c r="S45" t="s">
        <v>662</v>
      </c>
      <c r="T45" s="3">
        <v>2065.36</v>
      </c>
      <c r="U45" t="s">
        <v>1439</v>
      </c>
      <c r="V45" s="13" t="str">
        <f>TEXT(Table1_1[[#This Row],[OrderDate]],"MM YYYY")</f>
        <v>12 2023</v>
      </c>
      <c r="W45" s="11" t="str">
        <f>TEXT(Table1_1[[#This Row],[OrderDate]],"MM")</f>
        <v>12</v>
      </c>
      <c r="X45" s="11"/>
    </row>
    <row r="46" spans="1:24" x14ac:dyDescent="0.25">
      <c r="A46" t="s">
        <v>298</v>
      </c>
      <c r="B46" s="2">
        <v>45319</v>
      </c>
      <c r="C46" s="2">
        <v>45321</v>
      </c>
      <c r="D46" t="s">
        <v>1413</v>
      </c>
      <c r="E46" s="10">
        <v>2</v>
      </c>
      <c r="F46" t="s">
        <v>1408</v>
      </c>
      <c r="G46" t="s">
        <v>645</v>
      </c>
      <c r="H46" t="s">
        <v>652</v>
      </c>
      <c r="I46" t="s">
        <v>674</v>
      </c>
      <c r="J46" t="s">
        <v>963</v>
      </c>
      <c r="K46">
        <v>22</v>
      </c>
      <c r="L46" s="3">
        <v>798.45</v>
      </c>
      <c r="M46" s="3">
        <v>1592.02</v>
      </c>
      <c r="N46" s="3" t="str">
        <f>IF(Table1_1[[#This Row],[UnitPrice]]&lt;=816.08,"low",IF(Table1_1[[#This Row],[UnitPrice]]&lt;=1640.06,"medium","high"))</f>
        <v>medium</v>
      </c>
      <c r="O46" s="4">
        <v>6.6000000000000003E-2</v>
      </c>
      <c r="P46" s="3">
        <v>32712.826959999999</v>
      </c>
      <c r="Q46" s="3">
        <v>17565.900000000001</v>
      </c>
      <c r="R46" s="4">
        <v>0.46302714768494602</v>
      </c>
      <c r="S46" t="s">
        <v>662</v>
      </c>
      <c r="T46" s="3">
        <v>15146.926959999997</v>
      </c>
      <c r="U46" t="s">
        <v>1433</v>
      </c>
      <c r="V46" s="13" t="str">
        <f>TEXT(Table1_1[[#This Row],[OrderDate]],"MM YYYY")</f>
        <v>01 2024</v>
      </c>
      <c r="W46" s="11" t="str">
        <f>TEXT(Table1_1[[#This Row],[OrderDate]],"MM")</f>
        <v>01</v>
      </c>
      <c r="X46" s="11"/>
    </row>
    <row r="47" spans="1:24" x14ac:dyDescent="0.25">
      <c r="A47" t="s">
        <v>128</v>
      </c>
      <c r="B47" s="2">
        <v>45653</v>
      </c>
      <c r="C47" s="2">
        <v>45659</v>
      </c>
      <c r="D47" t="s">
        <v>1413</v>
      </c>
      <c r="E47" s="10">
        <v>6</v>
      </c>
      <c r="F47" t="s">
        <v>1410</v>
      </c>
      <c r="G47" t="s">
        <v>643</v>
      </c>
      <c r="H47" t="s">
        <v>652</v>
      </c>
      <c r="I47" t="s">
        <v>672</v>
      </c>
      <c r="J47" t="s">
        <v>792</v>
      </c>
      <c r="K47">
        <v>28</v>
      </c>
      <c r="L47" s="3">
        <v>1391.99</v>
      </c>
      <c r="M47" s="3">
        <v>3469.7</v>
      </c>
      <c r="N47" s="3" t="str">
        <f>IF(Table1_1[[#This Row],[UnitPrice]]&lt;=816.08,"low",IF(Table1_1[[#This Row],[UnitPrice]]&lt;=1640.06,"medium","high"))</f>
        <v>high</v>
      </c>
      <c r="O47" s="4">
        <v>0.184</v>
      </c>
      <c r="P47" s="3">
        <v>79275.705600000001</v>
      </c>
      <c r="Q47" s="3">
        <v>38975.72</v>
      </c>
      <c r="R47" s="4">
        <v>0.50835227886006995</v>
      </c>
      <c r="S47" t="s">
        <v>662</v>
      </c>
      <c r="T47" s="3">
        <v>40299.9856</v>
      </c>
      <c r="U47" t="s">
        <v>1440</v>
      </c>
      <c r="V47" s="13" t="str">
        <f>TEXT(Table1_1[[#This Row],[OrderDate]],"MM YYYY")</f>
        <v>12 2024</v>
      </c>
      <c r="W47" s="11" t="str">
        <f>TEXT(Table1_1[[#This Row],[OrderDate]],"MM")</f>
        <v>12</v>
      </c>
      <c r="X47" s="11"/>
    </row>
    <row r="48" spans="1:24" x14ac:dyDescent="0.25">
      <c r="A48" t="s">
        <v>401</v>
      </c>
      <c r="B48" s="2">
        <v>45514</v>
      </c>
      <c r="C48" s="2">
        <v>45542</v>
      </c>
      <c r="D48" t="s">
        <v>1413</v>
      </c>
      <c r="E48" s="10">
        <v>28</v>
      </c>
      <c r="F48" t="s">
        <v>1391</v>
      </c>
      <c r="G48" t="s">
        <v>644</v>
      </c>
      <c r="H48" t="s">
        <v>652</v>
      </c>
      <c r="I48" t="s">
        <v>669</v>
      </c>
      <c r="J48" t="s">
        <v>1065</v>
      </c>
      <c r="K48">
        <v>13</v>
      </c>
      <c r="L48" s="3">
        <v>229.96</v>
      </c>
      <c r="M48" s="3">
        <v>564.26</v>
      </c>
      <c r="N48" s="3" t="str">
        <f>IF(Table1_1[[#This Row],[UnitPrice]]&lt;=816.08,"low",IF(Table1_1[[#This Row],[UnitPrice]]&lt;=1640.06,"medium","high"))</f>
        <v>low</v>
      </c>
      <c r="O48" s="4">
        <v>0.105</v>
      </c>
      <c r="P48" s="3">
        <v>6565.1651000000002</v>
      </c>
      <c r="Q48" s="3">
        <v>2989.48</v>
      </c>
      <c r="R48" s="4">
        <v>0.54464511486542799</v>
      </c>
      <c r="S48" t="s">
        <v>662</v>
      </c>
      <c r="T48" s="3">
        <v>3575.6851000000001</v>
      </c>
      <c r="U48" t="s">
        <v>1437</v>
      </c>
      <c r="V48" s="13" t="str">
        <f>TEXT(Table1_1[[#This Row],[OrderDate]],"MM YYYY")</f>
        <v>08 2024</v>
      </c>
      <c r="W48" s="11" t="str">
        <f>TEXT(Table1_1[[#This Row],[OrderDate]],"MM")</f>
        <v>08</v>
      </c>
      <c r="X48" s="11"/>
    </row>
    <row r="49" spans="1:24" x14ac:dyDescent="0.25">
      <c r="A49" t="s">
        <v>576</v>
      </c>
      <c r="B49" s="2">
        <v>45330</v>
      </c>
      <c r="C49" s="2">
        <v>45331</v>
      </c>
      <c r="D49" t="s">
        <v>1413</v>
      </c>
      <c r="E49" s="10">
        <v>1</v>
      </c>
      <c r="F49" t="s">
        <v>1393</v>
      </c>
      <c r="G49" t="s">
        <v>642</v>
      </c>
      <c r="H49" t="s">
        <v>652</v>
      </c>
      <c r="I49" t="s">
        <v>668</v>
      </c>
      <c r="J49" t="s">
        <v>1239</v>
      </c>
      <c r="K49">
        <v>31</v>
      </c>
      <c r="L49" s="3">
        <v>1233.52</v>
      </c>
      <c r="M49" s="3">
        <v>1543.76</v>
      </c>
      <c r="N49" s="3" t="str">
        <f>IF(Table1_1[[#This Row],[UnitPrice]]&lt;=816.08,"low",IF(Table1_1[[#This Row],[UnitPrice]]&lt;=1640.06,"medium","high"))</f>
        <v>medium</v>
      </c>
      <c r="O49" s="4">
        <v>0.126</v>
      </c>
      <c r="P49" s="3">
        <v>41826.633439999998</v>
      </c>
      <c r="Q49" s="3">
        <v>38239.120000000003</v>
      </c>
      <c r="R49" s="4">
        <v>8.5771030201277298E-2</v>
      </c>
      <c r="S49" t="s">
        <v>662</v>
      </c>
      <c r="T49" s="3">
        <v>3587.5134399999952</v>
      </c>
      <c r="U49" t="s">
        <v>1433</v>
      </c>
      <c r="V49" s="13" t="str">
        <f>TEXT(Table1_1[[#This Row],[OrderDate]],"MM YYYY")</f>
        <v>02 2024</v>
      </c>
      <c r="W49" s="11" t="str">
        <f>TEXT(Table1_1[[#This Row],[OrderDate]],"MM")</f>
        <v>02</v>
      </c>
      <c r="X49" s="11"/>
    </row>
    <row r="50" spans="1:24" x14ac:dyDescent="0.25">
      <c r="A50" t="s">
        <v>468</v>
      </c>
      <c r="B50" s="2">
        <v>45260</v>
      </c>
      <c r="C50" s="2">
        <v>45270</v>
      </c>
      <c r="D50" t="s">
        <v>1413</v>
      </c>
      <c r="E50" s="10">
        <v>10</v>
      </c>
      <c r="F50" t="s">
        <v>1400</v>
      </c>
      <c r="G50" t="s">
        <v>646</v>
      </c>
      <c r="H50" t="s">
        <v>652</v>
      </c>
      <c r="I50" t="s">
        <v>672</v>
      </c>
      <c r="J50" t="s">
        <v>1132</v>
      </c>
      <c r="K50">
        <v>24</v>
      </c>
      <c r="L50" s="3">
        <v>174.74</v>
      </c>
      <c r="M50" s="3">
        <v>415.96</v>
      </c>
      <c r="N50" s="3" t="str">
        <f>IF(Table1_1[[#This Row],[UnitPrice]]&lt;=816.08,"low",IF(Table1_1[[#This Row],[UnitPrice]]&lt;=1640.06,"medium","high"))</f>
        <v>low</v>
      </c>
      <c r="O50" s="4">
        <v>0.125</v>
      </c>
      <c r="P50" s="3">
        <v>8735.16</v>
      </c>
      <c r="Q50" s="3">
        <v>4193.76</v>
      </c>
      <c r="R50" s="4">
        <v>0.51989889137691803</v>
      </c>
      <c r="S50" t="s">
        <v>662</v>
      </c>
      <c r="T50" s="3">
        <v>4541.3999999999996</v>
      </c>
      <c r="U50" t="s">
        <v>1439</v>
      </c>
      <c r="V50" s="13" t="str">
        <f>TEXT(Table1_1[[#This Row],[OrderDate]],"MM YYYY")</f>
        <v>11 2023</v>
      </c>
      <c r="W50" s="11" t="str">
        <f>TEXT(Table1_1[[#This Row],[OrderDate]],"MM")</f>
        <v>11</v>
      </c>
      <c r="X50" s="11"/>
    </row>
    <row r="51" spans="1:24" x14ac:dyDescent="0.25">
      <c r="A51" t="s">
        <v>546</v>
      </c>
      <c r="B51" s="2">
        <v>45108</v>
      </c>
      <c r="C51" s="2">
        <v>45118</v>
      </c>
      <c r="D51" t="s">
        <v>1413</v>
      </c>
      <c r="E51" s="10">
        <v>10</v>
      </c>
      <c r="F51" t="s">
        <v>1404</v>
      </c>
      <c r="G51" t="s">
        <v>642</v>
      </c>
      <c r="H51" t="s">
        <v>652</v>
      </c>
      <c r="I51" t="s">
        <v>670</v>
      </c>
      <c r="J51" t="s">
        <v>1210</v>
      </c>
      <c r="K51">
        <v>22</v>
      </c>
      <c r="L51" s="3">
        <v>479.5</v>
      </c>
      <c r="M51" s="3">
        <v>656.66</v>
      </c>
      <c r="N51" s="3" t="str">
        <f>IF(Table1_1[[#This Row],[UnitPrice]]&lt;=816.08,"low",IF(Table1_1[[#This Row],[UnitPrice]]&lt;=1640.06,"medium","high"))</f>
        <v>low</v>
      </c>
      <c r="O51" s="4">
        <v>0.14899999999999999</v>
      </c>
      <c r="P51" s="3">
        <v>12293.988519999999</v>
      </c>
      <c r="Q51" s="3">
        <v>10549</v>
      </c>
      <c r="R51" s="4">
        <v>0.141938356064123</v>
      </c>
      <c r="S51" t="s">
        <v>662</v>
      </c>
      <c r="T51" s="3">
        <v>1744.988519999999</v>
      </c>
      <c r="U51" t="s">
        <v>1430</v>
      </c>
      <c r="V51" s="13" t="str">
        <f>TEXT(Table1_1[[#This Row],[OrderDate]],"MM YYYY")</f>
        <v>07 2023</v>
      </c>
      <c r="W51" s="11" t="str">
        <f>TEXT(Table1_1[[#This Row],[OrderDate]],"MM")</f>
        <v>07</v>
      </c>
      <c r="X51" s="11"/>
    </row>
    <row r="52" spans="1:24" x14ac:dyDescent="0.25">
      <c r="A52" t="s">
        <v>529</v>
      </c>
      <c r="B52" s="2">
        <v>45047</v>
      </c>
      <c r="C52" s="2">
        <v>45064</v>
      </c>
      <c r="D52" t="s">
        <v>1413</v>
      </c>
      <c r="E52" s="10">
        <v>17</v>
      </c>
      <c r="F52" t="s">
        <v>1384</v>
      </c>
      <c r="G52" t="s">
        <v>642</v>
      </c>
      <c r="H52" t="s">
        <v>652</v>
      </c>
      <c r="I52" t="s">
        <v>668</v>
      </c>
      <c r="J52" t="s">
        <v>1193</v>
      </c>
      <c r="K52">
        <v>8</v>
      </c>
      <c r="L52" s="3">
        <v>327.97</v>
      </c>
      <c r="M52" s="3">
        <v>299.94</v>
      </c>
      <c r="N52" s="3" t="str">
        <f>IF(Table1_1[[#This Row],[UnitPrice]]&lt;=816.08,"low",IF(Table1_1[[#This Row],[UnitPrice]]&lt;=1640.06,"medium","high"))</f>
        <v>low</v>
      </c>
      <c r="O52" s="4">
        <v>4.9000000000000002E-2</v>
      </c>
      <c r="P52" s="3">
        <v>2281.9435199999998</v>
      </c>
      <c r="Q52" s="3">
        <v>2623.76</v>
      </c>
      <c r="R52" s="4">
        <v>-0.149791823068434</v>
      </c>
      <c r="S52" t="s">
        <v>662</v>
      </c>
      <c r="T52" s="3">
        <v>-341.81648000000041</v>
      </c>
      <c r="U52" t="s">
        <v>1435</v>
      </c>
      <c r="V52" s="13" t="str">
        <f>TEXT(Table1_1[[#This Row],[OrderDate]],"MM YYYY")</f>
        <v>05 2023</v>
      </c>
      <c r="W52" s="11" t="str">
        <f>TEXT(Table1_1[[#This Row],[OrderDate]],"MM")</f>
        <v>05</v>
      </c>
      <c r="X52" s="11"/>
    </row>
    <row r="53" spans="1:24" x14ac:dyDescent="0.25">
      <c r="A53" t="s">
        <v>514</v>
      </c>
      <c r="B53" s="2">
        <v>45726</v>
      </c>
      <c r="C53" s="2">
        <v>45743</v>
      </c>
      <c r="D53" t="s">
        <v>1413</v>
      </c>
      <c r="E53" s="10">
        <v>17</v>
      </c>
      <c r="F53" t="s">
        <v>1421</v>
      </c>
      <c r="G53" t="s">
        <v>647</v>
      </c>
      <c r="H53" t="s">
        <v>652</v>
      </c>
      <c r="I53" t="s">
        <v>670</v>
      </c>
      <c r="J53" t="s">
        <v>1178</v>
      </c>
      <c r="K53">
        <v>8</v>
      </c>
      <c r="L53" s="3">
        <v>996.73</v>
      </c>
      <c r="M53" s="3">
        <v>1217.43</v>
      </c>
      <c r="N53" s="3" t="str">
        <f>IF(Table1_1[[#This Row],[UnitPrice]]&lt;=816.08,"low",IF(Table1_1[[#This Row],[UnitPrice]]&lt;=1640.06,"medium","high"))</f>
        <v>medium</v>
      </c>
      <c r="O53" s="4">
        <v>7.0000000000000007E-2</v>
      </c>
      <c r="P53" s="3">
        <v>9057.6792000000005</v>
      </c>
      <c r="Q53" s="3">
        <v>7973.84</v>
      </c>
      <c r="R53" s="4">
        <v>0.119659702675273</v>
      </c>
      <c r="S53" t="s">
        <v>662</v>
      </c>
      <c r="T53" s="3">
        <v>1083.8392000000003</v>
      </c>
      <c r="U53" t="s">
        <v>1434</v>
      </c>
      <c r="V53" s="13" t="str">
        <f>TEXT(Table1_1[[#This Row],[OrderDate]],"MM YYYY")</f>
        <v>03 2025</v>
      </c>
      <c r="W53" s="11" t="str">
        <f>TEXT(Table1_1[[#This Row],[OrderDate]],"MM")</f>
        <v>03</v>
      </c>
      <c r="X53" s="11"/>
    </row>
    <row r="54" spans="1:24" x14ac:dyDescent="0.25">
      <c r="A54" t="s">
        <v>312</v>
      </c>
      <c r="B54" s="2">
        <v>45125</v>
      </c>
      <c r="C54" s="2">
        <v>45129</v>
      </c>
      <c r="D54" t="s">
        <v>1413</v>
      </c>
      <c r="E54" s="10">
        <v>4</v>
      </c>
      <c r="F54" t="s">
        <v>1417</v>
      </c>
      <c r="G54" t="s">
        <v>645</v>
      </c>
      <c r="H54" t="s">
        <v>652</v>
      </c>
      <c r="I54" t="s">
        <v>670</v>
      </c>
      <c r="J54" t="s">
        <v>977</v>
      </c>
      <c r="K54">
        <v>15</v>
      </c>
      <c r="L54" s="3">
        <v>1269.55</v>
      </c>
      <c r="M54" s="3">
        <v>2071.1</v>
      </c>
      <c r="N54" s="3" t="str">
        <f>IF(Table1_1[[#This Row],[UnitPrice]]&lt;=816.08,"low",IF(Table1_1[[#This Row],[UnitPrice]]&lt;=1640.06,"medium","high"))</f>
        <v>high</v>
      </c>
      <c r="O54" s="4">
        <v>0.129</v>
      </c>
      <c r="P54" s="3">
        <v>27058.9215</v>
      </c>
      <c r="Q54" s="3">
        <v>19043.25</v>
      </c>
      <c r="R54" s="4">
        <v>0.29623026549672399</v>
      </c>
      <c r="S54" t="s">
        <v>662</v>
      </c>
      <c r="T54" s="3">
        <v>8015.6715000000004</v>
      </c>
      <c r="U54" t="s">
        <v>1430</v>
      </c>
      <c r="V54" s="13" t="str">
        <f>TEXT(Table1_1[[#This Row],[OrderDate]],"MM YYYY")</f>
        <v>07 2023</v>
      </c>
      <c r="W54" s="11" t="str">
        <f>TEXT(Table1_1[[#This Row],[OrderDate]],"MM")</f>
        <v>07</v>
      </c>
      <c r="X54" s="11"/>
    </row>
    <row r="55" spans="1:24" x14ac:dyDescent="0.25">
      <c r="A55" t="s">
        <v>366</v>
      </c>
      <c r="B55" s="2">
        <v>45883</v>
      </c>
      <c r="C55" s="2">
        <v>45911</v>
      </c>
      <c r="D55" t="s">
        <v>1413</v>
      </c>
      <c r="E55" s="10">
        <v>28</v>
      </c>
      <c r="F55" t="s">
        <v>1417</v>
      </c>
      <c r="G55" t="s">
        <v>644</v>
      </c>
      <c r="H55" t="s">
        <v>652</v>
      </c>
      <c r="I55" t="s">
        <v>669</v>
      </c>
      <c r="J55" t="s">
        <v>1031</v>
      </c>
      <c r="K55">
        <v>13</v>
      </c>
      <c r="L55" s="3">
        <v>1203.02</v>
      </c>
      <c r="M55" s="3">
        <v>2439.33</v>
      </c>
      <c r="N55" s="3" t="str">
        <f>IF(Table1_1[[#This Row],[UnitPrice]]&lt;=816.08,"low",IF(Table1_1[[#This Row],[UnitPrice]]&lt;=1640.06,"medium","high"))</f>
        <v>high</v>
      </c>
      <c r="O55" s="4">
        <v>0</v>
      </c>
      <c r="P55" s="3">
        <v>31711.29</v>
      </c>
      <c r="Q55" s="3">
        <v>15639.26</v>
      </c>
      <c r="R55" s="4">
        <v>0.50682359500354601</v>
      </c>
      <c r="S55" t="s">
        <v>662</v>
      </c>
      <c r="T55" s="3">
        <v>16072.03</v>
      </c>
      <c r="U55" t="s">
        <v>1438</v>
      </c>
      <c r="V55" s="13" t="str">
        <f>TEXT(Table1_1[[#This Row],[OrderDate]],"MM YYYY")</f>
        <v>08 2025</v>
      </c>
      <c r="W55" s="11" t="str">
        <f>TEXT(Table1_1[[#This Row],[OrderDate]],"MM")</f>
        <v>08</v>
      </c>
      <c r="X55" s="11"/>
    </row>
    <row r="56" spans="1:24" x14ac:dyDescent="0.25">
      <c r="A56" t="s">
        <v>114</v>
      </c>
      <c r="B56" s="2">
        <v>45631</v>
      </c>
      <c r="C56" s="2">
        <v>45654</v>
      </c>
      <c r="D56" t="s">
        <v>1413</v>
      </c>
      <c r="E56" s="10">
        <v>23</v>
      </c>
      <c r="F56" t="s">
        <v>1415</v>
      </c>
      <c r="G56" t="s">
        <v>642</v>
      </c>
      <c r="H56" t="s">
        <v>652</v>
      </c>
      <c r="I56" t="s">
        <v>674</v>
      </c>
      <c r="J56" t="s">
        <v>778</v>
      </c>
      <c r="K56">
        <v>6</v>
      </c>
      <c r="L56" s="3">
        <v>107.03</v>
      </c>
      <c r="M56" s="3">
        <v>242.29</v>
      </c>
      <c r="N56" s="3" t="str">
        <f>IF(Table1_1[[#This Row],[UnitPrice]]&lt;=816.08,"low",IF(Table1_1[[#This Row],[UnitPrice]]&lt;=1640.06,"medium","high"))</f>
        <v>low</v>
      </c>
      <c r="O56" s="4">
        <v>0.18</v>
      </c>
      <c r="P56" s="3">
        <v>1192.0668000000001</v>
      </c>
      <c r="Q56" s="3">
        <v>642.18000000000006</v>
      </c>
      <c r="R56" s="4">
        <v>0.46128857879440999</v>
      </c>
      <c r="S56" t="s">
        <v>662</v>
      </c>
      <c r="T56" s="3">
        <v>549.88679999999999</v>
      </c>
      <c r="U56" t="s">
        <v>1440</v>
      </c>
      <c r="V56" s="13" t="str">
        <f>TEXT(Table1_1[[#This Row],[OrderDate]],"MM YYYY")</f>
        <v>12 2024</v>
      </c>
      <c r="W56" s="11" t="str">
        <f>TEXT(Table1_1[[#This Row],[OrderDate]],"MM")</f>
        <v>12</v>
      </c>
      <c r="X56" s="11"/>
    </row>
    <row r="57" spans="1:24" x14ac:dyDescent="0.25">
      <c r="A57" t="s">
        <v>451</v>
      </c>
      <c r="B57" s="2">
        <v>45374</v>
      </c>
      <c r="C57" s="2">
        <v>45377</v>
      </c>
      <c r="D57" t="s">
        <v>1413</v>
      </c>
      <c r="E57" s="10">
        <v>3</v>
      </c>
      <c r="F57" t="s">
        <v>1388</v>
      </c>
      <c r="G57" t="s">
        <v>643</v>
      </c>
      <c r="H57" t="s">
        <v>652</v>
      </c>
      <c r="I57" t="s">
        <v>671</v>
      </c>
      <c r="J57" t="s">
        <v>1115</v>
      </c>
      <c r="K57">
        <v>38</v>
      </c>
      <c r="L57" s="3">
        <v>382.21</v>
      </c>
      <c r="M57" s="3">
        <v>571.89</v>
      </c>
      <c r="N57" s="3" t="str">
        <f>IF(Table1_1[[#This Row],[UnitPrice]]&lt;=816.08,"low",IF(Table1_1[[#This Row],[UnitPrice]]&lt;=1640.06,"medium","high"))</f>
        <v>low</v>
      </c>
      <c r="O57" s="4">
        <v>0.14799999999999999</v>
      </c>
      <c r="P57" s="3">
        <v>18515.51064</v>
      </c>
      <c r="Q57" s="3">
        <v>14523.98</v>
      </c>
      <c r="R57" s="4">
        <v>0.21557766985788099</v>
      </c>
      <c r="S57" t="s">
        <v>656</v>
      </c>
      <c r="T57" s="3">
        <v>3991.5306400000009</v>
      </c>
      <c r="U57" t="s">
        <v>1433</v>
      </c>
      <c r="V57" s="13" t="str">
        <f>TEXT(Table1_1[[#This Row],[OrderDate]],"MM YYYY")</f>
        <v>03 2024</v>
      </c>
      <c r="W57" s="11" t="str">
        <f>TEXT(Table1_1[[#This Row],[OrderDate]],"MM")</f>
        <v>03</v>
      </c>
      <c r="X57" s="11"/>
    </row>
    <row r="58" spans="1:24" x14ac:dyDescent="0.25">
      <c r="A58" t="s">
        <v>486</v>
      </c>
      <c r="B58" s="2">
        <v>45422</v>
      </c>
      <c r="C58" s="2">
        <v>45428</v>
      </c>
      <c r="D58" t="s">
        <v>1413</v>
      </c>
      <c r="E58" s="10">
        <v>6</v>
      </c>
      <c r="F58" t="s">
        <v>1392</v>
      </c>
      <c r="G58" t="s">
        <v>644</v>
      </c>
      <c r="H58" t="s">
        <v>652</v>
      </c>
      <c r="I58" t="s">
        <v>672</v>
      </c>
      <c r="J58" t="s">
        <v>1150</v>
      </c>
      <c r="K58">
        <v>11</v>
      </c>
      <c r="L58" s="3">
        <v>210.76</v>
      </c>
      <c r="M58" s="3">
        <v>221.58</v>
      </c>
      <c r="N58" s="3" t="str">
        <f>IF(Table1_1[[#This Row],[UnitPrice]]&lt;=816.08,"low",IF(Table1_1[[#This Row],[UnitPrice]]&lt;=1640.06,"medium","high"))</f>
        <v>low</v>
      </c>
      <c r="O58" s="4">
        <v>8.8999999999999996E-2</v>
      </c>
      <c r="P58" s="3">
        <v>2220.45318</v>
      </c>
      <c r="Q58" s="3">
        <v>2318.3599999999997</v>
      </c>
      <c r="R58" s="4">
        <v>-4.4093170205912503E-2</v>
      </c>
      <c r="S58" t="s">
        <v>656</v>
      </c>
      <c r="T58" s="3">
        <v>-97.906819999999698</v>
      </c>
      <c r="U58" t="s">
        <v>1436</v>
      </c>
      <c r="V58" s="13" t="str">
        <f>TEXT(Table1_1[[#This Row],[OrderDate]],"MM YYYY")</f>
        <v>05 2024</v>
      </c>
      <c r="W58" s="11" t="str">
        <f>TEXT(Table1_1[[#This Row],[OrderDate]],"MM")</f>
        <v>05</v>
      </c>
      <c r="X58" s="11"/>
    </row>
    <row r="59" spans="1:24" x14ac:dyDescent="0.25">
      <c r="A59" t="s">
        <v>126</v>
      </c>
      <c r="B59" s="2">
        <v>44987</v>
      </c>
      <c r="C59" s="2">
        <v>44990</v>
      </c>
      <c r="D59" t="s">
        <v>1413</v>
      </c>
      <c r="E59" s="10">
        <v>3</v>
      </c>
      <c r="F59" t="s">
        <v>1416</v>
      </c>
      <c r="G59" t="s">
        <v>647</v>
      </c>
      <c r="H59" t="s">
        <v>652</v>
      </c>
      <c r="I59" t="s">
        <v>673</v>
      </c>
      <c r="J59" t="s">
        <v>790</v>
      </c>
      <c r="K59">
        <v>8</v>
      </c>
      <c r="L59" s="3">
        <v>1473.58</v>
      </c>
      <c r="M59" s="3">
        <v>3436.52</v>
      </c>
      <c r="N59" s="3" t="str">
        <f>IF(Table1_1[[#This Row],[UnitPrice]]&lt;=816.08,"low",IF(Table1_1[[#This Row],[UnitPrice]]&lt;=1640.06,"medium","high"))</f>
        <v>high</v>
      </c>
      <c r="O59" s="4">
        <v>0.108</v>
      </c>
      <c r="P59" s="3">
        <v>24523.006720000001</v>
      </c>
      <c r="Q59" s="3">
        <v>11788.64</v>
      </c>
      <c r="R59" s="4">
        <v>0.51928243813652597</v>
      </c>
      <c r="S59" t="s">
        <v>656</v>
      </c>
      <c r="T59" s="3">
        <v>12734.366720000002</v>
      </c>
      <c r="U59" t="s">
        <v>1432</v>
      </c>
      <c r="V59" s="13" t="str">
        <f>TEXT(Table1_1[[#This Row],[OrderDate]],"MM YYYY")</f>
        <v>03 2023</v>
      </c>
      <c r="W59" s="11" t="str">
        <f>TEXT(Table1_1[[#This Row],[OrderDate]],"MM")</f>
        <v>03</v>
      </c>
      <c r="X59" s="11"/>
    </row>
    <row r="60" spans="1:24" x14ac:dyDescent="0.25">
      <c r="A60" t="s">
        <v>268</v>
      </c>
      <c r="B60" s="2">
        <v>45835</v>
      </c>
      <c r="C60" s="2">
        <v>45843</v>
      </c>
      <c r="D60" t="s">
        <v>1413</v>
      </c>
      <c r="E60" s="10">
        <v>8</v>
      </c>
      <c r="F60" t="s">
        <v>1400</v>
      </c>
      <c r="G60" t="s">
        <v>646</v>
      </c>
      <c r="H60" t="s">
        <v>652</v>
      </c>
      <c r="I60" t="s">
        <v>673</v>
      </c>
      <c r="J60" t="s">
        <v>933</v>
      </c>
      <c r="K60">
        <v>56</v>
      </c>
      <c r="L60" s="3">
        <v>314.93</v>
      </c>
      <c r="M60" s="3">
        <v>687.95</v>
      </c>
      <c r="N60" s="3" t="str">
        <f>IF(Table1_1[[#This Row],[UnitPrice]]&lt;=816.08,"low",IF(Table1_1[[#This Row],[UnitPrice]]&lt;=1640.06,"medium","high"))</f>
        <v>low</v>
      </c>
      <c r="O60" s="4">
        <v>0.20499999999999999</v>
      </c>
      <c r="P60" s="3">
        <v>30627.534000000003</v>
      </c>
      <c r="Q60" s="3">
        <v>17636.080000000002</v>
      </c>
      <c r="R60" s="4">
        <v>0.424175645352316</v>
      </c>
      <c r="S60" t="s">
        <v>656</v>
      </c>
      <c r="T60" s="3">
        <v>12991.454000000002</v>
      </c>
      <c r="U60" t="s">
        <v>1431</v>
      </c>
      <c r="V60" s="13" t="str">
        <f>TEXT(Table1_1[[#This Row],[OrderDate]],"MM YYYY")</f>
        <v>06 2025</v>
      </c>
      <c r="W60" s="11" t="str">
        <f>TEXT(Table1_1[[#This Row],[OrderDate]],"MM")</f>
        <v>06</v>
      </c>
      <c r="X60" s="11"/>
    </row>
    <row r="61" spans="1:24" x14ac:dyDescent="0.25">
      <c r="A61" t="s">
        <v>494</v>
      </c>
      <c r="B61" s="2">
        <v>45148</v>
      </c>
      <c r="C61" s="2">
        <v>45153</v>
      </c>
      <c r="D61" t="s">
        <v>1413</v>
      </c>
      <c r="E61" s="10">
        <v>5</v>
      </c>
      <c r="F61" t="s">
        <v>1417</v>
      </c>
      <c r="G61" t="s">
        <v>643</v>
      </c>
      <c r="H61" t="s">
        <v>652</v>
      </c>
      <c r="I61" t="s">
        <v>670</v>
      </c>
      <c r="J61" t="s">
        <v>1158</v>
      </c>
      <c r="K61">
        <v>4</v>
      </c>
      <c r="L61" s="3">
        <v>1307.52</v>
      </c>
      <c r="M61" s="3">
        <v>1921.65</v>
      </c>
      <c r="N61" s="3" t="str">
        <f>IF(Table1_1[[#This Row],[UnitPrice]]&lt;=816.08,"low",IF(Table1_1[[#This Row],[UnitPrice]]&lt;=1640.06,"medium","high"))</f>
        <v>high</v>
      </c>
      <c r="O61" s="4">
        <v>0.123</v>
      </c>
      <c r="P61" s="3">
        <v>6741.1482000000005</v>
      </c>
      <c r="Q61" s="3">
        <v>5230.08</v>
      </c>
      <c r="R61" s="4">
        <v>0.224155908632894</v>
      </c>
      <c r="S61" t="s">
        <v>656</v>
      </c>
      <c r="T61" s="3">
        <v>1511.0682000000006</v>
      </c>
      <c r="U61" t="s">
        <v>1430</v>
      </c>
      <c r="V61" s="13" t="str">
        <f>TEXT(Table1_1[[#This Row],[OrderDate]],"MM YYYY")</f>
        <v>08 2023</v>
      </c>
      <c r="W61" s="11" t="str">
        <f>TEXT(Table1_1[[#This Row],[OrderDate]],"MM")</f>
        <v>08</v>
      </c>
      <c r="X61" s="11"/>
    </row>
    <row r="62" spans="1:24" x14ac:dyDescent="0.25">
      <c r="A62" t="s">
        <v>458</v>
      </c>
      <c r="B62" s="2">
        <v>45446</v>
      </c>
      <c r="C62" s="2">
        <v>45467</v>
      </c>
      <c r="D62" t="s">
        <v>1413</v>
      </c>
      <c r="E62" s="10">
        <v>21</v>
      </c>
      <c r="F62" t="s">
        <v>1414</v>
      </c>
      <c r="G62" t="s">
        <v>646</v>
      </c>
      <c r="H62" t="s">
        <v>652</v>
      </c>
      <c r="I62" t="s">
        <v>673</v>
      </c>
      <c r="J62" t="s">
        <v>1122</v>
      </c>
      <c r="K62">
        <v>20</v>
      </c>
      <c r="L62" s="3">
        <v>1205.5</v>
      </c>
      <c r="M62" s="3">
        <v>2210.17</v>
      </c>
      <c r="N62" s="3" t="str">
        <f>IF(Table1_1[[#This Row],[UnitPrice]]&lt;=816.08,"low",IF(Table1_1[[#This Row],[UnitPrice]]&lt;=1640.06,"medium","high"))</f>
        <v>high</v>
      </c>
      <c r="O62" s="4">
        <v>0.104</v>
      </c>
      <c r="P62" s="3">
        <v>39606.246400000004</v>
      </c>
      <c r="Q62" s="3">
        <v>24110</v>
      </c>
      <c r="R62" s="4">
        <v>0.39125763758314602</v>
      </c>
      <c r="S62" t="s">
        <v>656</v>
      </c>
      <c r="T62" s="3">
        <v>15496.246400000004</v>
      </c>
      <c r="U62" t="s">
        <v>1436</v>
      </c>
      <c r="V62" s="13" t="str">
        <f>TEXT(Table1_1[[#This Row],[OrderDate]],"MM YYYY")</f>
        <v>06 2024</v>
      </c>
      <c r="W62" s="11" t="str">
        <f>TEXT(Table1_1[[#This Row],[OrderDate]],"MM")</f>
        <v>06</v>
      </c>
      <c r="X62" s="11"/>
    </row>
    <row r="63" spans="1:24" x14ac:dyDescent="0.25">
      <c r="A63" t="s">
        <v>142</v>
      </c>
      <c r="B63" s="2">
        <v>45719</v>
      </c>
      <c r="C63" s="2">
        <v>45740</v>
      </c>
      <c r="D63" t="s">
        <v>1413</v>
      </c>
      <c r="E63" s="10">
        <v>21</v>
      </c>
      <c r="F63" t="s">
        <v>1389</v>
      </c>
      <c r="G63" t="s">
        <v>647</v>
      </c>
      <c r="H63" t="s">
        <v>652</v>
      </c>
      <c r="I63" t="s">
        <v>674</v>
      </c>
      <c r="J63" t="s">
        <v>806</v>
      </c>
      <c r="K63">
        <v>12</v>
      </c>
      <c r="L63" s="3">
        <v>555.95000000000005</v>
      </c>
      <c r="M63" s="3">
        <v>468.09</v>
      </c>
      <c r="N63" s="3" t="str">
        <f>IF(Table1_1[[#This Row],[UnitPrice]]&lt;=816.08,"low",IF(Table1_1[[#This Row],[UnitPrice]]&lt;=1640.06,"medium","high"))</f>
        <v>low</v>
      </c>
      <c r="O63" s="4">
        <v>0.14199999999999999</v>
      </c>
      <c r="P63" s="3">
        <v>4819.4546399999999</v>
      </c>
      <c r="Q63" s="3">
        <v>6671.4000000000005</v>
      </c>
      <c r="R63" s="4">
        <v>-0.38426450674095403</v>
      </c>
      <c r="S63" t="s">
        <v>663</v>
      </c>
      <c r="T63" s="3">
        <v>-1851.9453600000006</v>
      </c>
      <c r="U63" t="s">
        <v>1434</v>
      </c>
      <c r="V63" s="13" t="str">
        <f>TEXT(Table1_1[[#This Row],[OrderDate]],"MM YYYY")</f>
        <v>03 2025</v>
      </c>
      <c r="W63" s="11" t="str">
        <f>TEXT(Table1_1[[#This Row],[OrderDate]],"MM")</f>
        <v>03</v>
      </c>
      <c r="X63" s="11"/>
    </row>
    <row r="64" spans="1:24" x14ac:dyDescent="0.25">
      <c r="A64" t="s">
        <v>260</v>
      </c>
      <c r="B64" s="2">
        <v>45537</v>
      </c>
      <c r="C64" s="2">
        <v>45543</v>
      </c>
      <c r="D64" t="s">
        <v>1413</v>
      </c>
      <c r="E64" s="10">
        <v>6</v>
      </c>
      <c r="F64" t="s">
        <v>1420</v>
      </c>
      <c r="G64" t="s">
        <v>645</v>
      </c>
      <c r="H64" t="s">
        <v>652</v>
      </c>
      <c r="I64" t="s">
        <v>668</v>
      </c>
      <c r="J64" t="s">
        <v>925</v>
      </c>
      <c r="K64">
        <v>11</v>
      </c>
      <c r="L64" s="3">
        <v>462.94</v>
      </c>
      <c r="M64" s="3">
        <v>1015.7</v>
      </c>
      <c r="N64" s="3" t="str">
        <f>IF(Table1_1[[#This Row],[UnitPrice]]&lt;=816.08,"low",IF(Table1_1[[#This Row],[UnitPrice]]&lt;=1640.06,"medium","high"))</f>
        <v>medium</v>
      </c>
      <c r="O64" s="4">
        <v>0.14299999999999999</v>
      </c>
      <c r="P64" s="3">
        <v>9575.0038999999997</v>
      </c>
      <c r="Q64" s="3">
        <v>5092.34</v>
      </c>
      <c r="R64" s="4">
        <v>0.46816314090483002</v>
      </c>
      <c r="S64" t="s">
        <v>663</v>
      </c>
      <c r="T64" s="3">
        <v>4482.6638999999996</v>
      </c>
      <c r="U64" t="s">
        <v>1437</v>
      </c>
      <c r="V64" s="13" t="str">
        <f>TEXT(Table1_1[[#This Row],[OrderDate]],"MM YYYY")</f>
        <v>09 2024</v>
      </c>
      <c r="W64" s="11" t="str">
        <f>TEXT(Table1_1[[#This Row],[OrderDate]],"MM")</f>
        <v>09</v>
      </c>
      <c r="X64" s="11"/>
    </row>
    <row r="65" spans="1:24" x14ac:dyDescent="0.25">
      <c r="A65" t="s">
        <v>424</v>
      </c>
      <c r="B65" s="2">
        <v>45449</v>
      </c>
      <c r="C65" s="2">
        <v>45467</v>
      </c>
      <c r="D65" t="s">
        <v>1413</v>
      </c>
      <c r="E65" s="10">
        <v>18</v>
      </c>
      <c r="F65" t="s">
        <v>1388</v>
      </c>
      <c r="G65" t="s">
        <v>646</v>
      </c>
      <c r="H65" t="s">
        <v>652</v>
      </c>
      <c r="I65" t="s">
        <v>670</v>
      </c>
      <c r="J65" t="s">
        <v>1088</v>
      </c>
      <c r="K65">
        <v>51</v>
      </c>
      <c r="L65" s="3">
        <v>1253.25</v>
      </c>
      <c r="M65" s="3">
        <v>3087.13</v>
      </c>
      <c r="N65" s="3" t="str">
        <f>IF(Table1_1[[#This Row],[UnitPrice]]&lt;=816.08,"low",IF(Table1_1[[#This Row],[UnitPrice]]&lt;=1640.06,"medium","high"))</f>
        <v>high</v>
      </c>
      <c r="O65" s="4">
        <v>7.1999999999999995E-2</v>
      </c>
      <c r="P65" s="3">
        <v>146107.68864000001</v>
      </c>
      <c r="Q65" s="3">
        <v>63915.75</v>
      </c>
      <c r="R65" s="4">
        <v>0.562543555408064</v>
      </c>
      <c r="S65" t="s">
        <v>663</v>
      </c>
      <c r="T65" s="3">
        <v>82191.938640000008</v>
      </c>
      <c r="U65" t="s">
        <v>1436</v>
      </c>
      <c r="V65" s="13" t="str">
        <f>TEXT(Table1_1[[#This Row],[OrderDate]],"MM YYYY")</f>
        <v>06 2024</v>
      </c>
      <c r="W65" s="11" t="str">
        <f>TEXT(Table1_1[[#This Row],[OrderDate]],"MM")</f>
        <v>06</v>
      </c>
      <c r="X65" s="11"/>
    </row>
    <row r="66" spans="1:24" x14ac:dyDescent="0.25">
      <c r="A66" t="s">
        <v>110</v>
      </c>
      <c r="B66" s="2">
        <v>44985</v>
      </c>
      <c r="C66" s="2">
        <v>45005</v>
      </c>
      <c r="D66" t="s">
        <v>1413</v>
      </c>
      <c r="E66" s="10">
        <v>20</v>
      </c>
      <c r="F66" t="s">
        <v>1390</v>
      </c>
      <c r="G66" t="s">
        <v>646</v>
      </c>
      <c r="H66" t="s">
        <v>652</v>
      </c>
      <c r="I66" t="s">
        <v>672</v>
      </c>
      <c r="J66" t="s">
        <v>774</v>
      </c>
      <c r="K66">
        <v>40</v>
      </c>
      <c r="L66" s="3">
        <v>1200.78</v>
      </c>
      <c r="M66" s="3">
        <v>2001.17</v>
      </c>
      <c r="N66" s="3" t="str">
        <f>IF(Table1_1[[#This Row],[UnitPrice]]&lt;=816.08,"low",IF(Table1_1[[#This Row],[UnitPrice]]&lt;=1640.06,"medium","high"))</f>
        <v>high</v>
      </c>
      <c r="O66" s="4">
        <v>0.29199999999999998</v>
      </c>
      <c r="P66" s="3">
        <v>56673.134400000003</v>
      </c>
      <c r="Q66" s="3">
        <v>48031.199999999997</v>
      </c>
      <c r="R66" s="4">
        <v>0.152487320341329</v>
      </c>
      <c r="S66" t="s">
        <v>663</v>
      </c>
      <c r="T66" s="3">
        <v>8641.9344000000056</v>
      </c>
      <c r="U66" t="s">
        <v>1432</v>
      </c>
      <c r="V66" s="13" t="str">
        <f>TEXT(Table1_1[[#This Row],[OrderDate]],"MM YYYY")</f>
        <v>02 2023</v>
      </c>
      <c r="W66" s="11" t="str">
        <f>TEXT(Table1_1[[#This Row],[OrderDate]],"MM")</f>
        <v>02</v>
      </c>
      <c r="X66" s="11"/>
    </row>
    <row r="67" spans="1:24" x14ac:dyDescent="0.25">
      <c r="A67" t="s">
        <v>210</v>
      </c>
      <c r="B67" s="2">
        <v>44939</v>
      </c>
      <c r="C67" s="2">
        <v>44945</v>
      </c>
      <c r="D67" t="s">
        <v>1413</v>
      </c>
      <c r="E67" s="10">
        <v>6</v>
      </c>
      <c r="F67" t="s">
        <v>1422</v>
      </c>
      <c r="G67" t="s">
        <v>642</v>
      </c>
      <c r="H67" t="s">
        <v>652</v>
      </c>
      <c r="I67" t="s">
        <v>671</v>
      </c>
      <c r="J67" t="s">
        <v>875</v>
      </c>
      <c r="K67">
        <v>13</v>
      </c>
      <c r="L67" s="3">
        <v>833.57</v>
      </c>
      <c r="M67" s="3">
        <v>881.57</v>
      </c>
      <c r="N67" s="3" t="str">
        <f>IF(Table1_1[[#This Row],[UnitPrice]]&lt;=816.08,"low",IF(Table1_1[[#This Row],[UnitPrice]]&lt;=1640.06,"medium","high"))</f>
        <v>medium</v>
      </c>
      <c r="O67" s="4">
        <v>5.7000000000000002E-2</v>
      </c>
      <c r="P67" s="3">
        <v>10807.16663</v>
      </c>
      <c r="Q67" s="3">
        <v>10836.41</v>
      </c>
      <c r="R67" s="4">
        <v>-2.70592385601074E-3</v>
      </c>
      <c r="S67" t="s">
        <v>663</v>
      </c>
      <c r="T67" s="3">
        <v>-29.243370000000141</v>
      </c>
      <c r="U67" t="s">
        <v>1432</v>
      </c>
      <c r="V67" s="13" t="str">
        <f>TEXT(Table1_1[[#This Row],[OrderDate]],"MM YYYY")</f>
        <v>01 2023</v>
      </c>
      <c r="W67" s="11" t="str">
        <f>TEXT(Table1_1[[#This Row],[OrderDate]],"MM")</f>
        <v>01</v>
      </c>
      <c r="X67" s="11"/>
    </row>
    <row r="68" spans="1:24" x14ac:dyDescent="0.25">
      <c r="A68" t="s">
        <v>282</v>
      </c>
      <c r="B68" s="2">
        <v>45382</v>
      </c>
      <c r="C68" s="2">
        <v>45399</v>
      </c>
      <c r="D68" t="s">
        <v>1413</v>
      </c>
      <c r="E68" s="10">
        <v>17</v>
      </c>
      <c r="F68" t="s">
        <v>1410</v>
      </c>
      <c r="G68" t="s">
        <v>643</v>
      </c>
      <c r="H68" t="s">
        <v>652</v>
      </c>
      <c r="I68" t="s">
        <v>673</v>
      </c>
      <c r="J68" t="s">
        <v>947</v>
      </c>
      <c r="K68">
        <v>16</v>
      </c>
      <c r="L68" s="3">
        <v>1025.51</v>
      </c>
      <c r="M68" s="3">
        <v>1436.54</v>
      </c>
      <c r="N68" s="3" t="str">
        <f>IF(Table1_1[[#This Row],[UnitPrice]]&lt;=816.08,"low",IF(Table1_1[[#This Row],[UnitPrice]]&lt;=1640.06,"medium","high"))</f>
        <v>medium</v>
      </c>
      <c r="O68" s="4">
        <v>0.13900000000000001</v>
      </c>
      <c r="P68" s="3">
        <v>19789.77504</v>
      </c>
      <c r="Q68" s="3">
        <v>16408.16</v>
      </c>
      <c r="R68" s="4">
        <v>0.170876881276565</v>
      </c>
      <c r="S68" t="s">
        <v>663</v>
      </c>
      <c r="T68" s="3">
        <v>3381.6150400000006</v>
      </c>
      <c r="U68" t="s">
        <v>1433</v>
      </c>
      <c r="V68" s="13" t="str">
        <f>TEXT(Table1_1[[#This Row],[OrderDate]],"MM YYYY")</f>
        <v>03 2024</v>
      </c>
      <c r="W68" s="11" t="str">
        <f>TEXT(Table1_1[[#This Row],[OrderDate]],"MM")</f>
        <v>03</v>
      </c>
      <c r="X68" s="11"/>
    </row>
    <row r="69" spans="1:24" x14ac:dyDescent="0.25">
      <c r="A69" t="s">
        <v>267</v>
      </c>
      <c r="B69" s="2">
        <v>45035</v>
      </c>
      <c r="C69" s="2">
        <v>45053</v>
      </c>
      <c r="D69" t="s">
        <v>1413</v>
      </c>
      <c r="E69" s="10">
        <v>18</v>
      </c>
      <c r="F69" t="s">
        <v>1399</v>
      </c>
      <c r="G69" t="s">
        <v>644</v>
      </c>
      <c r="H69" t="s">
        <v>652</v>
      </c>
      <c r="I69" t="s">
        <v>670</v>
      </c>
      <c r="J69" t="s">
        <v>932</v>
      </c>
      <c r="K69">
        <v>13</v>
      </c>
      <c r="L69" s="3">
        <v>516.96</v>
      </c>
      <c r="M69" s="3">
        <v>745.38</v>
      </c>
      <c r="N69" s="3" t="str">
        <f>IF(Table1_1[[#This Row],[UnitPrice]]&lt;=816.08,"low",IF(Table1_1[[#This Row],[UnitPrice]]&lt;=1640.06,"medium","high"))</f>
        <v>low</v>
      </c>
      <c r="O69" s="4">
        <v>0.19700000000000001</v>
      </c>
      <c r="P69" s="3">
        <v>7781.0218199999999</v>
      </c>
      <c r="Q69" s="3">
        <v>6720.4800000000005</v>
      </c>
      <c r="R69" s="4">
        <v>0.13629852794835101</v>
      </c>
      <c r="S69" t="s">
        <v>663</v>
      </c>
      <c r="T69" s="3">
        <v>1060.5418199999995</v>
      </c>
      <c r="U69" t="s">
        <v>1435</v>
      </c>
      <c r="V69" s="13" t="str">
        <f>TEXT(Table1_1[[#This Row],[OrderDate]],"MM YYYY")</f>
        <v>04 2023</v>
      </c>
      <c r="W69" s="11" t="str">
        <f>TEXT(Table1_1[[#This Row],[OrderDate]],"MM")</f>
        <v>04</v>
      </c>
      <c r="X69" s="11"/>
    </row>
    <row r="70" spans="1:24" x14ac:dyDescent="0.25">
      <c r="A70" t="s">
        <v>132</v>
      </c>
      <c r="B70" s="2">
        <v>45249</v>
      </c>
      <c r="C70" s="2">
        <v>45273</v>
      </c>
      <c r="D70" t="s">
        <v>1413</v>
      </c>
      <c r="E70" s="10">
        <v>24</v>
      </c>
      <c r="F70" t="s">
        <v>1396</v>
      </c>
      <c r="G70" t="s">
        <v>644</v>
      </c>
      <c r="H70" t="s">
        <v>652</v>
      </c>
      <c r="I70" t="s">
        <v>673</v>
      </c>
      <c r="J70" t="s">
        <v>796</v>
      </c>
      <c r="K70">
        <v>18</v>
      </c>
      <c r="L70" s="3">
        <v>1297.42</v>
      </c>
      <c r="M70" s="3">
        <v>2742.97</v>
      </c>
      <c r="N70" s="3" t="str">
        <f>IF(Table1_1[[#This Row],[UnitPrice]]&lt;=816.08,"low",IF(Table1_1[[#This Row],[UnitPrice]]&lt;=1640.06,"medium","high"))</f>
        <v>high</v>
      </c>
      <c r="O70" s="4">
        <v>6.9000000000000006E-2</v>
      </c>
      <c r="P70" s="3">
        <v>45966.69126</v>
      </c>
      <c r="Q70" s="3">
        <v>23353.56</v>
      </c>
      <c r="R70" s="4">
        <v>0.49194602961727302</v>
      </c>
      <c r="S70" t="s">
        <v>663</v>
      </c>
      <c r="T70" s="3">
        <v>22613.131259999998</v>
      </c>
      <c r="U70" t="s">
        <v>1439</v>
      </c>
      <c r="V70" s="13" t="str">
        <f>TEXT(Table1_1[[#This Row],[OrderDate]],"MM YYYY")</f>
        <v>11 2023</v>
      </c>
      <c r="W70" s="11" t="str">
        <f>TEXT(Table1_1[[#This Row],[OrderDate]],"MM")</f>
        <v>11</v>
      </c>
      <c r="X70" s="11"/>
    </row>
    <row r="71" spans="1:24" x14ac:dyDescent="0.25">
      <c r="A71" t="s">
        <v>343</v>
      </c>
      <c r="B71" s="2">
        <v>45245</v>
      </c>
      <c r="C71" s="2">
        <v>45266</v>
      </c>
      <c r="D71" t="s">
        <v>1413</v>
      </c>
      <c r="E71" s="10">
        <v>21</v>
      </c>
      <c r="F71" t="s">
        <v>1406</v>
      </c>
      <c r="G71" t="s">
        <v>643</v>
      </c>
      <c r="H71" t="s">
        <v>652</v>
      </c>
      <c r="I71" t="s">
        <v>674</v>
      </c>
      <c r="J71" t="s">
        <v>1008</v>
      </c>
      <c r="K71">
        <v>5</v>
      </c>
      <c r="L71" s="3">
        <v>1184.99</v>
      </c>
      <c r="M71" s="3">
        <v>1154.3399999999999</v>
      </c>
      <c r="N71" s="3" t="str">
        <f>IF(Table1_1[[#This Row],[UnitPrice]]&lt;=816.08,"low",IF(Table1_1[[#This Row],[UnitPrice]]&lt;=1640.06,"medium","high"))</f>
        <v>medium</v>
      </c>
      <c r="O71" s="4">
        <v>2.8000000000000001E-2</v>
      </c>
      <c r="P71" s="3">
        <v>5610.0923999999995</v>
      </c>
      <c r="Q71" s="3">
        <v>5924.95</v>
      </c>
      <c r="R71" s="4">
        <v>-5.6123424990290799E-2</v>
      </c>
      <c r="S71" t="s">
        <v>663</v>
      </c>
      <c r="T71" s="3">
        <v>-314.85760000000028</v>
      </c>
      <c r="U71" t="s">
        <v>1439</v>
      </c>
      <c r="V71" s="13" t="str">
        <f>TEXT(Table1_1[[#This Row],[OrderDate]],"MM YYYY")</f>
        <v>11 2023</v>
      </c>
      <c r="W71" s="11" t="str">
        <f>TEXT(Table1_1[[#This Row],[OrderDate]],"MM")</f>
        <v>11</v>
      </c>
      <c r="X71" s="11"/>
    </row>
    <row r="72" spans="1:24" x14ac:dyDescent="0.25">
      <c r="A72" t="s">
        <v>53</v>
      </c>
      <c r="B72" s="2">
        <v>45590</v>
      </c>
      <c r="C72" s="2">
        <v>45610</v>
      </c>
      <c r="D72" t="s">
        <v>1413</v>
      </c>
      <c r="E72" s="10">
        <v>20</v>
      </c>
      <c r="F72" t="s">
        <v>1393</v>
      </c>
      <c r="G72" t="s">
        <v>642</v>
      </c>
      <c r="H72" t="s">
        <v>652</v>
      </c>
      <c r="I72" t="s">
        <v>669</v>
      </c>
      <c r="J72" t="s">
        <v>717</v>
      </c>
      <c r="K72">
        <v>9</v>
      </c>
      <c r="L72" s="3">
        <v>1396.48</v>
      </c>
      <c r="M72" s="3">
        <v>3204.5</v>
      </c>
      <c r="N72" s="3" t="str">
        <f>IF(Table1_1[[#This Row],[UnitPrice]]&lt;=816.08,"low",IF(Table1_1[[#This Row],[UnitPrice]]&lt;=1640.06,"medium","high"))</f>
        <v>high</v>
      </c>
      <c r="O72" s="4">
        <v>0.318</v>
      </c>
      <c r="P72" s="3">
        <v>19669.220999999998</v>
      </c>
      <c r="Q72" s="3">
        <v>12568.32</v>
      </c>
      <c r="R72" s="4">
        <v>0.36101587348070402</v>
      </c>
      <c r="S72" t="s">
        <v>663</v>
      </c>
      <c r="T72" s="3">
        <v>7100.900999999998</v>
      </c>
      <c r="U72" t="s">
        <v>1440</v>
      </c>
      <c r="V72" s="13" t="str">
        <f>TEXT(Table1_1[[#This Row],[OrderDate]],"MM YYYY")</f>
        <v>10 2024</v>
      </c>
      <c r="W72" s="11" t="str">
        <f>TEXT(Table1_1[[#This Row],[OrderDate]],"MM")</f>
        <v>10</v>
      </c>
      <c r="X72" s="11"/>
    </row>
    <row r="73" spans="1:24" x14ac:dyDescent="0.25">
      <c r="A73" t="s">
        <v>519</v>
      </c>
      <c r="B73" s="2">
        <v>45608</v>
      </c>
      <c r="C73" s="2">
        <v>45617</v>
      </c>
      <c r="D73" t="s">
        <v>1413</v>
      </c>
      <c r="E73" s="10">
        <v>9</v>
      </c>
      <c r="F73" t="s">
        <v>1405</v>
      </c>
      <c r="G73" t="s">
        <v>642</v>
      </c>
      <c r="H73" t="s">
        <v>652</v>
      </c>
      <c r="I73" t="s">
        <v>672</v>
      </c>
      <c r="J73" t="s">
        <v>1183</v>
      </c>
      <c r="K73">
        <v>12</v>
      </c>
      <c r="L73" s="3">
        <v>903.41</v>
      </c>
      <c r="M73" s="3">
        <v>1860.41</v>
      </c>
      <c r="N73" s="3" t="str">
        <f>IF(Table1_1[[#This Row],[UnitPrice]]&lt;=816.08,"low",IF(Table1_1[[#This Row],[UnitPrice]]&lt;=1640.06,"medium","high"))</f>
        <v>high</v>
      </c>
      <c r="O73" s="4">
        <v>0.108</v>
      </c>
      <c r="P73" s="3">
        <v>19913.828640000003</v>
      </c>
      <c r="Q73" s="3">
        <v>10840.92</v>
      </c>
      <c r="R73" s="4">
        <v>0.455608451996803</v>
      </c>
      <c r="S73" t="s">
        <v>663</v>
      </c>
      <c r="T73" s="3">
        <v>9072.9086400000033</v>
      </c>
      <c r="U73" t="s">
        <v>1440</v>
      </c>
      <c r="V73" s="13" t="str">
        <f>TEXT(Table1_1[[#This Row],[OrderDate]],"MM YYYY")</f>
        <v>11 2024</v>
      </c>
      <c r="W73" s="11" t="str">
        <f>TEXT(Table1_1[[#This Row],[OrderDate]],"MM")</f>
        <v>11</v>
      </c>
      <c r="X73" s="11"/>
    </row>
    <row r="74" spans="1:24" x14ac:dyDescent="0.25">
      <c r="A74" t="s">
        <v>430</v>
      </c>
      <c r="B74" s="2">
        <v>45211</v>
      </c>
      <c r="C74" s="2">
        <v>45228</v>
      </c>
      <c r="D74" t="s">
        <v>1413</v>
      </c>
      <c r="E74" s="10">
        <v>17</v>
      </c>
      <c r="F74" t="s">
        <v>1407</v>
      </c>
      <c r="G74" t="s">
        <v>644</v>
      </c>
      <c r="H74" t="s">
        <v>652</v>
      </c>
      <c r="I74" t="s">
        <v>671</v>
      </c>
      <c r="J74" t="s">
        <v>1094</v>
      </c>
      <c r="K74">
        <v>17</v>
      </c>
      <c r="L74" s="3">
        <v>1102.19</v>
      </c>
      <c r="M74" s="3">
        <v>1711.16</v>
      </c>
      <c r="N74" s="3" t="str">
        <f>IF(Table1_1[[#This Row],[UnitPrice]]&lt;=816.08,"low",IF(Table1_1[[#This Row],[UnitPrice]]&lt;=1640.06,"medium","high"))</f>
        <v>high</v>
      </c>
      <c r="O74" s="4">
        <v>0.151</v>
      </c>
      <c r="P74" s="3">
        <v>24697.172279999999</v>
      </c>
      <c r="Q74" s="3">
        <v>18737.23</v>
      </c>
      <c r="R74" s="4">
        <v>0.241320836751275</v>
      </c>
      <c r="S74" t="s">
        <v>663</v>
      </c>
      <c r="T74" s="3">
        <v>5959.9422799999993</v>
      </c>
      <c r="U74" t="s">
        <v>1439</v>
      </c>
      <c r="V74" s="13" t="str">
        <f>TEXT(Table1_1[[#This Row],[OrderDate]],"MM YYYY")</f>
        <v>10 2023</v>
      </c>
      <c r="W74" s="11" t="str">
        <f>TEXT(Table1_1[[#This Row],[OrderDate]],"MM")</f>
        <v>10</v>
      </c>
      <c r="X74" s="11"/>
    </row>
    <row r="75" spans="1:24" x14ac:dyDescent="0.25">
      <c r="A75" t="s">
        <v>569</v>
      </c>
      <c r="B75" s="2">
        <v>45430</v>
      </c>
      <c r="C75" s="2">
        <v>45434</v>
      </c>
      <c r="D75" t="s">
        <v>1413</v>
      </c>
      <c r="E75" s="10">
        <v>4</v>
      </c>
      <c r="F75" t="s">
        <v>1385</v>
      </c>
      <c r="G75" t="s">
        <v>642</v>
      </c>
      <c r="H75" t="s">
        <v>652</v>
      </c>
      <c r="I75" t="s">
        <v>674</v>
      </c>
      <c r="J75" t="s">
        <v>1232</v>
      </c>
      <c r="K75">
        <v>18</v>
      </c>
      <c r="L75" s="3">
        <v>857.42</v>
      </c>
      <c r="M75" s="3">
        <v>1658.92</v>
      </c>
      <c r="N75" s="3" t="str">
        <f>IF(Table1_1[[#This Row],[UnitPrice]]&lt;=816.08,"low",IF(Table1_1[[#This Row],[UnitPrice]]&lt;=1640.06,"medium","high"))</f>
        <v>high</v>
      </c>
      <c r="O75" s="4">
        <v>0.122</v>
      </c>
      <c r="P75" s="3">
        <v>26217.571680000001</v>
      </c>
      <c r="Q75" s="3">
        <v>15433.56</v>
      </c>
      <c r="R75" s="4">
        <v>0.41132763215544299</v>
      </c>
      <c r="S75" t="s">
        <v>663</v>
      </c>
      <c r="T75" s="3">
        <v>10784.011680000001</v>
      </c>
      <c r="U75" t="s">
        <v>1436</v>
      </c>
      <c r="V75" s="13" t="str">
        <f>TEXT(Table1_1[[#This Row],[OrderDate]],"MM YYYY")</f>
        <v>05 2024</v>
      </c>
      <c r="W75" s="11" t="str">
        <f>TEXT(Table1_1[[#This Row],[OrderDate]],"MM")</f>
        <v>05</v>
      </c>
      <c r="X75" s="11"/>
    </row>
    <row r="76" spans="1:24" x14ac:dyDescent="0.25">
      <c r="A76" t="s">
        <v>337</v>
      </c>
      <c r="B76" s="2">
        <v>45087</v>
      </c>
      <c r="C76" s="2">
        <v>45095</v>
      </c>
      <c r="D76" t="s">
        <v>1413</v>
      </c>
      <c r="E76" s="10">
        <v>8</v>
      </c>
      <c r="F76" t="s">
        <v>1395</v>
      </c>
      <c r="G76" t="s">
        <v>647</v>
      </c>
      <c r="H76" t="s">
        <v>652</v>
      </c>
      <c r="I76" t="s">
        <v>671</v>
      </c>
      <c r="J76" t="s">
        <v>1002</v>
      </c>
      <c r="K76">
        <v>5</v>
      </c>
      <c r="L76" s="3">
        <v>894.23</v>
      </c>
      <c r="M76" s="3">
        <v>1421.55</v>
      </c>
      <c r="N76" s="3" t="str">
        <f>IF(Table1_1[[#This Row],[UnitPrice]]&lt;=816.08,"low",IF(Table1_1[[#This Row],[UnitPrice]]&lt;=1640.06,"medium","high"))</f>
        <v>medium</v>
      </c>
      <c r="O76" s="4">
        <v>0.109</v>
      </c>
      <c r="P76" s="3">
        <v>6333.0052500000002</v>
      </c>
      <c r="Q76" s="3">
        <v>4471.1499999999996</v>
      </c>
      <c r="R76" s="4">
        <v>0.29399237431549602</v>
      </c>
      <c r="S76" t="s">
        <v>663</v>
      </c>
      <c r="T76" s="3">
        <v>1861.8552500000005</v>
      </c>
      <c r="U76" t="s">
        <v>1435</v>
      </c>
      <c r="V76" s="13" t="str">
        <f>TEXT(Table1_1[[#This Row],[OrderDate]],"MM YYYY")</f>
        <v>06 2023</v>
      </c>
      <c r="W76" s="11" t="str">
        <f>TEXT(Table1_1[[#This Row],[OrderDate]],"MM")</f>
        <v>06</v>
      </c>
      <c r="X76" s="11"/>
    </row>
    <row r="77" spans="1:24" x14ac:dyDescent="0.25">
      <c r="A77" t="s">
        <v>499</v>
      </c>
      <c r="B77" s="2">
        <v>45792</v>
      </c>
      <c r="C77" s="2">
        <v>45813</v>
      </c>
      <c r="D77" t="s">
        <v>1413</v>
      </c>
      <c r="E77" s="10">
        <v>21</v>
      </c>
      <c r="F77" t="s">
        <v>1387</v>
      </c>
      <c r="G77" t="s">
        <v>647</v>
      </c>
      <c r="H77" t="s">
        <v>652</v>
      </c>
      <c r="I77" t="s">
        <v>671</v>
      </c>
      <c r="J77" t="s">
        <v>1163</v>
      </c>
      <c r="K77">
        <v>7</v>
      </c>
      <c r="L77" s="3">
        <v>1466.5</v>
      </c>
      <c r="M77" s="3">
        <v>2778.74</v>
      </c>
      <c r="N77" s="3" t="str">
        <f>IF(Table1_1[[#This Row],[UnitPrice]]&lt;=816.08,"low",IF(Table1_1[[#This Row],[UnitPrice]]&lt;=1640.06,"medium","high"))</f>
        <v>high</v>
      </c>
      <c r="O77" s="4">
        <v>0.13500000000000001</v>
      </c>
      <c r="P77" s="3">
        <v>16825.270700000001</v>
      </c>
      <c r="Q77" s="3">
        <v>10265.5</v>
      </c>
      <c r="R77" s="4">
        <v>0.38987608680792302</v>
      </c>
      <c r="S77" t="s">
        <v>663</v>
      </c>
      <c r="T77" s="3">
        <v>6559.7707000000009</v>
      </c>
      <c r="U77" t="s">
        <v>1431</v>
      </c>
      <c r="V77" s="13" t="str">
        <f>TEXT(Table1_1[[#This Row],[OrderDate]],"MM YYYY")</f>
        <v>05 2025</v>
      </c>
      <c r="W77" s="11" t="str">
        <f>TEXT(Table1_1[[#This Row],[OrderDate]],"MM")</f>
        <v>05</v>
      </c>
      <c r="X77" s="11"/>
    </row>
    <row r="78" spans="1:24" x14ac:dyDescent="0.25">
      <c r="A78" t="s">
        <v>608</v>
      </c>
      <c r="B78" s="2">
        <v>45726</v>
      </c>
      <c r="C78" s="2">
        <v>45751</v>
      </c>
      <c r="D78" t="s">
        <v>1413</v>
      </c>
      <c r="E78" s="10">
        <v>25</v>
      </c>
      <c r="F78" t="s">
        <v>1387</v>
      </c>
      <c r="G78" t="s">
        <v>642</v>
      </c>
      <c r="H78" t="s">
        <v>652</v>
      </c>
      <c r="I78" t="s">
        <v>669</v>
      </c>
      <c r="J78" t="s">
        <v>1271</v>
      </c>
      <c r="K78">
        <v>13</v>
      </c>
      <c r="L78" s="3">
        <v>783.72</v>
      </c>
      <c r="M78" s="3">
        <v>1355.94</v>
      </c>
      <c r="N78" s="3" t="str">
        <f>IF(Table1_1[[#This Row],[UnitPrice]]&lt;=816.08,"low",IF(Table1_1[[#This Row],[UnitPrice]]&lt;=1640.06,"medium","high"))</f>
        <v>medium</v>
      </c>
      <c r="O78" s="4">
        <v>0.187</v>
      </c>
      <c r="P78" s="3">
        <v>14330.92986</v>
      </c>
      <c r="Q78" s="3">
        <v>10188.36</v>
      </c>
      <c r="R78" s="4">
        <v>0.289064973485258</v>
      </c>
      <c r="S78" t="s">
        <v>663</v>
      </c>
      <c r="T78" s="3">
        <v>4142.5698599999996</v>
      </c>
      <c r="U78" t="s">
        <v>1434</v>
      </c>
      <c r="V78" s="13" t="str">
        <f>TEXT(Table1_1[[#This Row],[OrderDate]],"MM YYYY")</f>
        <v>03 2025</v>
      </c>
      <c r="W78" s="11" t="str">
        <f>TEXT(Table1_1[[#This Row],[OrderDate]],"MM")</f>
        <v>03</v>
      </c>
      <c r="X78" s="11"/>
    </row>
    <row r="79" spans="1:24" x14ac:dyDescent="0.25">
      <c r="A79" t="s">
        <v>291</v>
      </c>
      <c r="B79" s="2">
        <v>45730</v>
      </c>
      <c r="C79" s="2">
        <v>45745</v>
      </c>
      <c r="D79" t="s">
        <v>1413</v>
      </c>
      <c r="E79" s="10">
        <v>15</v>
      </c>
      <c r="F79" t="s">
        <v>1403</v>
      </c>
      <c r="G79" t="s">
        <v>644</v>
      </c>
      <c r="H79" t="s">
        <v>652</v>
      </c>
      <c r="I79" t="s">
        <v>670</v>
      </c>
      <c r="J79" t="s">
        <v>956</v>
      </c>
      <c r="K79">
        <v>17</v>
      </c>
      <c r="L79" s="3">
        <v>1106.96</v>
      </c>
      <c r="M79" s="3">
        <v>2726.62</v>
      </c>
      <c r="N79" s="3" t="str">
        <f>IF(Table1_1[[#This Row],[UnitPrice]]&lt;=816.08,"low",IF(Table1_1[[#This Row],[UnitPrice]]&lt;=1640.06,"medium","high"))</f>
        <v>high</v>
      </c>
      <c r="O79" s="4">
        <v>0.317</v>
      </c>
      <c r="P79" s="3">
        <v>31658.784820000004</v>
      </c>
      <c r="Q79" s="3">
        <v>18818.32</v>
      </c>
      <c r="R79" s="4">
        <v>0.405589314087893</v>
      </c>
      <c r="S79" t="s">
        <v>663</v>
      </c>
      <c r="T79" s="3">
        <v>12840.464820000005</v>
      </c>
      <c r="U79" t="s">
        <v>1434</v>
      </c>
      <c r="V79" s="13" t="str">
        <f>TEXT(Table1_1[[#This Row],[OrderDate]],"MM YYYY")</f>
        <v>03 2025</v>
      </c>
      <c r="W79" s="11" t="str">
        <f>TEXT(Table1_1[[#This Row],[OrderDate]],"MM")</f>
        <v>03</v>
      </c>
      <c r="X79" s="11"/>
    </row>
    <row r="80" spans="1:24" x14ac:dyDescent="0.25">
      <c r="A80" t="s">
        <v>134</v>
      </c>
      <c r="B80" s="2">
        <v>45598</v>
      </c>
      <c r="C80" s="2">
        <v>45625</v>
      </c>
      <c r="D80" t="s">
        <v>1413</v>
      </c>
      <c r="E80" s="10">
        <v>27</v>
      </c>
      <c r="F80" t="s">
        <v>1416</v>
      </c>
      <c r="G80" t="s">
        <v>646</v>
      </c>
      <c r="H80" t="s">
        <v>652</v>
      </c>
      <c r="I80" t="s">
        <v>670</v>
      </c>
      <c r="J80" t="s">
        <v>798</v>
      </c>
      <c r="K80">
        <v>20</v>
      </c>
      <c r="L80" s="3">
        <v>1363.51</v>
      </c>
      <c r="M80" s="3">
        <v>1433.9</v>
      </c>
      <c r="N80" s="3" t="str">
        <f>IF(Table1_1[[#This Row],[UnitPrice]]&lt;=816.08,"low",IF(Table1_1[[#This Row],[UnitPrice]]&lt;=1640.06,"medium","high"))</f>
        <v>medium</v>
      </c>
      <c r="O80" s="4">
        <v>5.7000000000000002E-2</v>
      </c>
      <c r="P80" s="3">
        <v>27043.353999999999</v>
      </c>
      <c r="Q80" s="3">
        <v>27270.2</v>
      </c>
      <c r="R80" s="4">
        <v>-8.3882346842037905E-3</v>
      </c>
      <c r="S80" t="s">
        <v>655</v>
      </c>
      <c r="T80" s="3">
        <v>-226.84600000000137</v>
      </c>
      <c r="U80" t="s">
        <v>1440</v>
      </c>
      <c r="V80" s="13" t="str">
        <f>TEXT(Table1_1[[#This Row],[OrderDate]],"MM YYYY")</f>
        <v>11 2024</v>
      </c>
      <c r="W80" s="11" t="str">
        <f>TEXT(Table1_1[[#This Row],[OrderDate]],"MM")</f>
        <v>11</v>
      </c>
      <c r="X80" s="11"/>
    </row>
    <row r="81" spans="1:24" x14ac:dyDescent="0.25">
      <c r="A81" t="s">
        <v>71</v>
      </c>
      <c r="B81" s="2">
        <v>45361</v>
      </c>
      <c r="C81" s="2">
        <v>45391</v>
      </c>
      <c r="D81" t="s">
        <v>1413</v>
      </c>
      <c r="E81" s="10">
        <v>30</v>
      </c>
      <c r="F81" t="s">
        <v>1396</v>
      </c>
      <c r="G81" t="s">
        <v>642</v>
      </c>
      <c r="H81" t="s">
        <v>652</v>
      </c>
      <c r="I81" t="s">
        <v>668</v>
      </c>
      <c r="J81" t="s">
        <v>735</v>
      </c>
      <c r="K81">
        <v>3</v>
      </c>
      <c r="L81" s="3">
        <v>1176.56</v>
      </c>
      <c r="M81" s="3">
        <v>1911.89</v>
      </c>
      <c r="N81" s="3" t="str">
        <f>IF(Table1_1[[#This Row],[UnitPrice]]&lt;=816.08,"low",IF(Table1_1[[#This Row],[UnitPrice]]&lt;=1640.06,"medium","high"))</f>
        <v>high</v>
      </c>
      <c r="O81" s="4">
        <v>0.11899999999999999</v>
      </c>
      <c r="P81" s="3">
        <v>5053.1252700000005</v>
      </c>
      <c r="Q81" s="3">
        <v>3529.68</v>
      </c>
      <c r="R81" s="4">
        <v>0.30148575160892499</v>
      </c>
      <c r="S81" t="s">
        <v>655</v>
      </c>
      <c r="T81" s="3">
        <v>1523.4452700000006</v>
      </c>
      <c r="U81" t="s">
        <v>1433</v>
      </c>
      <c r="V81" s="13" t="str">
        <f>TEXT(Table1_1[[#This Row],[OrderDate]],"MM YYYY")</f>
        <v>03 2024</v>
      </c>
      <c r="W81" s="11" t="str">
        <f>TEXT(Table1_1[[#This Row],[OrderDate]],"MM")</f>
        <v>03</v>
      </c>
      <c r="X81" s="11"/>
    </row>
    <row r="82" spans="1:24" x14ac:dyDescent="0.25">
      <c r="A82" t="s">
        <v>588</v>
      </c>
      <c r="B82" s="2">
        <v>45092</v>
      </c>
      <c r="C82" s="2">
        <v>45119</v>
      </c>
      <c r="D82" t="s">
        <v>1413</v>
      </c>
      <c r="E82" s="10">
        <v>27</v>
      </c>
      <c r="F82" t="s">
        <v>1406</v>
      </c>
      <c r="G82" t="s">
        <v>645</v>
      </c>
      <c r="H82" t="s">
        <v>652</v>
      </c>
      <c r="I82" t="s">
        <v>674</v>
      </c>
      <c r="J82" t="s">
        <v>1251</v>
      </c>
      <c r="K82">
        <v>26</v>
      </c>
      <c r="L82" s="3">
        <v>751.28</v>
      </c>
      <c r="M82" s="3">
        <v>1111.8800000000001</v>
      </c>
      <c r="N82" s="3" t="str">
        <f>IF(Table1_1[[#This Row],[UnitPrice]]&lt;=816.08,"low",IF(Table1_1[[#This Row],[UnitPrice]]&lt;=1640.06,"medium","high"))</f>
        <v>medium</v>
      </c>
      <c r="O82" s="4">
        <v>0.13500000000000001</v>
      </c>
      <c r="P82" s="3">
        <v>25006.181200000003</v>
      </c>
      <c r="Q82" s="3">
        <v>19533.28</v>
      </c>
      <c r="R82" s="4">
        <v>0.21886193482433899</v>
      </c>
      <c r="S82" t="s">
        <v>655</v>
      </c>
      <c r="T82" s="3">
        <v>5472.9012000000039</v>
      </c>
      <c r="U82" t="s">
        <v>1435</v>
      </c>
      <c r="V82" s="13" t="str">
        <f>TEXT(Table1_1[[#This Row],[OrderDate]],"MM YYYY")</f>
        <v>06 2023</v>
      </c>
      <c r="W82" s="11" t="str">
        <f>TEXT(Table1_1[[#This Row],[OrderDate]],"MM")</f>
        <v>06</v>
      </c>
      <c r="X82" s="11"/>
    </row>
    <row r="83" spans="1:24" x14ac:dyDescent="0.25">
      <c r="A83" t="s">
        <v>90</v>
      </c>
      <c r="B83" s="2">
        <v>45617</v>
      </c>
      <c r="C83" s="2">
        <v>45647</v>
      </c>
      <c r="D83" t="s">
        <v>1413</v>
      </c>
      <c r="E83" s="10">
        <v>30</v>
      </c>
      <c r="F83" t="s">
        <v>1391</v>
      </c>
      <c r="G83" t="s">
        <v>646</v>
      </c>
      <c r="H83" t="s">
        <v>652</v>
      </c>
      <c r="I83" t="s">
        <v>673</v>
      </c>
      <c r="J83" t="s">
        <v>754</v>
      </c>
      <c r="K83">
        <v>16</v>
      </c>
      <c r="L83" s="3">
        <v>1122.68</v>
      </c>
      <c r="M83" s="3">
        <v>1997.19</v>
      </c>
      <c r="N83" s="3" t="str">
        <f>IF(Table1_1[[#This Row],[UnitPrice]]&lt;=816.08,"low",IF(Table1_1[[#This Row],[UnitPrice]]&lt;=1640.06,"medium","high"))</f>
        <v>high</v>
      </c>
      <c r="O83" s="4">
        <v>0.186</v>
      </c>
      <c r="P83" s="3">
        <v>26011.402560000002</v>
      </c>
      <c r="Q83" s="3">
        <v>17962.88</v>
      </c>
      <c r="R83" s="4">
        <v>0.30942285951073301</v>
      </c>
      <c r="S83" t="s">
        <v>655</v>
      </c>
      <c r="T83" s="3">
        <v>8048.5225600000012</v>
      </c>
      <c r="U83" t="s">
        <v>1440</v>
      </c>
      <c r="V83" s="13" t="str">
        <f>TEXT(Table1_1[[#This Row],[OrderDate]],"MM YYYY")</f>
        <v>11 2024</v>
      </c>
      <c r="W83" s="11" t="str">
        <f>TEXT(Table1_1[[#This Row],[OrderDate]],"MM")</f>
        <v>11</v>
      </c>
      <c r="X83" s="11"/>
    </row>
    <row r="84" spans="1:24" x14ac:dyDescent="0.25">
      <c r="A84" t="s">
        <v>225</v>
      </c>
      <c r="B84" s="2">
        <v>45351</v>
      </c>
      <c r="C84" s="2">
        <v>45381</v>
      </c>
      <c r="D84" t="s">
        <v>1413</v>
      </c>
      <c r="E84" s="10">
        <v>30</v>
      </c>
      <c r="F84" t="s">
        <v>1407</v>
      </c>
      <c r="G84" t="s">
        <v>646</v>
      </c>
      <c r="H84" t="s">
        <v>652</v>
      </c>
      <c r="I84" t="s">
        <v>670</v>
      </c>
      <c r="J84" t="s">
        <v>890</v>
      </c>
      <c r="K84">
        <v>15</v>
      </c>
      <c r="L84" s="3">
        <v>231.11</v>
      </c>
      <c r="M84" s="3">
        <v>318.17</v>
      </c>
      <c r="N84" s="3" t="str">
        <f>IF(Table1_1[[#This Row],[UnitPrice]]&lt;=816.08,"low",IF(Table1_1[[#This Row],[UnitPrice]]&lt;=1640.06,"medium","high"))</f>
        <v>low</v>
      </c>
      <c r="O84" s="4">
        <v>0.20100000000000001</v>
      </c>
      <c r="P84" s="3">
        <v>3813.2674499999998</v>
      </c>
      <c r="Q84" s="3">
        <v>3466.65</v>
      </c>
      <c r="R84" s="4">
        <v>9.0897754889969706E-2</v>
      </c>
      <c r="S84" t="s">
        <v>655</v>
      </c>
      <c r="T84" s="3">
        <v>346.61744999999974</v>
      </c>
      <c r="U84" t="s">
        <v>1433</v>
      </c>
      <c r="V84" s="13" t="str">
        <f>TEXT(Table1_1[[#This Row],[OrderDate]],"MM YYYY")</f>
        <v>02 2024</v>
      </c>
      <c r="W84" s="11" t="str">
        <f>TEXT(Table1_1[[#This Row],[OrderDate]],"MM")</f>
        <v>02</v>
      </c>
      <c r="X84" s="11"/>
    </row>
    <row r="85" spans="1:24" x14ac:dyDescent="0.25">
      <c r="A85" t="s">
        <v>630</v>
      </c>
      <c r="B85" s="2">
        <v>45177</v>
      </c>
      <c r="C85" s="2">
        <v>45183</v>
      </c>
      <c r="D85" t="s">
        <v>1413</v>
      </c>
      <c r="E85" s="10">
        <v>6</v>
      </c>
      <c r="F85" t="s">
        <v>1395</v>
      </c>
      <c r="G85" t="s">
        <v>643</v>
      </c>
      <c r="H85" t="s">
        <v>652</v>
      </c>
      <c r="I85" t="s">
        <v>674</v>
      </c>
      <c r="J85" t="s">
        <v>1293</v>
      </c>
      <c r="K85">
        <v>15</v>
      </c>
      <c r="L85" s="3">
        <v>251.03</v>
      </c>
      <c r="M85" s="3">
        <v>411.48</v>
      </c>
      <c r="N85" s="3" t="str">
        <f>IF(Table1_1[[#This Row],[UnitPrice]]&lt;=816.08,"low",IF(Table1_1[[#This Row],[UnitPrice]]&lt;=1640.06,"medium","high"))</f>
        <v>low</v>
      </c>
      <c r="O85" s="4">
        <v>0.16500000000000001</v>
      </c>
      <c r="P85" s="3">
        <v>5153.7870000000003</v>
      </c>
      <c r="Q85" s="3">
        <v>3765.45</v>
      </c>
      <c r="R85" s="4">
        <v>0.26938191275658102</v>
      </c>
      <c r="S85" t="s">
        <v>655</v>
      </c>
      <c r="T85" s="3">
        <v>1388.3370000000004</v>
      </c>
      <c r="U85" t="s">
        <v>1430</v>
      </c>
      <c r="V85" s="13" t="str">
        <f>TEXT(Table1_1[[#This Row],[OrderDate]],"MM YYYY")</f>
        <v>09 2023</v>
      </c>
      <c r="W85" s="11" t="str">
        <f>TEXT(Table1_1[[#This Row],[OrderDate]],"MM")</f>
        <v>09</v>
      </c>
      <c r="X85" s="11"/>
    </row>
    <row r="86" spans="1:24" x14ac:dyDescent="0.25">
      <c r="A86" t="s">
        <v>403</v>
      </c>
      <c r="B86" s="2">
        <v>45360</v>
      </c>
      <c r="C86" s="2">
        <v>45377</v>
      </c>
      <c r="D86" t="s">
        <v>1413</v>
      </c>
      <c r="E86" s="10">
        <v>17</v>
      </c>
      <c r="F86" t="s">
        <v>1419</v>
      </c>
      <c r="G86" t="s">
        <v>643</v>
      </c>
      <c r="H86" t="s">
        <v>652</v>
      </c>
      <c r="I86" t="s">
        <v>671</v>
      </c>
      <c r="J86" t="s">
        <v>1067</v>
      </c>
      <c r="K86">
        <v>13</v>
      </c>
      <c r="L86" s="3">
        <v>1137.4100000000001</v>
      </c>
      <c r="M86" s="3">
        <v>1680.93</v>
      </c>
      <c r="N86" s="3" t="str">
        <f>IF(Table1_1[[#This Row],[UnitPrice]]&lt;=816.08,"low",IF(Table1_1[[#This Row],[UnitPrice]]&lt;=1640.06,"medium","high"))</f>
        <v>high</v>
      </c>
      <c r="O86" s="4">
        <v>0.254</v>
      </c>
      <c r="P86" s="3">
        <v>16301.65914</v>
      </c>
      <c r="Q86" s="3">
        <v>14786.330000000002</v>
      </c>
      <c r="R86" s="4">
        <v>9.2955516183121395E-2</v>
      </c>
      <c r="S86" t="s">
        <v>655</v>
      </c>
      <c r="T86" s="3">
        <v>1515.329139999998</v>
      </c>
      <c r="U86" t="s">
        <v>1433</v>
      </c>
      <c r="V86" s="13" t="str">
        <f>TEXT(Table1_1[[#This Row],[OrderDate]],"MM YYYY")</f>
        <v>03 2024</v>
      </c>
      <c r="W86" s="11" t="str">
        <f>TEXT(Table1_1[[#This Row],[OrderDate]],"MM")</f>
        <v>03</v>
      </c>
      <c r="X86" s="11"/>
    </row>
    <row r="87" spans="1:24" x14ac:dyDescent="0.25">
      <c r="A87" t="s">
        <v>328</v>
      </c>
      <c r="B87" s="2">
        <v>45748</v>
      </c>
      <c r="C87" s="2">
        <v>45774</v>
      </c>
      <c r="D87" t="s">
        <v>1413</v>
      </c>
      <c r="E87" s="10">
        <v>26</v>
      </c>
      <c r="F87" t="s">
        <v>1419</v>
      </c>
      <c r="G87" t="s">
        <v>642</v>
      </c>
      <c r="H87" t="s">
        <v>652</v>
      </c>
      <c r="I87" t="s">
        <v>673</v>
      </c>
      <c r="J87" t="s">
        <v>993</v>
      </c>
      <c r="K87">
        <v>11</v>
      </c>
      <c r="L87" s="3">
        <v>156.55000000000001</v>
      </c>
      <c r="M87" s="3">
        <v>227.45</v>
      </c>
      <c r="N87" s="3" t="str">
        <f>IF(Table1_1[[#This Row],[UnitPrice]]&lt;=816.08,"low",IF(Table1_1[[#This Row],[UnitPrice]]&lt;=1640.06,"medium","high"))</f>
        <v>low</v>
      </c>
      <c r="O87" s="4">
        <v>1.4E-2</v>
      </c>
      <c r="P87" s="3">
        <v>2466.9226999999996</v>
      </c>
      <c r="Q87" s="3">
        <v>1722.0500000000002</v>
      </c>
      <c r="R87" s="4">
        <v>0.30194407793969402</v>
      </c>
      <c r="S87" t="s">
        <v>655</v>
      </c>
      <c r="T87" s="3">
        <v>744.87269999999944</v>
      </c>
      <c r="U87" t="s">
        <v>1431</v>
      </c>
      <c r="V87" s="13" t="str">
        <f>TEXT(Table1_1[[#This Row],[OrderDate]],"MM YYYY")</f>
        <v>04 2025</v>
      </c>
      <c r="W87" s="11" t="str">
        <f>TEXT(Table1_1[[#This Row],[OrderDate]],"MM")</f>
        <v>04</v>
      </c>
      <c r="X87" s="11"/>
    </row>
    <row r="88" spans="1:24" x14ac:dyDescent="0.25">
      <c r="A88" t="s">
        <v>170</v>
      </c>
      <c r="B88" s="2">
        <v>45870</v>
      </c>
      <c r="C88" s="2">
        <v>45890</v>
      </c>
      <c r="D88" t="s">
        <v>1413</v>
      </c>
      <c r="E88" s="10">
        <v>20</v>
      </c>
      <c r="F88" t="s">
        <v>1401</v>
      </c>
      <c r="G88" t="s">
        <v>642</v>
      </c>
      <c r="H88" t="s">
        <v>652</v>
      </c>
      <c r="I88" t="s">
        <v>671</v>
      </c>
      <c r="J88" t="s">
        <v>834</v>
      </c>
      <c r="K88">
        <v>10</v>
      </c>
      <c r="L88" s="3">
        <v>1220.4100000000001</v>
      </c>
      <c r="M88" s="3">
        <v>2552.2199999999998</v>
      </c>
      <c r="N88" s="3" t="str">
        <f>IF(Table1_1[[#This Row],[UnitPrice]]&lt;=816.08,"low",IF(Table1_1[[#This Row],[UnitPrice]]&lt;=1640.06,"medium","high"))</f>
        <v>high</v>
      </c>
      <c r="O88" s="4">
        <v>0.18099999999999999</v>
      </c>
      <c r="P88" s="3">
        <v>20902.681799999995</v>
      </c>
      <c r="Q88" s="3">
        <v>12204.1</v>
      </c>
      <c r="R88" s="4">
        <v>0.41614668793360299</v>
      </c>
      <c r="S88" t="s">
        <v>655</v>
      </c>
      <c r="T88" s="3">
        <v>8698.5817999999945</v>
      </c>
      <c r="U88" t="s">
        <v>1438</v>
      </c>
      <c r="V88" s="13" t="str">
        <f>TEXT(Table1_1[[#This Row],[OrderDate]],"MM YYYY")</f>
        <v>08 2025</v>
      </c>
      <c r="W88" s="11" t="str">
        <f>TEXT(Table1_1[[#This Row],[OrderDate]],"MM")</f>
        <v>08</v>
      </c>
      <c r="X88" s="11"/>
    </row>
    <row r="89" spans="1:24" x14ac:dyDescent="0.25">
      <c r="A89" t="s">
        <v>308</v>
      </c>
      <c r="B89" s="2">
        <v>45377</v>
      </c>
      <c r="C89" s="2">
        <v>45387</v>
      </c>
      <c r="D89" t="s">
        <v>1413</v>
      </c>
      <c r="E89" s="10">
        <v>10</v>
      </c>
      <c r="F89" t="s">
        <v>1420</v>
      </c>
      <c r="G89" t="s">
        <v>645</v>
      </c>
      <c r="H89" t="s">
        <v>652</v>
      </c>
      <c r="I89" t="s">
        <v>673</v>
      </c>
      <c r="J89" t="s">
        <v>973</v>
      </c>
      <c r="K89">
        <v>3</v>
      </c>
      <c r="L89" s="3">
        <v>5.66</v>
      </c>
      <c r="M89" s="3">
        <v>4.22</v>
      </c>
      <c r="N89" s="3" t="str">
        <f>IF(Table1_1[[#This Row],[UnitPrice]]&lt;=816.08,"low",IF(Table1_1[[#This Row],[UnitPrice]]&lt;=1640.06,"medium","high"))</f>
        <v>low</v>
      </c>
      <c r="O89" s="4">
        <v>0.11899999999999999</v>
      </c>
      <c r="P89" s="3">
        <v>11.153460000000001</v>
      </c>
      <c r="Q89" s="3">
        <v>16.98</v>
      </c>
      <c r="R89" s="4">
        <v>-0.52239753403876399</v>
      </c>
      <c r="S89" t="s">
        <v>654</v>
      </c>
      <c r="T89" s="3">
        <v>-5.8265399999999996</v>
      </c>
      <c r="U89" t="s">
        <v>1433</v>
      </c>
      <c r="V89" s="13" t="str">
        <f>TEXT(Table1_1[[#This Row],[OrderDate]],"MM YYYY")</f>
        <v>03 2024</v>
      </c>
      <c r="W89" s="11" t="str">
        <f>TEXT(Table1_1[[#This Row],[OrderDate]],"MM")</f>
        <v>03</v>
      </c>
      <c r="X89" s="11"/>
    </row>
    <row r="90" spans="1:24" x14ac:dyDescent="0.25">
      <c r="A90" t="s">
        <v>250</v>
      </c>
      <c r="B90" s="2">
        <v>45188</v>
      </c>
      <c r="C90" s="2">
        <v>45207</v>
      </c>
      <c r="D90" t="s">
        <v>1413</v>
      </c>
      <c r="E90" s="10">
        <v>19</v>
      </c>
      <c r="F90" t="s">
        <v>1388</v>
      </c>
      <c r="G90" t="s">
        <v>643</v>
      </c>
      <c r="H90" t="s">
        <v>652</v>
      </c>
      <c r="I90" t="s">
        <v>669</v>
      </c>
      <c r="J90" t="s">
        <v>915</v>
      </c>
      <c r="K90">
        <v>11</v>
      </c>
      <c r="L90" s="3">
        <v>385.32</v>
      </c>
      <c r="M90" s="3">
        <v>606.76</v>
      </c>
      <c r="N90" s="3" t="str">
        <f>IF(Table1_1[[#This Row],[UnitPrice]]&lt;=816.08,"low",IF(Table1_1[[#This Row],[UnitPrice]]&lt;=1640.06,"medium","high"))</f>
        <v>low</v>
      </c>
      <c r="O90" s="4">
        <v>8.5999999999999993E-2</v>
      </c>
      <c r="P90" s="3">
        <v>6100.3650399999997</v>
      </c>
      <c r="Q90" s="3">
        <v>4238.5199999999995</v>
      </c>
      <c r="R90" s="4">
        <v>0.30520223425842702</v>
      </c>
      <c r="S90" t="s">
        <v>654</v>
      </c>
      <c r="T90" s="3">
        <v>1861.8450400000002</v>
      </c>
      <c r="U90" t="s">
        <v>1430</v>
      </c>
      <c r="V90" s="13" t="str">
        <f>TEXT(Table1_1[[#This Row],[OrderDate]],"MM YYYY")</f>
        <v>09 2023</v>
      </c>
      <c r="W90" s="11" t="str">
        <f>TEXT(Table1_1[[#This Row],[OrderDate]],"MM")</f>
        <v>09</v>
      </c>
      <c r="X90" s="11"/>
    </row>
    <row r="91" spans="1:24" x14ac:dyDescent="0.25">
      <c r="A91" t="s">
        <v>439</v>
      </c>
      <c r="B91" s="2">
        <v>45784</v>
      </c>
      <c r="C91" s="2">
        <v>45790</v>
      </c>
      <c r="D91" t="s">
        <v>1413</v>
      </c>
      <c r="E91" s="10">
        <v>6</v>
      </c>
      <c r="F91" t="s">
        <v>1388</v>
      </c>
      <c r="G91" t="s">
        <v>647</v>
      </c>
      <c r="H91" t="s">
        <v>652</v>
      </c>
      <c r="I91" t="s">
        <v>671</v>
      </c>
      <c r="J91" t="s">
        <v>1103</v>
      </c>
      <c r="K91">
        <v>8</v>
      </c>
      <c r="L91" s="3">
        <v>935.98</v>
      </c>
      <c r="M91" s="3">
        <v>2077.69</v>
      </c>
      <c r="N91" s="3" t="str">
        <f>IF(Table1_1[[#This Row],[UnitPrice]]&lt;=816.08,"low",IF(Table1_1[[#This Row],[UnitPrice]]&lt;=1640.06,"medium","high"))</f>
        <v>high</v>
      </c>
      <c r="O91" s="4">
        <v>0.17499999999999999</v>
      </c>
      <c r="P91" s="3">
        <v>13712.753999999999</v>
      </c>
      <c r="Q91" s="3">
        <v>7487.84</v>
      </c>
      <c r="R91" s="4">
        <v>0.45395067978321502</v>
      </c>
      <c r="S91" t="s">
        <v>654</v>
      </c>
      <c r="T91" s="3">
        <v>6224.9139999999989</v>
      </c>
      <c r="U91" t="s">
        <v>1431</v>
      </c>
      <c r="V91" s="13" t="str">
        <f>TEXT(Table1_1[[#This Row],[OrderDate]],"MM YYYY")</f>
        <v>05 2025</v>
      </c>
      <c r="W91" s="11" t="str">
        <f>TEXT(Table1_1[[#This Row],[OrderDate]],"MM")</f>
        <v>05</v>
      </c>
      <c r="X91" s="11"/>
    </row>
    <row r="92" spans="1:24" x14ac:dyDescent="0.25">
      <c r="A92" t="s">
        <v>280</v>
      </c>
      <c r="B92" s="2">
        <v>45141</v>
      </c>
      <c r="C92" s="2">
        <v>45152</v>
      </c>
      <c r="D92" t="s">
        <v>1413</v>
      </c>
      <c r="E92" s="10">
        <v>11</v>
      </c>
      <c r="F92" t="s">
        <v>1416</v>
      </c>
      <c r="G92" t="s">
        <v>642</v>
      </c>
      <c r="H92" t="s">
        <v>652</v>
      </c>
      <c r="I92" t="s">
        <v>674</v>
      </c>
      <c r="J92" t="s">
        <v>945</v>
      </c>
      <c r="K92">
        <v>7</v>
      </c>
      <c r="L92" s="3">
        <v>232.73</v>
      </c>
      <c r="M92" s="3">
        <v>334.19</v>
      </c>
      <c r="N92" s="3" t="str">
        <f>IF(Table1_1[[#This Row],[UnitPrice]]&lt;=816.08,"low",IF(Table1_1[[#This Row],[UnitPrice]]&lt;=1640.06,"medium","high"))</f>
        <v>low</v>
      </c>
      <c r="O92" s="4">
        <v>0.13400000000000001</v>
      </c>
      <c r="P92" s="3">
        <v>2025.85978</v>
      </c>
      <c r="Q92" s="3">
        <v>1629.11</v>
      </c>
      <c r="R92" s="4">
        <v>0.19584266587295601</v>
      </c>
      <c r="S92" t="s">
        <v>654</v>
      </c>
      <c r="T92" s="3">
        <v>396.7497800000001</v>
      </c>
      <c r="U92" t="s">
        <v>1430</v>
      </c>
      <c r="V92" s="13" t="str">
        <f>TEXT(Table1_1[[#This Row],[OrderDate]],"MM YYYY")</f>
        <v>08 2023</v>
      </c>
      <c r="W92" s="11" t="str">
        <f>TEXT(Table1_1[[#This Row],[OrderDate]],"MM")</f>
        <v>08</v>
      </c>
      <c r="X92" s="11"/>
    </row>
    <row r="93" spans="1:24" x14ac:dyDescent="0.25">
      <c r="A93" t="s">
        <v>209</v>
      </c>
      <c r="B93" s="2">
        <v>45030</v>
      </c>
      <c r="C93" s="2">
        <v>45059</v>
      </c>
      <c r="D93" t="s">
        <v>1413</v>
      </c>
      <c r="E93" s="10">
        <v>29</v>
      </c>
      <c r="F93" t="s">
        <v>1410</v>
      </c>
      <c r="G93" t="s">
        <v>645</v>
      </c>
      <c r="H93" t="s">
        <v>652</v>
      </c>
      <c r="I93" t="s">
        <v>669</v>
      </c>
      <c r="J93" t="s">
        <v>874</v>
      </c>
      <c r="K93">
        <v>25</v>
      </c>
      <c r="L93" s="3">
        <v>1320.33</v>
      </c>
      <c r="M93" s="3">
        <v>2645.23</v>
      </c>
      <c r="N93" s="3" t="str">
        <f>IF(Table1_1[[#This Row],[UnitPrice]]&lt;=816.08,"low",IF(Table1_1[[#This Row],[UnitPrice]]&lt;=1640.06,"medium","high"))</f>
        <v>high</v>
      </c>
      <c r="O93" s="4">
        <v>0.155</v>
      </c>
      <c r="P93" s="3">
        <v>55880.483749999999</v>
      </c>
      <c r="Q93" s="3">
        <v>33008.25</v>
      </c>
      <c r="R93" s="4">
        <v>0.40930629470436503</v>
      </c>
      <c r="S93" t="s">
        <v>654</v>
      </c>
      <c r="T93" s="3">
        <v>22872.233749999999</v>
      </c>
      <c r="U93" t="s">
        <v>1435</v>
      </c>
      <c r="V93" s="13" t="str">
        <f>TEXT(Table1_1[[#This Row],[OrderDate]],"MM YYYY")</f>
        <v>04 2023</v>
      </c>
      <c r="W93" s="11" t="str">
        <f>TEXT(Table1_1[[#This Row],[OrderDate]],"MM")</f>
        <v>04</v>
      </c>
      <c r="X93" s="11"/>
    </row>
    <row r="94" spans="1:24" x14ac:dyDescent="0.25">
      <c r="A94" t="s">
        <v>314</v>
      </c>
      <c r="B94" s="2">
        <v>45462</v>
      </c>
      <c r="C94" s="2">
        <v>45463</v>
      </c>
      <c r="D94" t="s">
        <v>1413</v>
      </c>
      <c r="E94" s="10">
        <v>1</v>
      </c>
      <c r="F94" t="s">
        <v>1383</v>
      </c>
      <c r="G94" t="s">
        <v>646</v>
      </c>
      <c r="H94" t="s">
        <v>652</v>
      </c>
      <c r="I94" t="s">
        <v>672</v>
      </c>
      <c r="J94" t="s">
        <v>979</v>
      </c>
      <c r="K94">
        <v>8</v>
      </c>
      <c r="L94" s="3">
        <v>231.63</v>
      </c>
      <c r="M94" s="3">
        <v>537.39</v>
      </c>
      <c r="N94" s="3" t="str">
        <f>IF(Table1_1[[#This Row],[UnitPrice]]&lt;=816.08,"low",IF(Table1_1[[#This Row],[UnitPrice]]&lt;=1640.06,"medium","high"))</f>
        <v>low</v>
      </c>
      <c r="O94" s="4">
        <v>0.08</v>
      </c>
      <c r="P94" s="3">
        <v>3955.1904</v>
      </c>
      <c r="Q94" s="3">
        <v>1853.04</v>
      </c>
      <c r="R94" s="4">
        <v>0.53149158129024598</v>
      </c>
      <c r="S94" t="s">
        <v>654</v>
      </c>
      <c r="T94" s="3">
        <v>2102.1504</v>
      </c>
      <c r="U94" t="s">
        <v>1436</v>
      </c>
      <c r="V94" s="13" t="str">
        <f>TEXT(Table1_1[[#This Row],[OrderDate]],"MM YYYY")</f>
        <v>06 2024</v>
      </c>
      <c r="W94" s="11" t="str">
        <f>TEXT(Table1_1[[#This Row],[OrderDate]],"MM")</f>
        <v>06</v>
      </c>
      <c r="X94" s="11"/>
    </row>
    <row r="95" spans="1:24" x14ac:dyDescent="0.25">
      <c r="A95" t="s">
        <v>501</v>
      </c>
      <c r="B95" s="2">
        <v>45523</v>
      </c>
      <c r="C95" s="2">
        <v>45542</v>
      </c>
      <c r="D95" t="s">
        <v>1413</v>
      </c>
      <c r="E95" s="10">
        <v>19</v>
      </c>
      <c r="F95" t="s">
        <v>1396</v>
      </c>
      <c r="G95" t="s">
        <v>642</v>
      </c>
      <c r="H95" t="s">
        <v>652</v>
      </c>
      <c r="I95" t="s">
        <v>668</v>
      </c>
      <c r="J95" t="s">
        <v>1165</v>
      </c>
      <c r="K95">
        <v>23</v>
      </c>
      <c r="L95" s="3">
        <v>297.58999999999997</v>
      </c>
      <c r="M95" s="3">
        <v>666.41</v>
      </c>
      <c r="N95" s="3" t="str">
        <f>IF(Table1_1[[#This Row],[UnitPrice]]&lt;=816.08,"low",IF(Table1_1[[#This Row],[UnitPrice]]&lt;=1640.06,"medium","high"))</f>
        <v>low</v>
      </c>
      <c r="O95" s="4">
        <v>0</v>
      </c>
      <c r="P95" s="3">
        <v>15327.429999999998</v>
      </c>
      <c r="Q95" s="3">
        <v>6844.57</v>
      </c>
      <c r="R95" s="4">
        <v>0.5534430755841</v>
      </c>
      <c r="S95" t="s">
        <v>654</v>
      </c>
      <c r="T95" s="3">
        <v>8482.8599999999988</v>
      </c>
      <c r="U95" t="s">
        <v>1437</v>
      </c>
      <c r="V95" s="13" t="str">
        <f>TEXT(Table1_1[[#This Row],[OrderDate]],"MM YYYY")</f>
        <v>08 2024</v>
      </c>
      <c r="W95" s="11" t="str">
        <f>TEXT(Table1_1[[#This Row],[OrderDate]],"MM")</f>
        <v>08</v>
      </c>
      <c r="X95" s="11"/>
    </row>
    <row r="96" spans="1:24" x14ac:dyDescent="0.25">
      <c r="A96" t="s">
        <v>530</v>
      </c>
      <c r="B96" s="2">
        <v>45482</v>
      </c>
      <c r="C96" s="2">
        <v>45512</v>
      </c>
      <c r="D96" t="s">
        <v>1413</v>
      </c>
      <c r="E96" s="10">
        <v>30</v>
      </c>
      <c r="F96" t="s">
        <v>1391</v>
      </c>
      <c r="G96" t="s">
        <v>642</v>
      </c>
      <c r="H96" t="s">
        <v>652</v>
      </c>
      <c r="I96" t="s">
        <v>668</v>
      </c>
      <c r="J96" t="s">
        <v>1194</v>
      </c>
      <c r="K96">
        <v>6</v>
      </c>
      <c r="L96" s="3">
        <v>1062.3800000000001</v>
      </c>
      <c r="M96" s="3">
        <v>1503.96</v>
      </c>
      <c r="N96" s="3" t="str">
        <f>IF(Table1_1[[#This Row],[UnitPrice]]&lt;=816.08,"low",IF(Table1_1[[#This Row],[UnitPrice]]&lt;=1640.06,"medium","high"))</f>
        <v>medium</v>
      </c>
      <c r="O96" s="4">
        <v>0.18</v>
      </c>
      <c r="P96" s="3">
        <v>7399.4832000000006</v>
      </c>
      <c r="Q96" s="3">
        <v>6374.2800000000007</v>
      </c>
      <c r="R96" s="4">
        <v>0.138550649050734</v>
      </c>
      <c r="S96" t="s">
        <v>654</v>
      </c>
      <c r="T96" s="3">
        <v>1025.2031999999999</v>
      </c>
      <c r="U96" t="s">
        <v>1437</v>
      </c>
      <c r="V96" s="13" t="str">
        <f>TEXT(Table1_1[[#This Row],[OrderDate]],"MM YYYY")</f>
        <v>07 2024</v>
      </c>
      <c r="W96" s="11" t="str">
        <f>TEXT(Table1_1[[#This Row],[OrderDate]],"MM")</f>
        <v>07</v>
      </c>
      <c r="X96" s="11"/>
    </row>
    <row r="97" spans="1:24" x14ac:dyDescent="0.25">
      <c r="A97" t="s">
        <v>356</v>
      </c>
      <c r="B97" s="2">
        <v>45498</v>
      </c>
      <c r="C97" s="2">
        <v>45506</v>
      </c>
      <c r="D97" t="s">
        <v>1413</v>
      </c>
      <c r="E97" s="10">
        <v>8</v>
      </c>
      <c r="F97" t="s">
        <v>1418</v>
      </c>
      <c r="G97" t="s">
        <v>645</v>
      </c>
      <c r="H97" t="s">
        <v>652</v>
      </c>
      <c r="I97" t="s">
        <v>674</v>
      </c>
      <c r="J97" t="s">
        <v>1021</v>
      </c>
      <c r="K97">
        <v>18</v>
      </c>
      <c r="L97" s="3">
        <v>986.81</v>
      </c>
      <c r="M97" s="3">
        <v>2050.31</v>
      </c>
      <c r="N97" s="3" t="str">
        <f>IF(Table1_1[[#This Row],[UnitPrice]]&lt;=816.08,"low",IF(Table1_1[[#This Row],[UnitPrice]]&lt;=1640.06,"medium","high"))</f>
        <v>high</v>
      </c>
      <c r="O97" s="4">
        <v>0.10299999999999999</v>
      </c>
      <c r="P97" s="3">
        <v>33104.305260000001</v>
      </c>
      <c r="Q97" s="3">
        <v>17762.579999999998</v>
      </c>
      <c r="R97" s="4">
        <v>0.46343595310358099</v>
      </c>
      <c r="S97" t="s">
        <v>654</v>
      </c>
      <c r="T97" s="3">
        <v>15341.725260000003</v>
      </c>
      <c r="U97" t="s">
        <v>1437</v>
      </c>
      <c r="V97" s="13" t="str">
        <f>TEXT(Table1_1[[#This Row],[OrderDate]],"MM YYYY")</f>
        <v>07 2024</v>
      </c>
      <c r="W97" s="11" t="str">
        <f>TEXT(Table1_1[[#This Row],[OrderDate]],"MM")</f>
        <v>07</v>
      </c>
      <c r="X97" s="11"/>
    </row>
    <row r="98" spans="1:24" x14ac:dyDescent="0.25">
      <c r="A98" t="s">
        <v>334</v>
      </c>
      <c r="B98" s="2">
        <v>45544</v>
      </c>
      <c r="C98" s="2">
        <v>45573</v>
      </c>
      <c r="D98" t="s">
        <v>1413</v>
      </c>
      <c r="E98" s="10">
        <v>29</v>
      </c>
      <c r="F98" t="s">
        <v>1417</v>
      </c>
      <c r="G98" t="s">
        <v>643</v>
      </c>
      <c r="H98" t="s">
        <v>652</v>
      </c>
      <c r="I98" t="s">
        <v>668</v>
      </c>
      <c r="J98" t="s">
        <v>999</v>
      </c>
      <c r="K98">
        <v>6</v>
      </c>
      <c r="L98" s="3">
        <v>1010.33</v>
      </c>
      <c r="M98" s="3">
        <v>2492.14</v>
      </c>
      <c r="N98" s="3" t="str">
        <f>IF(Table1_1[[#This Row],[UnitPrice]]&lt;=816.08,"low",IF(Table1_1[[#This Row],[UnitPrice]]&lt;=1640.06,"medium","high"))</f>
        <v>high</v>
      </c>
      <c r="O98" s="4">
        <v>5.0999999999999997E-2</v>
      </c>
      <c r="P98" s="3">
        <v>14190.245159999999</v>
      </c>
      <c r="Q98" s="3">
        <v>6061.9800000000005</v>
      </c>
      <c r="R98" s="4">
        <v>0.57280653493656797</v>
      </c>
      <c r="S98" t="s">
        <v>654</v>
      </c>
      <c r="T98" s="3">
        <v>8128.2651599999981</v>
      </c>
      <c r="U98" t="s">
        <v>1437</v>
      </c>
      <c r="V98" s="13" t="str">
        <f>TEXT(Table1_1[[#This Row],[OrderDate]],"MM YYYY")</f>
        <v>09 2024</v>
      </c>
      <c r="W98" s="11" t="str">
        <f>TEXT(Table1_1[[#This Row],[OrderDate]],"MM")</f>
        <v>09</v>
      </c>
      <c r="X98" s="11"/>
    </row>
    <row r="99" spans="1:24" x14ac:dyDescent="0.25">
      <c r="A99" t="s">
        <v>467</v>
      </c>
      <c r="B99" s="2">
        <v>45048</v>
      </c>
      <c r="C99" s="2">
        <v>45065</v>
      </c>
      <c r="D99" t="s">
        <v>1413</v>
      </c>
      <c r="E99" s="10">
        <v>17</v>
      </c>
      <c r="F99" t="s">
        <v>1401</v>
      </c>
      <c r="G99" t="s">
        <v>644</v>
      </c>
      <c r="H99" t="s">
        <v>652</v>
      </c>
      <c r="I99" t="s">
        <v>673</v>
      </c>
      <c r="J99" t="s">
        <v>1131</v>
      </c>
      <c r="K99">
        <v>18</v>
      </c>
      <c r="L99" s="3">
        <v>714.28</v>
      </c>
      <c r="M99" s="3">
        <v>757.59</v>
      </c>
      <c r="N99" s="3" t="str">
        <f>IF(Table1_1[[#This Row],[UnitPrice]]&lt;=816.08,"low",IF(Table1_1[[#This Row],[UnitPrice]]&lt;=1640.06,"medium","high"))</f>
        <v>low</v>
      </c>
      <c r="O99" s="4">
        <v>0.13600000000000001</v>
      </c>
      <c r="P99" s="3">
        <v>11782.03968</v>
      </c>
      <c r="Q99" s="3">
        <v>12857.039999999999</v>
      </c>
      <c r="R99" s="4">
        <v>-9.1240595787910203E-2</v>
      </c>
      <c r="S99" t="s">
        <v>654</v>
      </c>
      <c r="T99" s="3">
        <v>-1075.0003199999992</v>
      </c>
      <c r="U99" t="s">
        <v>1435</v>
      </c>
      <c r="V99" s="13" t="str">
        <f>TEXT(Table1_1[[#This Row],[OrderDate]],"MM YYYY")</f>
        <v>05 2023</v>
      </c>
      <c r="W99" s="11" t="str">
        <f>TEXT(Table1_1[[#This Row],[OrderDate]],"MM")</f>
        <v>05</v>
      </c>
      <c r="X99" s="11"/>
    </row>
    <row r="100" spans="1:24" x14ac:dyDescent="0.25">
      <c r="A100" t="s">
        <v>84</v>
      </c>
      <c r="B100" s="2">
        <v>45641</v>
      </c>
      <c r="C100" s="2">
        <v>45646</v>
      </c>
      <c r="D100" t="s">
        <v>1413</v>
      </c>
      <c r="E100" s="10">
        <v>5</v>
      </c>
      <c r="F100" t="s">
        <v>1394</v>
      </c>
      <c r="G100" t="s">
        <v>646</v>
      </c>
      <c r="H100" t="s">
        <v>652</v>
      </c>
      <c r="I100" t="s">
        <v>670</v>
      </c>
      <c r="J100" t="s">
        <v>748</v>
      </c>
      <c r="K100">
        <v>14</v>
      </c>
      <c r="L100" s="3">
        <v>717.55</v>
      </c>
      <c r="M100" s="3">
        <v>546.42999999999995</v>
      </c>
      <c r="N100" s="3" t="str">
        <f>IF(Table1_1[[#This Row],[UnitPrice]]&lt;=816.08,"low",IF(Table1_1[[#This Row],[UnitPrice]]&lt;=1640.06,"medium","high"))</f>
        <v>low</v>
      </c>
      <c r="O100" s="4">
        <v>4.7E-2</v>
      </c>
      <c r="P100" s="3">
        <v>7290.4690599999994</v>
      </c>
      <c r="Q100" s="3">
        <v>10045.699999999999</v>
      </c>
      <c r="R100" s="4">
        <v>-0.37792231437026402</v>
      </c>
      <c r="S100" t="s">
        <v>654</v>
      </c>
      <c r="T100" s="3">
        <v>-2755.2309399999995</v>
      </c>
      <c r="U100" t="s">
        <v>1440</v>
      </c>
      <c r="V100" s="13" t="str">
        <f>TEXT(Table1_1[[#This Row],[OrderDate]],"MM YYYY")</f>
        <v>12 2024</v>
      </c>
      <c r="W100" s="11" t="str">
        <f>TEXT(Table1_1[[#This Row],[OrderDate]],"MM")</f>
        <v>12</v>
      </c>
      <c r="X100" s="11"/>
    </row>
    <row r="101" spans="1:24" x14ac:dyDescent="0.25">
      <c r="A101" t="s">
        <v>374</v>
      </c>
      <c r="B101" s="2">
        <v>45082</v>
      </c>
      <c r="C101" s="2">
        <v>45105</v>
      </c>
      <c r="D101" t="s">
        <v>1413</v>
      </c>
      <c r="E101" s="10">
        <v>23</v>
      </c>
      <c r="F101" t="s">
        <v>1392</v>
      </c>
      <c r="G101" t="s">
        <v>642</v>
      </c>
      <c r="H101" t="s">
        <v>652</v>
      </c>
      <c r="I101" t="s">
        <v>669</v>
      </c>
      <c r="J101" t="s">
        <v>1039</v>
      </c>
      <c r="K101">
        <v>18</v>
      </c>
      <c r="L101" s="3">
        <v>605.82000000000005</v>
      </c>
      <c r="M101" s="3">
        <v>771.12</v>
      </c>
      <c r="N101" s="3" t="str">
        <f>IF(Table1_1[[#This Row],[UnitPrice]]&lt;=816.08,"low",IF(Table1_1[[#This Row],[UnitPrice]]&lt;=1640.06,"medium","high"))</f>
        <v>low</v>
      </c>
      <c r="O101" s="4">
        <v>0.13200000000000001</v>
      </c>
      <c r="P101" s="3">
        <v>12047.978880000001</v>
      </c>
      <c r="Q101" s="3">
        <v>10904.76</v>
      </c>
      <c r="R101" s="4">
        <v>9.4888851597986906E-2</v>
      </c>
      <c r="S101" t="s">
        <v>664</v>
      </c>
      <c r="T101" s="3">
        <v>1143.2188800000004</v>
      </c>
      <c r="U101" t="s">
        <v>1435</v>
      </c>
      <c r="V101" s="13" t="str">
        <f>TEXT(Table1_1[[#This Row],[OrderDate]],"MM YYYY")</f>
        <v>06 2023</v>
      </c>
      <c r="W101" s="11" t="str">
        <f>TEXT(Table1_1[[#This Row],[OrderDate]],"MM")</f>
        <v>06</v>
      </c>
      <c r="X101" s="11"/>
    </row>
    <row r="102" spans="1:24" x14ac:dyDescent="0.25">
      <c r="A102" t="s">
        <v>388</v>
      </c>
      <c r="B102" s="2">
        <v>45664</v>
      </c>
      <c r="C102" s="2">
        <v>45677</v>
      </c>
      <c r="D102" t="s">
        <v>1413</v>
      </c>
      <c r="E102" s="10">
        <v>13</v>
      </c>
      <c r="F102" t="s">
        <v>1408</v>
      </c>
      <c r="G102" t="s">
        <v>642</v>
      </c>
      <c r="H102" t="s">
        <v>652</v>
      </c>
      <c r="I102" t="s">
        <v>670</v>
      </c>
      <c r="J102" t="s">
        <v>1053</v>
      </c>
      <c r="K102">
        <v>17</v>
      </c>
      <c r="L102" s="3">
        <v>432.13</v>
      </c>
      <c r="M102" s="3">
        <v>1034.6600000000001</v>
      </c>
      <c r="N102" s="3" t="str">
        <f>IF(Table1_1[[#This Row],[UnitPrice]]&lt;=816.08,"low",IF(Table1_1[[#This Row],[UnitPrice]]&lt;=1640.06,"medium","high"))</f>
        <v>medium</v>
      </c>
      <c r="O102" s="4">
        <v>9.1999999999999998E-2</v>
      </c>
      <c r="P102" s="3">
        <v>15971.011760000001</v>
      </c>
      <c r="Q102" s="3">
        <v>7346.21</v>
      </c>
      <c r="R102" s="4">
        <v>0.54002851476204805</v>
      </c>
      <c r="S102" t="s">
        <v>664</v>
      </c>
      <c r="T102" s="3">
        <v>8624.8017600000021</v>
      </c>
      <c r="U102" t="s">
        <v>1434</v>
      </c>
      <c r="V102" s="13" t="str">
        <f>TEXT(Table1_1[[#This Row],[OrderDate]],"MM YYYY")</f>
        <v>01 2025</v>
      </c>
      <c r="W102" s="11" t="str">
        <f>TEXT(Table1_1[[#This Row],[OrderDate]],"MM")</f>
        <v>01</v>
      </c>
      <c r="X102" s="11"/>
    </row>
    <row r="103" spans="1:24" x14ac:dyDescent="0.25">
      <c r="A103" t="s">
        <v>164</v>
      </c>
      <c r="B103" s="2">
        <v>45340</v>
      </c>
      <c r="C103" s="2">
        <v>45355</v>
      </c>
      <c r="D103" t="s">
        <v>1413</v>
      </c>
      <c r="E103" s="10">
        <v>15</v>
      </c>
      <c r="F103" t="s">
        <v>1383</v>
      </c>
      <c r="G103" t="s">
        <v>643</v>
      </c>
      <c r="H103" t="s">
        <v>652</v>
      </c>
      <c r="I103" t="s">
        <v>669</v>
      </c>
      <c r="J103" t="s">
        <v>828</v>
      </c>
      <c r="K103">
        <v>22</v>
      </c>
      <c r="L103" s="3">
        <v>928.68</v>
      </c>
      <c r="M103" s="3">
        <v>2145.17</v>
      </c>
      <c r="N103" s="3" t="str">
        <f>IF(Table1_1[[#This Row],[UnitPrice]]&lt;=816.08,"low",IF(Table1_1[[#This Row],[UnitPrice]]&lt;=1640.06,"medium","high"))</f>
        <v>high</v>
      </c>
      <c r="O103" s="4">
        <v>0.13600000000000001</v>
      </c>
      <c r="P103" s="3">
        <v>40775.391360000001</v>
      </c>
      <c r="Q103" s="3">
        <v>20430.96</v>
      </c>
      <c r="R103" s="4">
        <v>0.49893896003062199</v>
      </c>
      <c r="S103" t="s">
        <v>664</v>
      </c>
      <c r="T103" s="3">
        <v>20344.431360000002</v>
      </c>
      <c r="U103" t="s">
        <v>1433</v>
      </c>
      <c r="V103" s="13" t="str">
        <f>TEXT(Table1_1[[#This Row],[OrderDate]],"MM YYYY")</f>
        <v>02 2024</v>
      </c>
      <c r="W103" s="11" t="str">
        <f>TEXT(Table1_1[[#This Row],[OrderDate]],"MM")</f>
        <v>02</v>
      </c>
      <c r="X103" s="11"/>
    </row>
    <row r="104" spans="1:24" x14ac:dyDescent="0.25">
      <c r="A104" t="s">
        <v>515</v>
      </c>
      <c r="B104" s="2">
        <v>45387</v>
      </c>
      <c r="C104" s="2">
        <v>45391</v>
      </c>
      <c r="D104" t="s">
        <v>1413</v>
      </c>
      <c r="E104" s="10">
        <v>4</v>
      </c>
      <c r="F104" t="s">
        <v>1386</v>
      </c>
      <c r="G104" t="s">
        <v>644</v>
      </c>
      <c r="H104" t="s">
        <v>652</v>
      </c>
      <c r="I104" t="s">
        <v>668</v>
      </c>
      <c r="J104" t="s">
        <v>1179</v>
      </c>
      <c r="K104">
        <v>7</v>
      </c>
      <c r="L104" s="3">
        <v>395.07</v>
      </c>
      <c r="M104" s="3">
        <v>970.27</v>
      </c>
      <c r="N104" s="3" t="str">
        <f>IF(Table1_1[[#This Row],[UnitPrice]]&lt;=816.08,"low",IF(Table1_1[[#This Row],[UnitPrice]]&lt;=1640.06,"medium","high"))</f>
        <v>medium</v>
      </c>
      <c r="O104" s="4">
        <v>0.123</v>
      </c>
      <c r="P104" s="3">
        <v>5956.4875299999994</v>
      </c>
      <c r="Q104" s="3">
        <v>2765.49</v>
      </c>
      <c r="R104" s="4">
        <v>0.53571799049833702</v>
      </c>
      <c r="S104" t="s">
        <v>664</v>
      </c>
      <c r="T104" s="3">
        <v>3190.9975299999996</v>
      </c>
      <c r="U104" t="s">
        <v>1436</v>
      </c>
      <c r="V104" s="13" t="str">
        <f>TEXT(Table1_1[[#This Row],[OrderDate]],"MM YYYY")</f>
        <v>04 2024</v>
      </c>
      <c r="W104" s="11" t="str">
        <f>TEXT(Table1_1[[#This Row],[OrderDate]],"MM")</f>
        <v>04</v>
      </c>
      <c r="X104" s="11"/>
    </row>
    <row r="105" spans="1:24" x14ac:dyDescent="0.25">
      <c r="A105" t="s">
        <v>242</v>
      </c>
      <c r="B105" s="2">
        <v>45538</v>
      </c>
      <c r="C105" s="2">
        <v>45543</v>
      </c>
      <c r="D105" t="s">
        <v>1413</v>
      </c>
      <c r="E105" s="10">
        <v>5</v>
      </c>
      <c r="F105" t="s">
        <v>1386</v>
      </c>
      <c r="G105" t="s">
        <v>646</v>
      </c>
      <c r="H105" t="s">
        <v>652</v>
      </c>
      <c r="I105" t="s">
        <v>669</v>
      </c>
      <c r="J105" t="s">
        <v>907</v>
      </c>
      <c r="K105">
        <v>30</v>
      </c>
      <c r="L105" s="3">
        <v>197.63</v>
      </c>
      <c r="M105" s="3">
        <v>325.79000000000002</v>
      </c>
      <c r="N105" s="3" t="str">
        <f>IF(Table1_1[[#This Row],[UnitPrice]]&lt;=816.08,"low",IF(Table1_1[[#This Row],[UnitPrice]]&lt;=1640.06,"medium","high"))</f>
        <v>low</v>
      </c>
      <c r="O105" s="4">
        <v>0.11600000000000001</v>
      </c>
      <c r="P105" s="3">
        <v>8639.9508000000005</v>
      </c>
      <c r="Q105" s="3">
        <v>5928.9</v>
      </c>
      <c r="R105" s="4">
        <v>0.31378081458519402</v>
      </c>
      <c r="S105" t="s">
        <v>664</v>
      </c>
      <c r="T105" s="3">
        <v>2711.0508000000009</v>
      </c>
      <c r="U105" t="s">
        <v>1437</v>
      </c>
      <c r="V105" s="13" t="str">
        <f>TEXT(Table1_1[[#This Row],[OrderDate]],"MM YYYY")</f>
        <v>09 2024</v>
      </c>
      <c r="W105" s="11" t="str">
        <f>TEXT(Table1_1[[#This Row],[OrderDate]],"MM")</f>
        <v>09</v>
      </c>
      <c r="X105" s="11"/>
    </row>
    <row r="106" spans="1:24" x14ac:dyDescent="0.25">
      <c r="A106" t="s">
        <v>404</v>
      </c>
      <c r="B106" s="2">
        <v>45075</v>
      </c>
      <c r="C106" s="2">
        <v>45097</v>
      </c>
      <c r="D106" t="s">
        <v>1413</v>
      </c>
      <c r="E106" s="10">
        <v>22</v>
      </c>
      <c r="F106" t="s">
        <v>1399</v>
      </c>
      <c r="G106" t="s">
        <v>646</v>
      </c>
      <c r="H106" t="s">
        <v>652</v>
      </c>
      <c r="I106" t="s">
        <v>668</v>
      </c>
      <c r="J106" t="s">
        <v>1068</v>
      </c>
      <c r="K106">
        <v>5</v>
      </c>
      <c r="L106" s="3">
        <v>1295.3900000000001</v>
      </c>
      <c r="M106" s="3">
        <v>2905.06</v>
      </c>
      <c r="N106" s="3" t="str">
        <f>IF(Table1_1[[#This Row],[UnitPrice]]&lt;=816.08,"low",IF(Table1_1[[#This Row],[UnitPrice]]&lt;=1640.06,"medium","high"))</f>
        <v>high</v>
      </c>
      <c r="O106" s="4">
        <v>0.14799999999999999</v>
      </c>
      <c r="P106" s="3">
        <v>12375.5556</v>
      </c>
      <c r="Q106" s="3">
        <v>6476.9500000000007</v>
      </c>
      <c r="R106" s="4">
        <v>0.47663359857556598</v>
      </c>
      <c r="S106" t="s">
        <v>664</v>
      </c>
      <c r="T106" s="3">
        <v>5898.605599999999</v>
      </c>
      <c r="U106" t="s">
        <v>1435</v>
      </c>
      <c r="V106" s="13" t="str">
        <f>TEXT(Table1_1[[#This Row],[OrderDate]],"MM YYYY")</f>
        <v>05 2023</v>
      </c>
      <c r="W106" s="11" t="str">
        <f>TEXT(Table1_1[[#This Row],[OrderDate]],"MM")</f>
        <v>05</v>
      </c>
      <c r="X106" s="11"/>
    </row>
    <row r="107" spans="1:24" x14ac:dyDescent="0.25">
      <c r="A107" t="s">
        <v>599</v>
      </c>
      <c r="B107" s="2">
        <v>45703</v>
      </c>
      <c r="C107" s="2">
        <v>45715</v>
      </c>
      <c r="D107" t="s">
        <v>1413</v>
      </c>
      <c r="E107" s="10">
        <v>12</v>
      </c>
      <c r="F107" t="s">
        <v>1396</v>
      </c>
      <c r="G107" t="s">
        <v>644</v>
      </c>
      <c r="H107" t="s">
        <v>652</v>
      </c>
      <c r="I107" t="s">
        <v>674</v>
      </c>
      <c r="J107" t="s">
        <v>1262</v>
      </c>
      <c r="K107">
        <v>12</v>
      </c>
      <c r="L107" s="3">
        <v>1027.26</v>
      </c>
      <c r="M107" s="3">
        <v>2200.41</v>
      </c>
      <c r="N107" s="3" t="str">
        <f>IF(Table1_1[[#This Row],[UnitPrice]]&lt;=816.08,"low",IF(Table1_1[[#This Row],[UnitPrice]]&lt;=1640.06,"medium","high"))</f>
        <v>high</v>
      </c>
      <c r="O107" s="4">
        <v>8.7999999999999995E-2</v>
      </c>
      <c r="P107" s="3">
        <v>24081.287039999999</v>
      </c>
      <c r="Q107" s="3">
        <v>12327.119999999999</v>
      </c>
      <c r="R107" s="4">
        <v>0.48810377204822403</v>
      </c>
      <c r="S107" t="s">
        <v>664</v>
      </c>
      <c r="T107" s="3">
        <v>11754.16704</v>
      </c>
      <c r="U107" t="s">
        <v>1434</v>
      </c>
      <c r="V107" s="13" t="str">
        <f>TEXT(Table1_1[[#This Row],[OrderDate]],"MM YYYY")</f>
        <v>02 2025</v>
      </c>
      <c r="W107" s="11" t="str">
        <f>TEXT(Table1_1[[#This Row],[OrderDate]],"MM")</f>
        <v>02</v>
      </c>
      <c r="X107" s="11"/>
    </row>
    <row r="108" spans="1:24" x14ac:dyDescent="0.25">
      <c r="A108" t="s">
        <v>89</v>
      </c>
      <c r="B108" s="2">
        <v>45091</v>
      </c>
      <c r="C108" s="2">
        <v>45093</v>
      </c>
      <c r="D108" t="s">
        <v>1413</v>
      </c>
      <c r="E108" s="10">
        <v>2</v>
      </c>
      <c r="F108" t="s">
        <v>1406</v>
      </c>
      <c r="G108" t="s">
        <v>644</v>
      </c>
      <c r="H108" t="s">
        <v>652</v>
      </c>
      <c r="I108" t="s">
        <v>668</v>
      </c>
      <c r="J108" t="s">
        <v>753</v>
      </c>
      <c r="K108">
        <v>39</v>
      </c>
      <c r="L108" s="3">
        <v>357.36</v>
      </c>
      <c r="M108" s="3">
        <v>703.62</v>
      </c>
      <c r="N108" s="3" t="str">
        <f>IF(Table1_1[[#This Row],[UnitPrice]]&lt;=816.08,"low",IF(Table1_1[[#This Row],[UnitPrice]]&lt;=1640.06,"medium","high"))</f>
        <v>low</v>
      </c>
      <c r="O108" s="4">
        <v>0.25700000000000001</v>
      </c>
      <c r="P108" s="3">
        <v>20388.796740000002</v>
      </c>
      <c r="Q108" s="3">
        <v>13937.04</v>
      </c>
      <c r="R108" s="4">
        <v>0.31643636563125599</v>
      </c>
      <c r="S108" t="s">
        <v>664</v>
      </c>
      <c r="T108" s="3">
        <v>6451.7567400000007</v>
      </c>
      <c r="U108" t="s">
        <v>1435</v>
      </c>
      <c r="V108" s="13" t="str">
        <f>TEXT(Table1_1[[#This Row],[OrderDate]],"MM YYYY")</f>
        <v>06 2023</v>
      </c>
      <c r="W108" s="11" t="str">
        <f>TEXT(Table1_1[[#This Row],[OrderDate]],"MM")</f>
        <v>06</v>
      </c>
      <c r="X108" s="11"/>
    </row>
    <row r="109" spans="1:24" x14ac:dyDescent="0.25">
      <c r="A109" t="s">
        <v>327</v>
      </c>
      <c r="B109" s="2">
        <v>45244</v>
      </c>
      <c r="C109" s="2">
        <v>45260</v>
      </c>
      <c r="D109" t="s">
        <v>1413</v>
      </c>
      <c r="E109" s="10">
        <v>16</v>
      </c>
      <c r="F109" t="s">
        <v>1417</v>
      </c>
      <c r="G109" t="s">
        <v>647</v>
      </c>
      <c r="H109" t="s">
        <v>652</v>
      </c>
      <c r="I109" t="s">
        <v>670</v>
      </c>
      <c r="J109" t="s">
        <v>992</v>
      </c>
      <c r="K109">
        <v>12</v>
      </c>
      <c r="L109" s="3">
        <v>1017.92</v>
      </c>
      <c r="M109" s="3">
        <v>1175.25</v>
      </c>
      <c r="N109" s="3" t="str">
        <f>IF(Table1_1[[#This Row],[UnitPrice]]&lt;=816.08,"low",IF(Table1_1[[#This Row],[UnitPrice]]&lt;=1640.06,"medium","high"))</f>
        <v>medium</v>
      </c>
      <c r="O109" s="4">
        <v>7.4999999999999997E-2</v>
      </c>
      <c r="P109" s="3">
        <v>13045.275000000001</v>
      </c>
      <c r="Q109" s="3">
        <v>12215.039999999999</v>
      </c>
      <c r="R109" s="4">
        <v>6.3642583234159694E-2</v>
      </c>
      <c r="S109" t="s">
        <v>664</v>
      </c>
      <c r="T109" s="3">
        <v>830.2350000000024</v>
      </c>
      <c r="U109" t="s">
        <v>1439</v>
      </c>
      <c r="V109" s="13" t="str">
        <f>TEXT(Table1_1[[#This Row],[OrderDate]],"MM YYYY")</f>
        <v>11 2023</v>
      </c>
      <c r="W109" s="11" t="str">
        <f>TEXT(Table1_1[[#This Row],[OrderDate]],"MM")</f>
        <v>11</v>
      </c>
      <c r="X109" s="11"/>
    </row>
    <row r="110" spans="1:24" x14ac:dyDescent="0.25">
      <c r="A110" t="s">
        <v>176</v>
      </c>
      <c r="B110" s="2">
        <v>44976</v>
      </c>
      <c r="C110" s="2">
        <v>44997</v>
      </c>
      <c r="D110" t="s">
        <v>1413</v>
      </c>
      <c r="E110" s="10">
        <v>21</v>
      </c>
      <c r="F110" t="s">
        <v>1390</v>
      </c>
      <c r="G110" t="s">
        <v>646</v>
      </c>
      <c r="H110" t="s">
        <v>652</v>
      </c>
      <c r="I110" t="s">
        <v>673</v>
      </c>
      <c r="J110" t="s">
        <v>840</v>
      </c>
      <c r="K110">
        <v>10</v>
      </c>
      <c r="L110" s="3">
        <v>1234.81</v>
      </c>
      <c r="M110" s="3">
        <v>2055.2399999999998</v>
      </c>
      <c r="N110" s="3" t="str">
        <f>IF(Table1_1[[#This Row],[UnitPrice]]&lt;=816.08,"low",IF(Table1_1[[#This Row],[UnitPrice]]&lt;=1640.06,"medium","high"))</f>
        <v>high</v>
      </c>
      <c r="O110" s="4">
        <v>5.2999999999999999E-2</v>
      </c>
      <c r="P110" s="3">
        <v>19463.122799999997</v>
      </c>
      <c r="Q110" s="3">
        <v>12348.099999999999</v>
      </c>
      <c r="R110" s="4">
        <v>0.36556429680441599</v>
      </c>
      <c r="S110" t="s">
        <v>657</v>
      </c>
      <c r="T110" s="3">
        <v>7115.0227999999988</v>
      </c>
      <c r="U110" t="s">
        <v>1432</v>
      </c>
      <c r="V110" s="13" t="str">
        <f>TEXT(Table1_1[[#This Row],[OrderDate]],"MM YYYY")</f>
        <v>02 2023</v>
      </c>
      <c r="W110" s="11" t="str">
        <f>TEXT(Table1_1[[#This Row],[OrderDate]],"MM")</f>
        <v>02</v>
      </c>
      <c r="X110" s="11"/>
    </row>
    <row r="111" spans="1:24" x14ac:dyDescent="0.25">
      <c r="A111" t="s">
        <v>133</v>
      </c>
      <c r="B111" s="2">
        <v>45289</v>
      </c>
      <c r="C111" s="2">
        <v>45311</v>
      </c>
      <c r="D111" t="s">
        <v>1413</v>
      </c>
      <c r="E111" s="10">
        <v>22</v>
      </c>
      <c r="F111" t="s">
        <v>1383</v>
      </c>
      <c r="G111" t="s">
        <v>642</v>
      </c>
      <c r="H111" t="s">
        <v>652</v>
      </c>
      <c r="I111" t="s">
        <v>671</v>
      </c>
      <c r="J111" t="s">
        <v>797</v>
      </c>
      <c r="K111">
        <v>2</v>
      </c>
      <c r="L111" s="3">
        <v>1395.49</v>
      </c>
      <c r="M111" s="3">
        <v>1679.42</v>
      </c>
      <c r="N111" s="3" t="str">
        <f>IF(Table1_1[[#This Row],[UnitPrice]]&lt;=816.08,"low",IF(Table1_1[[#This Row],[UnitPrice]]&lt;=1640.06,"medium","high"))</f>
        <v>high</v>
      </c>
      <c r="O111" s="4">
        <v>0.20300000000000001</v>
      </c>
      <c r="P111" s="3">
        <v>2676.99548</v>
      </c>
      <c r="Q111" s="3">
        <v>2790.98</v>
      </c>
      <c r="R111" s="4">
        <v>-4.2579272490964402E-2</v>
      </c>
      <c r="S111" t="s">
        <v>657</v>
      </c>
      <c r="T111" s="3">
        <v>-113.98451999999997</v>
      </c>
      <c r="U111" t="s">
        <v>1439</v>
      </c>
      <c r="V111" s="13" t="str">
        <f>TEXT(Table1_1[[#This Row],[OrderDate]],"MM YYYY")</f>
        <v>12 2023</v>
      </c>
      <c r="W111" s="11" t="str">
        <f>TEXT(Table1_1[[#This Row],[OrderDate]],"MM")</f>
        <v>12</v>
      </c>
      <c r="X111" s="11"/>
    </row>
    <row r="112" spans="1:24" x14ac:dyDescent="0.25">
      <c r="A112" t="s">
        <v>564</v>
      </c>
      <c r="B112" s="2">
        <v>45703</v>
      </c>
      <c r="C112" s="2">
        <v>45717</v>
      </c>
      <c r="D112" t="s">
        <v>1413</v>
      </c>
      <c r="E112" s="10">
        <v>14</v>
      </c>
      <c r="F112" t="s">
        <v>1393</v>
      </c>
      <c r="G112" t="s">
        <v>643</v>
      </c>
      <c r="H112" t="s">
        <v>652</v>
      </c>
      <c r="I112" t="s">
        <v>674</v>
      </c>
      <c r="J112" t="s">
        <v>1227</v>
      </c>
      <c r="K112">
        <v>27</v>
      </c>
      <c r="L112" s="3">
        <v>1162.8599999999999</v>
      </c>
      <c r="M112" s="3">
        <v>1447.68</v>
      </c>
      <c r="N112" s="3" t="str">
        <f>IF(Table1_1[[#This Row],[UnitPrice]]&lt;=816.08,"low",IF(Table1_1[[#This Row],[UnitPrice]]&lt;=1640.06,"medium","high"))</f>
        <v>medium</v>
      </c>
      <c r="O112" s="4">
        <v>8.6999999999999994E-2</v>
      </c>
      <c r="P112" s="3">
        <v>35686.759680000003</v>
      </c>
      <c r="Q112" s="3">
        <v>31397.219999999998</v>
      </c>
      <c r="R112" s="4">
        <v>0.120199752470214</v>
      </c>
      <c r="S112" t="s">
        <v>657</v>
      </c>
      <c r="T112" s="3">
        <v>4289.5396800000053</v>
      </c>
      <c r="U112" t="s">
        <v>1434</v>
      </c>
      <c r="V112" s="13" t="str">
        <f>TEXT(Table1_1[[#This Row],[OrderDate]],"MM YYYY")</f>
        <v>02 2025</v>
      </c>
      <c r="W112" s="11" t="str">
        <f>TEXT(Table1_1[[#This Row],[OrderDate]],"MM")</f>
        <v>02</v>
      </c>
      <c r="X112" s="11"/>
    </row>
    <row r="113" spans="1:24" x14ac:dyDescent="0.25">
      <c r="A113" t="s">
        <v>105</v>
      </c>
      <c r="B113" s="2">
        <v>45910</v>
      </c>
      <c r="C113" s="2">
        <v>45930</v>
      </c>
      <c r="D113" t="s">
        <v>1413</v>
      </c>
      <c r="E113" s="10">
        <v>20</v>
      </c>
      <c r="F113" t="s">
        <v>1393</v>
      </c>
      <c r="G113" t="s">
        <v>642</v>
      </c>
      <c r="H113" t="s">
        <v>652</v>
      </c>
      <c r="I113" t="s">
        <v>671</v>
      </c>
      <c r="J113" t="s">
        <v>769</v>
      </c>
      <c r="K113">
        <v>17</v>
      </c>
      <c r="L113" s="3">
        <v>1009.48</v>
      </c>
      <c r="M113" s="3">
        <v>1088.81</v>
      </c>
      <c r="N113" s="3" t="str">
        <f>IF(Table1_1[[#This Row],[UnitPrice]]&lt;=816.08,"low",IF(Table1_1[[#This Row],[UnitPrice]]&lt;=1640.06,"medium","high"))</f>
        <v>medium</v>
      </c>
      <c r="O113" s="4">
        <v>0.16</v>
      </c>
      <c r="P113" s="3">
        <v>15548.2068</v>
      </c>
      <c r="Q113" s="3">
        <v>17161.16</v>
      </c>
      <c r="R113" s="4">
        <v>-0.103738856882197</v>
      </c>
      <c r="S113" t="s">
        <v>657</v>
      </c>
      <c r="T113" s="3">
        <v>-1612.9531999999999</v>
      </c>
      <c r="U113" t="s">
        <v>1438</v>
      </c>
      <c r="V113" s="13" t="str">
        <f>TEXT(Table1_1[[#This Row],[OrderDate]],"MM YYYY")</f>
        <v>09 2025</v>
      </c>
      <c r="W113" s="11" t="str">
        <f>TEXT(Table1_1[[#This Row],[OrderDate]],"MM")</f>
        <v>09</v>
      </c>
      <c r="X113" s="11"/>
    </row>
    <row r="114" spans="1:24" x14ac:dyDescent="0.25">
      <c r="A114" t="s">
        <v>191</v>
      </c>
      <c r="B114" s="2">
        <v>45915</v>
      </c>
      <c r="C114" s="2">
        <v>45918</v>
      </c>
      <c r="D114" t="s">
        <v>1413</v>
      </c>
      <c r="E114" s="10">
        <v>3</v>
      </c>
      <c r="F114" t="s">
        <v>1421</v>
      </c>
      <c r="G114" t="s">
        <v>644</v>
      </c>
      <c r="H114" t="s">
        <v>652</v>
      </c>
      <c r="I114" t="s">
        <v>674</v>
      </c>
      <c r="J114" t="s">
        <v>855</v>
      </c>
      <c r="K114">
        <v>9</v>
      </c>
      <c r="L114" s="3">
        <v>5.5</v>
      </c>
      <c r="M114" s="3">
        <v>5.92</v>
      </c>
      <c r="N114" s="3" t="str">
        <f>IF(Table1_1[[#This Row],[UnitPrice]]&lt;=816.08,"low",IF(Table1_1[[#This Row],[UnitPrice]]&lt;=1640.06,"medium","high"))</f>
        <v>low</v>
      </c>
      <c r="O114" s="4">
        <v>0.21199999999999999</v>
      </c>
      <c r="P114" s="3">
        <v>41.984640000000006</v>
      </c>
      <c r="Q114" s="3">
        <v>49.5</v>
      </c>
      <c r="R114" s="4">
        <v>-0.179002606667581</v>
      </c>
      <c r="S114" t="s">
        <v>657</v>
      </c>
      <c r="T114" s="3">
        <v>-7.515359999999994</v>
      </c>
      <c r="U114" t="s">
        <v>1438</v>
      </c>
      <c r="V114" s="13" t="str">
        <f>TEXT(Table1_1[[#This Row],[OrderDate]],"MM YYYY")</f>
        <v>09 2025</v>
      </c>
      <c r="W114" s="11" t="str">
        <f>TEXT(Table1_1[[#This Row],[OrderDate]],"MM")</f>
        <v>09</v>
      </c>
      <c r="X114" s="11"/>
    </row>
    <row r="115" spans="1:24" x14ac:dyDescent="0.25">
      <c r="A115" t="s">
        <v>301</v>
      </c>
      <c r="B115" s="2">
        <v>45746</v>
      </c>
      <c r="C115" s="2">
        <v>45754</v>
      </c>
      <c r="D115" t="s">
        <v>1413</v>
      </c>
      <c r="E115" s="10">
        <v>8</v>
      </c>
      <c r="F115" t="s">
        <v>1417</v>
      </c>
      <c r="G115" t="s">
        <v>644</v>
      </c>
      <c r="H115" t="s">
        <v>652</v>
      </c>
      <c r="I115" t="s">
        <v>669</v>
      </c>
      <c r="J115" t="s">
        <v>966</v>
      </c>
      <c r="K115">
        <v>11</v>
      </c>
      <c r="L115" s="3">
        <v>71.62</v>
      </c>
      <c r="M115" s="3">
        <v>118.37</v>
      </c>
      <c r="N115" s="3" t="str">
        <f>IF(Table1_1[[#This Row],[UnitPrice]]&lt;=816.08,"low",IF(Table1_1[[#This Row],[UnitPrice]]&lt;=1640.06,"medium","high"))</f>
        <v>low</v>
      </c>
      <c r="O115" s="4">
        <v>0.156</v>
      </c>
      <c r="P115" s="3">
        <v>1098.9470800000001</v>
      </c>
      <c r="Q115" s="3">
        <v>787.82</v>
      </c>
      <c r="R115" s="4">
        <v>0.28311379652603502</v>
      </c>
      <c r="S115" t="s">
        <v>657</v>
      </c>
      <c r="T115" s="3">
        <v>311.12708000000009</v>
      </c>
      <c r="U115" t="s">
        <v>1434</v>
      </c>
      <c r="V115" s="13" t="str">
        <f>TEXT(Table1_1[[#This Row],[OrderDate]],"MM YYYY")</f>
        <v>03 2025</v>
      </c>
      <c r="W115" s="11" t="str">
        <f>TEXT(Table1_1[[#This Row],[OrderDate]],"MM")</f>
        <v>03</v>
      </c>
      <c r="X115" s="11"/>
    </row>
    <row r="116" spans="1:24" x14ac:dyDescent="0.25">
      <c r="A116" t="s">
        <v>222</v>
      </c>
      <c r="B116" s="2">
        <v>45544</v>
      </c>
      <c r="C116" s="2">
        <v>45566</v>
      </c>
      <c r="D116" t="s">
        <v>1413</v>
      </c>
      <c r="E116" s="10">
        <v>22</v>
      </c>
      <c r="F116" t="s">
        <v>1394</v>
      </c>
      <c r="G116" t="s">
        <v>645</v>
      </c>
      <c r="H116" t="s">
        <v>652</v>
      </c>
      <c r="I116" t="s">
        <v>669</v>
      </c>
      <c r="J116" t="s">
        <v>887</v>
      </c>
      <c r="K116">
        <v>6</v>
      </c>
      <c r="L116" s="3">
        <v>1166.18</v>
      </c>
      <c r="M116" s="3">
        <v>1335.02</v>
      </c>
      <c r="N116" s="3" t="str">
        <f>IF(Table1_1[[#This Row],[UnitPrice]]&lt;=816.08,"low",IF(Table1_1[[#This Row],[UnitPrice]]&lt;=1640.06,"medium","high"))</f>
        <v>medium</v>
      </c>
      <c r="O116" s="4">
        <v>0.128</v>
      </c>
      <c r="P116" s="3">
        <v>6984.8246399999998</v>
      </c>
      <c r="Q116" s="3">
        <v>6997.08</v>
      </c>
      <c r="R116" s="4">
        <v>-1.75456946045822E-3</v>
      </c>
      <c r="S116" t="s">
        <v>657</v>
      </c>
      <c r="T116" s="3">
        <v>-12.25536000000011</v>
      </c>
      <c r="U116" t="s">
        <v>1437</v>
      </c>
      <c r="V116" s="13" t="str">
        <f>TEXT(Table1_1[[#This Row],[OrderDate]],"MM YYYY")</f>
        <v>09 2024</v>
      </c>
      <c r="W116" s="11" t="str">
        <f>TEXT(Table1_1[[#This Row],[OrderDate]],"MM")</f>
        <v>09</v>
      </c>
      <c r="X116" s="11"/>
    </row>
    <row r="117" spans="1:24" x14ac:dyDescent="0.25">
      <c r="A117" t="s">
        <v>111</v>
      </c>
      <c r="B117" s="2">
        <v>45684</v>
      </c>
      <c r="C117" s="2">
        <v>45703</v>
      </c>
      <c r="D117" t="s">
        <v>1413</v>
      </c>
      <c r="E117" s="10">
        <v>19</v>
      </c>
      <c r="F117" t="s">
        <v>1394</v>
      </c>
      <c r="G117" t="s">
        <v>644</v>
      </c>
      <c r="H117" t="s">
        <v>652</v>
      </c>
      <c r="I117" t="s">
        <v>671</v>
      </c>
      <c r="J117" t="s">
        <v>775</v>
      </c>
      <c r="K117">
        <v>8</v>
      </c>
      <c r="L117" s="3">
        <v>1253.22</v>
      </c>
      <c r="M117" s="3">
        <v>3104.71</v>
      </c>
      <c r="N117" s="3" t="str">
        <f>IF(Table1_1[[#This Row],[UnitPrice]]&lt;=816.08,"low",IF(Table1_1[[#This Row],[UnitPrice]]&lt;=1640.06,"medium","high"))</f>
        <v>high</v>
      </c>
      <c r="O117" s="4">
        <v>0</v>
      </c>
      <c r="P117" s="3">
        <v>24837.68</v>
      </c>
      <c r="Q117" s="3">
        <v>10025.76</v>
      </c>
      <c r="R117" s="4">
        <v>0.59634877331538205</v>
      </c>
      <c r="S117" t="s">
        <v>657</v>
      </c>
      <c r="T117" s="3">
        <v>14811.92</v>
      </c>
      <c r="U117" t="s">
        <v>1434</v>
      </c>
      <c r="V117" s="13" t="str">
        <f>TEXT(Table1_1[[#This Row],[OrderDate]],"MM YYYY")</f>
        <v>01 2025</v>
      </c>
      <c r="W117" s="11" t="str">
        <f>TEXT(Table1_1[[#This Row],[OrderDate]],"MM")</f>
        <v>01</v>
      </c>
      <c r="X117" s="11"/>
    </row>
    <row r="118" spans="1:24" x14ac:dyDescent="0.25">
      <c r="A118" t="s">
        <v>91</v>
      </c>
      <c r="B118" s="2">
        <v>44965</v>
      </c>
      <c r="C118" s="2">
        <v>44968</v>
      </c>
      <c r="D118" t="s">
        <v>1413</v>
      </c>
      <c r="E118" s="10">
        <v>3</v>
      </c>
      <c r="F118" t="s">
        <v>1408</v>
      </c>
      <c r="G118" t="s">
        <v>642</v>
      </c>
      <c r="H118" t="s">
        <v>652</v>
      </c>
      <c r="I118" t="s">
        <v>670</v>
      </c>
      <c r="J118" t="s">
        <v>755</v>
      </c>
      <c r="K118">
        <v>17</v>
      </c>
      <c r="L118" s="3">
        <v>1410.05</v>
      </c>
      <c r="M118" s="3">
        <v>2763.95</v>
      </c>
      <c r="N118" s="3" t="str">
        <f>IF(Table1_1[[#This Row],[UnitPrice]]&lt;=816.08,"low",IF(Table1_1[[#This Row],[UnitPrice]]&lt;=1640.06,"medium","high"))</f>
        <v>high</v>
      </c>
      <c r="O118" s="4">
        <v>0.161</v>
      </c>
      <c r="P118" s="3">
        <v>39422.21884999999</v>
      </c>
      <c r="Q118" s="3">
        <v>23970.85</v>
      </c>
      <c r="R118" s="4">
        <v>0.39194569206750801</v>
      </c>
      <c r="S118" t="s">
        <v>665</v>
      </c>
      <c r="T118" s="3">
        <v>15451.368849999992</v>
      </c>
      <c r="U118" t="s">
        <v>1432</v>
      </c>
      <c r="V118" s="13" t="str">
        <f>TEXT(Table1_1[[#This Row],[OrderDate]],"MM YYYY")</f>
        <v>02 2023</v>
      </c>
      <c r="W118" s="11" t="str">
        <f>TEXT(Table1_1[[#This Row],[OrderDate]],"MM")</f>
        <v>02</v>
      </c>
      <c r="X118" s="11"/>
    </row>
    <row r="119" spans="1:24" x14ac:dyDescent="0.25">
      <c r="A119" t="s">
        <v>472</v>
      </c>
      <c r="B119" s="2">
        <v>45358</v>
      </c>
      <c r="C119" s="2">
        <v>45385</v>
      </c>
      <c r="D119" t="s">
        <v>1413</v>
      </c>
      <c r="E119" s="10">
        <v>27</v>
      </c>
      <c r="F119" t="s">
        <v>1410</v>
      </c>
      <c r="G119" t="s">
        <v>642</v>
      </c>
      <c r="H119" t="s">
        <v>652</v>
      </c>
      <c r="I119" t="s">
        <v>669</v>
      </c>
      <c r="J119" t="s">
        <v>1136</v>
      </c>
      <c r="K119">
        <v>23</v>
      </c>
      <c r="L119" s="3">
        <v>738.16</v>
      </c>
      <c r="M119" s="3">
        <v>956.49</v>
      </c>
      <c r="N119" s="3" t="str">
        <f>IF(Table1_1[[#This Row],[UnitPrice]]&lt;=816.08,"low",IF(Table1_1[[#This Row],[UnitPrice]]&lt;=1640.06,"medium","high"))</f>
        <v>medium</v>
      </c>
      <c r="O119" s="4">
        <v>0.152</v>
      </c>
      <c r="P119" s="3">
        <v>18655.380959999999</v>
      </c>
      <c r="Q119" s="3">
        <v>16977.68</v>
      </c>
      <c r="R119" s="4">
        <v>8.9931208780846997E-2</v>
      </c>
      <c r="S119" t="s">
        <v>665</v>
      </c>
      <c r="T119" s="3">
        <v>1677.7009599999983</v>
      </c>
      <c r="U119" t="s">
        <v>1433</v>
      </c>
      <c r="V119" s="13" t="str">
        <f>TEXT(Table1_1[[#This Row],[OrderDate]],"MM YYYY")</f>
        <v>03 2024</v>
      </c>
      <c r="W119" s="11" t="str">
        <f>TEXT(Table1_1[[#This Row],[OrderDate]],"MM")</f>
        <v>03</v>
      </c>
      <c r="X119" s="11"/>
    </row>
    <row r="120" spans="1:24" x14ac:dyDescent="0.25">
      <c r="A120" t="s">
        <v>623</v>
      </c>
      <c r="B120" s="2">
        <v>45468</v>
      </c>
      <c r="C120" s="2">
        <v>45473</v>
      </c>
      <c r="D120" t="s">
        <v>1413</v>
      </c>
      <c r="E120" s="10">
        <v>5</v>
      </c>
      <c r="F120" t="s">
        <v>1383</v>
      </c>
      <c r="G120" t="s">
        <v>643</v>
      </c>
      <c r="H120" t="s">
        <v>652</v>
      </c>
      <c r="I120" t="s">
        <v>670</v>
      </c>
      <c r="J120" t="s">
        <v>1286</v>
      </c>
      <c r="K120">
        <v>10</v>
      </c>
      <c r="L120" s="3">
        <v>1323.55</v>
      </c>
      <c r="M120" s="3">
        <v>3230.35</v>
      </c>
      <c r="N120" s="3" t="str">
        <f>IF(Table1_1[[#This Row],[UnitPrice]]&lt;=816.08,"low",IF(Table1_1[[#This Row],[UnitPrice]]&lt;=1640.06,"medium","high"))</f>
        <v>high</v>
      </c>
      <c r="O120" s="4">
        <v>2.1999999999999999E-2</v>
      </c>
      <c r="P120" s="3">
        <v>31592.823</v>
      </c>
      <c r="Q120" s="3">
        <v>13235.5</v>
      </c>
      <c r="R120" s="4">
        <v>0.58105991351263497</v>
      </c>
      <c r="S120" t="s">
        <v>665</v>
      </c>
      <c r="T120" s="3">
        <v>18357.323</v>
      </c>
      <c r="U120" t="s">
        <v>1436</v>
      </c>
      <c r="V120" s="13" t="str">
        <f>TEXT(Table1_1[[#This Row],[OrderDate]],"MM YYYY")</f>
        <v>06 2024</v>
      </c>
      <c r="W120" s="11" t="str">
        <f>TEXT(Table1_1[[#This Row],[OrderDate]],"MM")</f>
        <v>06</v>
      </c>
      <c r="X120" s="11"/>
    </row>
    <row r="121" spans="1:24" x14ac:dyDescent="0.25">
      <c r="A121" t="s">
        <v>219</v>
      </c>
      <c r="B121" s="2">
        <v>45859</v>
      </c>
      <c r="C121" s="2">
        <v>45876</v>
      </c>
      <c r="D121" t="s">
        <v>1413</v>
      </c>
      <c r="E121" s="10">
        <v>17</v>
      </c>
      <c r="F121" t="s">
        <v>1386</v>
      </c>
      <c r="G121" t="s">
        <v>647</v>
      </c>
      <c r="H121" t="s">
        <v>652</v>
      </c>
      <c r="I121" t="s">
        <v>674</v>
      </c>
      <c r="J121" t="s">
        <v>884</v>
      </c>
      <c r="K121">
        <v>7</v>
      </c>
      <c r="L121" s="3">
        <v>1204.95</v>
      </c>
      <c r="M121" s="3">
        <v>2065.73</v>
      </c>
      <c r="N121" s="3" t="str">
        <f>IF(Table1_1[[#This Row],[UnitPrice]]&lt;=816.08,"low",IF(Table1_1[[#This Row],[UnitPrice]]&lt;=1640.06,"medium","high"))</f>
        <v>high</v>
      </c>
      <c r="O121" s="4">
        <v>0.13600000000000001</v>
      </c>
      <c r="P121" s="3">
        <v>12493.535040000001</v>
      </c>
      <c r="Q121" s="3">
        <v>8434.65</v>
      </c>
      <c r="R121" s="4">
        <v>0.324878829491001</v>
      </c>
      <c r="S121" t="s">
        <v>665</v>
      </c>
      <c r="T121" s="3">
        <v>4058.885040000001</v>
      </c>
      <c r="U121" t="s">
        <v>1438</v>
      </c>
      <c r="V121" s="13" t="str">
        <f>TEXT(Table1_1[[#This Row],[OrderDate]],"MM YYYY")</f>
        <v>07 2025</v>
      </c>
      <c r="W121" s="11" t="str">
        <f>TEXT(Table1_1[[#This Row],[OrderDate]],"MM")</f>
        <v>07</v>
      </c>
      <c r="X121" s="11"/>
    </row>
    <row r="122" spans="1:24" x14ac:dyDescent="0.25">
      <c r="A122" t="s">
        <v>585</v>
      </c>
      <c r="B122" s="2">
        <v>45042</v>
      </c>
      <c r="C122" s="2">
        <v>45042</v>
      </c>
      <c r="D122" t="s">
        <v>1413</v>
      </c>
      <c r="E122" s="10">
        <v>0</v>
      </c>
      <c r="F122" t="s">
        <v>1391</v>
      </c>
      <c r="G122" t="s">
        <v>645</v>
      </c>
      <c r="H122" t="s">
        <v>652</v>
      </c>
      <c r="I122" t="s">
        <v>668</v>
      </c>
      <c r="J122" t="s">
        <v>1248</v>
      </c>
      <c r="K122">
        <v>23</v>
      </c>
      <c r="L122" s="3">
        <v>81.489999999999995</v>
      </c>
      <c r="M122" s="3">
        <v>113.08</v>
      </c>
      <c r="N122" s="3" t="str">
        <f>IF(Table1_1[[#This Row],[UnitPrice]]&lt;=816.08,"low",IF(Table1_1[[#This Row],[UnitPrice]]&lt;=1640.06,"medium","high"))</f>
        <v>low</v>
      </c>
      <c r="O122" s="4">
        <v>0.121</v>
      </c>
      <c r="P122" s="3">
        <v>2286.1383599999999</v>
      </c>
      <c r="Q122" s="3">
        <v>1874.27</v>
      </c>
      <c r="R122" s="4">
        <v>0.18015898215364401</v>
      </c>
      <c r="S122" t="s">
        <v>665</v>
      </c>
      <c r="T122" s="3">
        <v>411.86835999999994</v>
      </c>
      <c r="U122" t="s">
        <v>1435</v>
      </c>
      <c r="V122" s="13" t="str">
        <f>TEXT(Table1_1[[#This Row],[OrderDate]],"MM YYYY")</f>
        <v>04 2023</v>
      </c>
      <c r="W122" s="11" t="str">
        <f>TEXT(Table1_1[[#This Row],[OrderDate]],"MM")</f>
        <v>04</v>
      </c>
      <c r="X122" s="11"/>
    </row>
    <row r="123" spans="1:24" x14ac:dyDescent="0.25">
      <c r="A123" t="s">
        <v>391</v>
      </c>
      <c r="B123" s="2">
        <v>45876</v>
      </c>
      <c r="C123" s="2">
        <v>45906</v>
      </c>
      <c r="D123" t="s">
        <v>1413</v>
      </c>
      <c r="E123" s="10">
        <v>30</v>
      </c>
      <c r="F123" t="s">
        <v>1418</v>
      </c>
      <c r="G123" t="s">
        <v>643</v>
      </c>
      <c r="H123" t="s">
        <v>652</v>
      </c>
      <c r="I123" t="s">
        <v>670</v>
      </c>
      <c r="J123" t="s">
        <v>1055</v>
      </c>
      <c r="K123">
        <v>9</v>
      </c>
      <c r="L123" s="3">
        <v>833.73</v>
      </c>
      <c r="M123" s="3">
        <v>1116.5999999999999</v>
      </c>
      <c r="N123" s="3" t="str">
        <f>IF(Table1_1[[#This Row],[UnitPrice]]&lt;=816.08,"low",IF(Table1_1[[#This Row],[UnitPrice]]&lt;=1640.06,"medium","high"))</f>
        <v>medium</v>
      </c>
      <c r="O123" s="4">
        <v>0.17599999999999999</v>
      </c>
      <c r="P123" s="3">
        <v>8280.7056000000011</v>
      </c>
      <c r="Q123" s="3">
        <v>7503.57</v>
      </c>
      <c r="R123" s="4">
        <v>9.3848958958280201E-2</v>
      </c>
      <c r="S123" t="s">
        <v>665</v>
      </c>
      <c r="T123" s="3">
        <v>777.13560000000143</v>
      </c>
      <c r="U123" t="s">
        <v>1438</v>
      </c>
      <c r="V123" s="13" t="str">
        <f>TEXT(Table1_1[[#This Row],[OrderDate]],"MM YYYY")</f>
        <v>08 2025</v>
      </c>
      <c r="W123" s="11" t="str">
        <f>TEXT(Table1_1[[#This Row],[OrderDate]],"MM")</f>
        <v>08</v>
      </c>
      <c r="X123" s="11"/>
    </row>
    <row r="124" spans="1:24" x14ac:dyDescent="0.25">
      <c r="A124" t="s">
        <v>478</v>
      </c>
      <c r="B124" s="2">
        <v>45809</v>
      </c>
      <c r="C124" s="2">
        <v>45813</v>
      </c>
      <c r="D124" t="s">
        <v>1413</v>
      </c>
      <c r="E124" s="10">
        <v>4</v>
      </c>
      <c r="F124" t="s">
        <v>1400</v>
      </c>
      <c r="G124" t="s">
        <v>647</v>
      </c>
      <c r="H124" t="s">
        <v>652</v>
      </c>
      <c r="I124" t="s">
        <v>668</v>
      </c>
      <c r="J124" t="s">
        <v>1142</v>
      </c>
      <c r="K124">
        <v>12</v>
      </c>
      <c r="L124" s="3">
        <v>1171.42</v>
      </c>
      <c r="M124" s="3">
        <v>2187.8000000000002</v>
      </c>
      <c r="N124" s="3" t="str">
        <f>IF(Table1_1[[#This Row],[UnitPrice]]&lt;=816.08,"low",IF(Table1_1[[#This Row],[UnitPrice]]&lt;=1640.06,"medium","high"))</f>
        <v>high</v>
      </c>
      <c r="O124" s="4">
        <v>0.23</v>
      </c>
      <c r="P124" s="3">
        <v>20215.272000000001</v>
      </c>
      <c r="Q124" s="3">
        <v>14057.04</v>
      </c>
      <c r="R124" s="4">
        <v>0.30463265594447603</v>
      </c>
      <c r="S124" t="s">
        <v>665</v>
      </c>
      <c r="T124" s="3">
        <v>6158.232</v>
      </c>
      <c r="U124" t="s">
        <v>1431</v>
      </c>
      <c r="V124" s="13" t="str">
        <f>TEXT(Table1_1[[#This Row],[OrderDate]],"MM YYYY")</f>
        <v>06 2025</v>
      </c>
      <c r="W124" s="11" t="str">
        <f>TEXT(Table1_1[[#This Row],[OrderDate]],"MM")</f>
        <v>06</v>
      </c>
      <c r="X124" s="11"/>
    </row>
    <row r="125" spans="1:24" x14ac:dyDescent="0.25">
      <c r="A125" t="s">
        <v>476</v>
      </c>
      <c r="B125" s="2">
        <v>45466</v>
      </c>
      <c r="C125" s="2">
        <v>45471</v>
      </c>
      <c r="D125" t="s">
        <v>1413</v>
      </c>
      <c r="E125" s="10">
        <v>5</v>
      </c>
      <c r="F125" t="s">
        <v>1384</v>
      </c>
      <c r="G125" t="s">
        <v>644</v>
      </c>
      <c r="H125" t="s">
        <v>652</v>
      </c>
      <c r="I125" t="s">
        <v>674</v>
      </c>
      <c r="J125" t="s">
        <v>1140</v>
      </c>
      <c r="K125">
        <v>8</v>
      </c>
      <c r="L125" s="3">
        <v>242.31</v>
      </c>
      <c r="M125" s="3">
        <v>587.95000000000005</v>
      </c>
      <c r="N125" s="3" t="str">
        <f>IF(Table1_1[[#This Row],[UnitPrice]]&lt;=816.08,"low",IF(Table1_1[[#This Row],[UnitPrice]]&lt;=1640.06,"medium","high"))</f>
        <v>low</v>
      </c>
      <c r="O125" s="4">
        <v>0.22900000000000001</v>
      </c>
      <c r="P125" s="3">
        <v>3626.4756000000002</v>
      </c>
      <c r="Q125" s="3">
        <v>1938.48</v>
      </c>
      <c r="R125" s="4">
        <v>0.46546448568411702</v>
      </c>
      <c r="S125" t="s">
        <v>665</v>
      </c>
      <c r="T125" s="3">
        <v>1687.9956000000002</v>
      </c>
      <c r="U125" t="s">
        <v>1436</v>
      </c>
      <c r="V125" s="13" t="str">
        <f>TEXT(Table1_1[[#This Row],[OrderDate]],"MM YYYY")</f>
        <v>06 2024</v>
      </c>
      <c r="W125" s="11" t="str">
        <f>TEXT(Table1_1[[#This Row],[OrderDate]],"MM")</f>
        <v>06</v>
      </c>
      <c r="X125" s="11"/>
    </row>
    <row r="126" spans="1:24" x14ac:dyDescent="0.25">
      <c r="A126" t="s">
        <v>516</v>
      </c>
      <c r="B126" s="2">
        <v>45774</v>
      </c>
      <c r="C126" s="2">
        <v>45794</v>
      </c>
      <c r="D126" t="s">
        <v>1413</v>
      </c>
      <c r="E126" s="10">
        <v>20</v>
      </c>
      <c r="F126" t="s">
        <v>1420</v>
      </c>
      <c r="G126" t="s">
        <v>642</v>
      </c>
      <c r="H126" t="s">
        <v>652</v>
      </c>
      <c r="I126" t="s">
        <v>671</v>
      </c>
      <c r="J126" t="s">
        <v>1180</v>
      </c>
      <c r="K126">
        <v>8</v>
      </c>
      <c r="L126" s="3">
        <v>932.26</v>
      </c>
      <c r="M126" s="3">
        <v>1624.67</v>
      </c>
      <c r="N126" s="3" t="str">
        <f>IF(Table1_1[[#This Row],[UnitPrice]]&lt;=816.08,"low",IF(Table1_1[[#This Row],[UnitPrice]]&lt;=1640.06,"medium","high"))</f>
        <v>medium</v>
      </c>
      <c r="O126" s="4">
        <v>0.23499999999999999</v>
      </c>
      <c r="P126" s="3">
        <v>9942.9804000000004</v>
      </c>
      <c r="Q126" s="3">
        <v>7458.08</v>
      </c>
      <c r="R126" s="4">
        <v>0.24991504559337199</v>
      </c>
      <c r="S126" t="s">
        <v>666</v>
      </c>
      <c r="T126" s="3">
        <v>2484.9004000000004</v>
      </c>
      <c r="U126" t="s">
        <v>1431</v>
      </c>
      <c r="V126" s="13" t="str">
        <f>TEXT(Table1_1[[#This Row],[OrderDate]],"MM YYYY")</f>
        <v>04 2025</v>
      </c>
      <c r="W126" s="11" t="str">
        <f>TEXT(Table1_1[[#This Row],[OrderDate]],"MM")</f>
        <v>04</v>
      </c>
      <c r="X126" s="11"/>
    </row>
    <row r="127" spans="1:24" x14ac:dyDescent="0.25">
      <c r="A127" t="s">
        <v>201</v>
      </c>
      <c r="B127" s="2">
        <v>45146</v>
      </c>
      <c r="C127" s="2">
        <v>45160</v>
      </c>
      <c r="D127" t="s">
        <v>1413</v>
      </c>
      <c r="E127" s="10">
        <v>14</v>
      </c>
      <c r="F127" t="s">
        <v>1392</v>
      </c>
      <c r="G127" t="s">
        <v>644</v>
      </c>
      <c r="H127" t="s">
        <v>652</v>
      </c>
      <c r="I127" t="s">
        <v>673</v>
      </c>
      <c r="J127" t="s">
        <v>866</v>
      </c>
      <c r="K127">
        <v>14</v>
      </c>
      <c r="L127" s="3">
        <v>446.69</v>
      </c>
      <c r="M127" s="3">
        <v>967.25</v>
      </c>
      <c r="N127" s="3" t="str">
        <f>IF(Table1_1[[#This Row],[UnitPrice]]&lt;=816.08,"low",IF(Table1_1[[#This Row],[UnitPrice]]&lt;=1640.06,"medium","high"))</f>
        <v>medium</v>
      </c>
      <c r="O127" s="4">
        <v>9.4E-2</v>
      </c>
      <c r="P127" s="3">
        <v>12268.599</v>
      </c>
      <c r="Q127" s="3">
        <v>6253.66</v>
      </c>
      <c r="R127" s="4">
        <v>0.49027105702941298</v>
      </c>
      <c r="S127" t="s">
        <v>666</v>
      </c>
      <c r="T127" s="3">
        <v>6014.9390000000003</v>
      </c>
      <c r="U127" t="s">
        <v>1430</v>
      </c>
      <c r="V127" s="13" t="str">
        <f>TEXT(Table1_1[[#This Row],[OrderDate]],"MM YYYY")</f>
        <v>08 2023</v>
      </c>
      <c r="W127" s="11" t="str">
        <f>TEXT(Table1_1[[#This Row],[OrderDate]],"MM")</f>
        <v>08</v>
      </c>
      <c r="X127" s="11"/>
    </row>
    <row r="128" spans="1:24" x14ac:dyDescent="0.25">
      <c r="A128" t="s">
        <v>383</v>
      </c>
      <c r="B128" s="2">
        <v>45751</v>
      </c>
      <c r="C128" s="2">
        <v>45757</v>
      </c>
      <c r="D128" t="s">
        <v>1413</v>
      </c>
      <c r="E128" s="10">
        <v>6</v>
      </c>
      <c r="F128" t="s">
        <v>1392</v>
      </c>
      <c r="G128" t="s">
        <v>644</v>
      </c>
      <c r="H128" t="s">
        <v>652</v>
      </c>
      <c r="I128" t="s">
        <v>669</v>
      </c>
      <c r="J128" t="s">
        <v>1048</v>
      </c>
      <c r="K128">
        <v>38</v>
      </c>
      <c r="L128" s="3">
        <v>290.14</v>
      </c>
      <c r="M128" s="3">
        <v>250.73</v>
      </c>
      <c r="N128" s="3" t="str">
        <f>IF(Table1_1[[#This Row],[UnitPrice]]&lt;=816.08,"low",IF(Table1_1[[#This Row],[UnitPrice]]&lt;=1640.06,"medium","high"))</f>
        <v>low</v>
      </c>
      <c r="O128" s="4">
        <v>3.4000000000000002E-2</v>
      </c>
      <c r="P128" s="3">
        <v>9203.7968399999991</v>
      </c>
      <c r="Q128" s="3">
        <v>11025.32</v>
      </c>
      <c r="R128" s="4">
        <v>-0.197909970381311</v>
      </c>
      <c r="S128" t="s">
        <v>666</v>
      </c>
      <c r="T128" s="3">
        <v>-1821.5231600000006</v>
      </c>
      <c r="U128" t="s">
        <v>1431</v>
      </c>
      <c r="V128" s="13" t="str">
        <f>TEXT(Table1_1[[#This Row],[OrderDate]],"MM YYYY")</f>
        <v>04 2025</v>
      </c>
      <c r="W128" s="11" t="str">
        <f>TEXT(Table1_1[[#This Row],[OrderDate]],"MM")</f>
        <v>04</v>
      </c>
      <c r="X128" s="11"/>
    </row>
    <row r="129" spans="1:24" x14ac:dyDescent="0.25">
      <c r="A129" t="s">
        <v>173</v>
      </c>
      <c r="B129" s="2">
        <v>45385</v>
      </c>
      <c r="C129" s="2">
        <v>45389</v>
      </c>
      <c r="D129" t="s">
        <v>1413</v>
      </c>
      <c r="E129" s="10">
        <v>4</v>
      </c>
      <c r="F129" t="s">
        <v>1416</v>
      </c>
      <c r="G129" t="s">
        <v>644</v>
      </c>
      <c r="H129" t="s">
        <v>652</v>
      </c>
      <c r="I129" t="s">
        <v>671</v>
      </c>
      <c r="J129" t="s">
        <v>837</v>
      </c>
      <c r="K129">
        <v>23</v>
      </c>
      <c r="L129" s="3">
        <v>1023.27</v>
      </c>
      <c r="M129" s="3">
        <v>1343.64</v>
      </c>
      <c r="N129" s="3" t="str">
        <f>IF(Table1_1[[#This Row],[UnitPrice]]&lt;=816.08,"low",IF(Table1_1[[#This Row],[UnitPrice]]&lt;=1640.06,"medium","high"))</f>
        <v>medium</v>
      </c>
      <c r="O129" s="4">
        <v>0.13300000000000001</v>
      </c>
      <c r="P129" s="3">
        <v>26793.525239999999</v>
      </c>
      <c r="Q129" s="3">
        <v>23535.21</v>
      </c>
      <c r="R129" s="4">
        <v>0.12160830688810099</v>
      </c>
      <c r="S129" t="s">
        <v>666</v>
      </c>
      <c r="T129" s="3">
        <v>3258.3152399999999</v>
      </c>
      <c r="U129" t="s">
        <v>1436</v>
      </c>
      <c r="V129" s="13" t="str">
        <f>TEXT(Table1_1[[#This Row],[OrderDate]],"MM YYYY")</f>
        <v>04 2024</v>
      </c>
      <c r="W129" s="11" t="str">
        <f>TEXT(Table1_1[[#This Row],[OrderDate]],"MM")</f>
        <v>04</v>
      </c>
      <c r="X129" s="11"/>
    </row>
    <row r="130" spans="1:24" x14ac:dyDescent="0.25">
      <c r="A130" t="s">
        <v>232</v>
      </c>
      <c r="B130" s="2">
        <v>45164</v>
      </c>
      <c r="C130" s="2">
        <v>45179</v>
      </c>
      <c r="D130" t="s">
        <v>1413</v>
      </c>
      <c r="E130" s="10">
        <v>15</v>
      </c>
      <c r="F130" t="s">
        <v>1408</v>
      </c>
      <c r="G130" t="s">
        <v>644</v>
      </c>
      <c r="H130" t="s">
        <v>652</v>
      </c>
      <c r="I130" t="s">
        <v>668</v>
      </c>
      <c r="J130" t="s">
        <v>897</v>
      </c>
      <c r="K130">
        <v>9</v>
      </c>
      <c r="L130" s="3">
        <v>241.14</v>
      </c>
      <c r="M130" s="3">
        <v>496.52</v>
      </c>
      <c r="N130" s="3" t="str">
        <f>IF(Table1_1[[#This Row],[UnitPrice]]&lt;=816.08,"low",IF(Table1_1[[#This Row],[UnitPrice]]&lt;=1640.06,"medium","high"))</f>
        <v>low</v>
      </c>
      <c r="O130" s="4">
        <v>9.2999999999999999E-2</v>
      </c>
      <c r="P130" s="3">
        <v>4053.0927600000005</v>
      </c>
      <c r="Q130" s="3">
        <v>2170.2599999999998</v>
      </c>
      <c r="R130" s="4">
        <v>0.46454223268257999</v>
      </c>
      <c r="S130" t="s">
        <v>666</v>
      </c>
      <c r="T130" s="3">
        <v>1882.8327600000007</v>
      </c>
      <c r="U130" t="s">
        <v>1430</v>
      </c>
      <c r="V130" s="13" t="str">
        <f>TEXT(Table1_1[[#This Row],[OrderDate]],"MM YYYY")</f>
        <v>08 2023</v>
      </c>
      <c r="W130" s="11" t="str">
        <f>TEXT(Table1_1[[#This Row],[OrderDate]],"MM")</f>
        <v>08</v>
      </c>
      <c r="X130" s="11"/>
    </row>
    <row r="131" spans="1:24" x14ac:dyDescent="0.25">
      <c r="A131" t="s">
        <v>361</v>
      </c>
      <c r="B131" s="2">
        <v>45262</v>
      </c>
      <c r="C131" s="2">
        <v>45276</v>
      </c>
      <c r="D131" t="s">
        <v>1413</v>
      </c>
      <c r="E131" s="10">
        <v>14</v>
      </c>
      <c r="F131" t="s">
        <v>1410</v>
      </c>
      <c r="G131" t="s">
        <v>643</v>
      </c>
      <c r="H131" t="s">
        <v>652</v>
      </c>
      <c r="I131" t="s">
        <v>673</v>
      </c>
      <c r="J131" t="s">
        <v>1026</v>
      </c>
      <c r="K131">
        <v>18</v>
      </c>
      <c r="L131" s="3">
        <v>879.08</v>
      </c>
      <c r="M131" s="3">
        <v>1093.3900000000001</v>
      </c>
      <c r="N131" s="3" t="str">
        <f>IF(Table1_1[[#This Row],[UnitPrice]]&lt;=816.08,"low",IF(Table1_1[[#This Row],[UnitPrice]]&lt;=1640.06,"medium","high"))</f>
        <v>medium</v>
      </c>
      <c r="O131" s="4">
        <v>0.113</v>
      </c>
      <c r="P131" s="3">
        <v>17457.064740000002</v>
      </c>
      <c r="Q131" s="3">
        <v>15823.44</v>
      </c>
      <c r="R131" s="4">
        <v>9.3579577341935199E-2</v>
      </c>
      <c r="S131" t="s">
        <v>666</v>
      </c>
      <c r="T131" s="3">
        <v>1633.6247400000011</v>
      </c>
      <c r="U131" t="s">
        <v>1439</v>
      </c>
      <c r="V131" s="13" t="str">
        <f>TEXT(Table1_1[[#This Row],[OrderDate]],"MM YYYY")</f>
        <v>12 2023</v>
      </c>
      <c r="W131" s="11" t="str">
        <f>TEXT(Table1_1[[#This Row],[OrderDate]],"MM")</f>
        <v>12</v>
      </c>
      <c r="X131" s="11"/>
    </row>
    <row r="132" spans="1:24" x14ac:dyDescent="0.25">
      <c r="A132" t="s">
        <v>341</v>
      </c>
      <c r="B132" s="2">
        <v>45914</v>
      </c>
      <c r="C132" s="2">
        <v>45926</v>
      </c>
      <c r="D132" t="s">
        <v>1413</v>
      </c>
      <c r="E132" s="10">
        <v>12</v>
      </c>
      <c r="F132" t="s">
        <v>1399</v>
      </c>
      <c r="G132" t="s">
        <v>646</v>
      </c>
      <c r="H132" t="s">
        <v>652</v>
      </c>
      <c r="I132" t="s">
        <v>670</v>
      </c>
      <c r="J132" t="s">
        <v>1006</v>
      </c>
      <c r="K132">
        <v>8</v>
      </c>
      <c r="L132" s="3">
        <v>425.15</v>
      </c>
      <c r="M132" s="3">
        <v>885.92</v>
      </c>
      <c r="N132" s="3" t="str">
        <f>IF(Table1_1[[#This Row],[UnitPrice]]&lt;=816.08,"low",IF(Table1_1[[#This Row],[UnitPrice]]&lt;=1640.06,"medium","high"))</f>
        <v>medium</v>
      </c>
      <c r="O132" s="4">
        <v>0.23899999999999999</v>
      </c>
      <c r="P132" s="3">
        <v>5393.4809599999999</v>
      </c>
      <c r="Q132" s="3">
        <v>3401.2</v>
      </c>
      <c r="R132" s="4">
        <v>0.36938685327258503</v>
      </c>
      <c r="S132" t="s">
        <v>666</v>
      </c>
      <c r="T132" s="3">
        <v>1992.2809600000001</v>
      </c>
      <c r="U132" t="s">
        <v>1438</v>
      </c>
      <c r="V132" s="13" t="str">
        <f>TEXT(Table1_1[[#This Row],[OrderDate]],"MM YYYY")</f>
        <v>09 2025</v>
      </c>
      <c r="W132" s="11" t="str">
        <f>TEXT(Table1_1[[#This Row],[OrderDate]],"MM")</f>
        <v>09</v>
      </c>
      <c r="X132" s="11"/>
    </row>
    <row r="133" spans="1:24" x14ac:dyDescent="0.25">
      <c r="A133" t="s">
        <v>65</v>
      </c>
      <c r="B133" s="2">
        <v>45168</v>
      </c>
      <c r="C133" s="2">
        <v>45170</v>
      </c>
      <c r="D133" t="s">
        <v>1413</v>
      </c>
      <c r="E133" s="10">
        <v>2</v>
      </c>
      <c r="F133" t="s">
        <v>1400</v>
      </c>
      <c r="G133" t="s">
        <v>642</v>
      </c>
      <c r="H133" t="s">
        <v>652</v>
      </c>
      <c r="I133" t="s">
        <v>670</v>
      </c>
      <c r="J133" t="s">
        <v>729</v>
      </c>
      <c r="K133">
        <v>11</v>
      </c>
      <c r="L133" s="3">
        <v>44.42</v>
      </c>
      <c r="M133" s="3">
        <v>41.9</v>
      </c>
      <c r="N133" s="3" t="str">
        <f>IF(Table1_1[[#This Row],[UnitPrice]]&lt;=816.08,"low",IF(Table1_1[[#This Row],[UnitPrice]]&lt;=1640.06,"medium","high"))</f>
        <v>low</v>
      </c>
      <c r="O133" s="4">
        <v>0.14399999999999999</v>
      </c>
      <c r="P133" s="3">
        <v>394.53039999999999</v>
      </c>
      <c r="Q133" s="3">
        <v>488.62</v>
      </c>
      <c r="R133" s="4">
        <v>-0.23848504449847199</v>
      </c>
      <c r="S133" t="s">
        <v>666</v>
      </c>
      <c r="T133" s="3">
        <v>-94.089600000000019</v>
      </c>
      <c r="U133" t="s">
        <v>1430</v>
      </c>
      <c r="V133" s="13" t="str">
        <f>TEXT(Table1_1[[#This Row],[OrderDate]],"MM YYYY")</f>
        <v>08 2023</v>
      </c>
      <c r="W133" s="11" t="str">
        <f>TEXT(Table1_1[[#This Row],[OrderDate]],"MM")</f>
        <v>08</v>
      </c>
      <c r="X133" s="11"/>
    </row>
    <row r="134" spans="1:24" x14ac:dyDescent="0.25">
      <c r="A134" t="s">
        <v>355</v>
      </c>
      <c r="B134" s="2">
        <v>45261</v>
      </c>
      <c r="C134" s="2">
        <v>45278</v>
      </c>
      <c r="D134" t="s">
        <v>1413</v>
      </c>
      <c r="E134" s="10">
        <v>17</v>
      </c>
      <c r="F134" t="s">
        <v>1407</v>
      </c>
      <c r="G134" t="s">
        <v>646</v>
      </c>
      <c r="H134" t="s">
        <v>652</v>
      </c>
      <c r="I134" t="s">
        <v>672</v>
      </c>
      <c r="J134" t="s">
        <v>1020</v>
      </c>
      <c r="K134">
        <v>16</v>
      </c>
      <c r="L134" s="3">
        <v>1495.79</v>
      </c>
      <c r="M134" s="3">
        <v>2783.12</v>
      </c>
      <c r="N134" s="3" t="str">
        <f>IF(Table1_1[[#This Row],[UnitPrice]]&lt;=816.08,"low",IF(Table1_1[[#This Row],[UnitPrice]]&lt;=1640.06,"medium","high"))</f>
        <v>high</v>
      </c>
      <c r="O134" s="4">
        <v>0.02</v>
      </c>
      <c r="P134" s="3">
        <v>43639.321599999996</v>
      </c>
      <c r="Q134" s="3">
        <v>23932.639999999999</v>
      </c>
      <c r="R134" s="4">
        <v>0.45158084217331201</v>
      </c>
      <c r="S134" t="s">
        <v>666</v>
      </c>
      <c r="T134" s="3">
        <v>19706.681599999996</v>
      </c>
      <c r="U134" t="s">
        <v>1439</v>
      </c>
      <c r="V134" s="13" t="str">
        <f>TEXT(Table1_1[[#This Row],[OrderDate]],"MM YYYY")</f>
        <v>12 2023</v>
      </c>
      <c r="W134" s="11" t="str">
        <f>TEXT(Table1_1[[#This Row],[OrderDate]],"MM")</f>
        <v>12</v>
      </c>
      <c r="X134" s="11"/>
    </row>
    <row r="135" spans="1:24" x14ac:dyDescent="0.25">
      <c r="A135" t="s">
        <v>101</v>
      </c>
      <c r="B135" s="2">
        <v>45775</v>
      </c>
      <c r="C135" s="2">
        <v>45792</v>
      </c>
      <c r="D135" t="s">
        <v>1413</v>
      </c>
      <c r="E135" s="10">
        <v>17</v>
      </c>
      <c r="F135" t="s">
        <v>1407</v>
      </c>
      <c r="G135" t="s">
        <v>643</v>
      </c>
      <c r="H135" t="s">
        <v>652</v>
      </c>
      <c r="I135" t="s">
        <v>670</v>
      </c>
      <c r="J135" t="s">
        <v>765</v>
      </c>
      <c r="K135">
        <v>8</v>
      </c>
      <c r="L135" s="3">
        <v>691.19</v>
      </c>
      <c r="M135" s="3">
        <v>1284.3</v>
      </c>
      <c r="N135" s="3" t="str">
        <f>IF(Table1_1[[#This Row],[UnitPrice]]&lt;=816.08,"low",IF(Table1_1[[#This Row],[UnitPrice]]&lt;=1640.06,"medium","high"))</f>
        <v>medium</v>
      </c>
      <c r="O135" s="4">
        <v>7.3999999999999996E-2</v>
      </c>
      <c r="P135" s="3">
        <v>9514.0944</v>
      </c>
      <c r="Q135" s="3">
        <v>5529.52</v>
      </c>
      <c r="R135" s="4">
        <v>0.41880753253825198</v>
      </c>
      <c r="S135" t="s">
        <v>666</v>
      </c>
      <c r="T135" s="3">
        <v>3984.5743999999995</v>
      </c>
      <c r="U135" t="s">
        <v>1431</v>
      </c>
      <c r="V135" s="13" t="str">
        <f>TEXT(Table1_1[[#This Row],[OrderDate]],"MM YYYY")</f>
        <v>04 2025</v>
      </c>
      <c r="W135" s="11" t="str">
        <f>TEXT(Table1_1[[#This Row],[OrderDate]],"MM")</f>
        <v>04</v>
      </c>
      <c r="X135" s="11"/>
    </row>
    <row r="136" spans="1:24" x14ac:dyDescent="0.25">
      <c r="A136" t="s">
        <v>252</v>
      </c>
      <c r="B136" s="2">
        <v>45871</v>
      </c>
      <c r="C136" s="2">
        <v>45877</v>
      </c>
      <c r="D136" t="s">
        <v>1413</v>
      </c>
      <c r="E136" s="10">
        <v>6</v>
      </c>
      <c r="F136" t="s">
        <v>1387</v>
      </c>
      <c r="G136" t="s">
        <v>645</v>
      </c>
      <c r="H136" t="s">
        <v>652</v>
      </c>
      <c r="I136" t="s">
        <v>672</v>
      </c>
      <c r="J136" t="s">
        <v>917</v>
      </c>
      <c r="K136">
        <v>26</v>
      </c>
      <c r="L136" s="3">
        <v>1225.94</v>
      </c>
      <c r="M136" s="3">
        <v>1793.08</v>
      </c>
      <c r="N136" s="3" t="str">
        <f>IF(Table1_1[[#This Row],[UnitPrice]]&lt;=816.08,"low",IF(Table1_1[[#This Row],[UnitPrice]]&lt;=1640.06,"medium","high"))</f>
        <v>high</v>
      </c>
      <c r="O136" s="4">
        <v>0.13600000000000001</v>
      </c>
      <c r="P136" s="3">
        <v>40279.74912</v>
      </c>
      <c r="Q136" s="3">
        <v>31874.440000000002</v>
      </c>
      <c r="R136" s="4">
        <v>0.20867332353434501</v>
      </c>
      <c r="S136" t="s">
        <v>666</v>
      </c>
      <c r="T136" s="3">
        <v>8405.3091199999981</v>
      </c>
      <c r="U136" t="s">
        <v>1438</v>
      </c>
      <c r="V136" s="13" t="str">
        <f>TEXT(Table1_1[[#This Row],[OrderDate]],"MM YYYY")</f>
        <v>08 2025</v>
      </c>
      <c r="W136" s="11" t="str">
        <f>TEXT(Table1_1[[#This Row],[OrderDate]],"MM")</f>
        <v>08</v>
      </c>
      <c r="X136" s="11"/>
    </row>
    <row r="137" spans="1:24" x14ac:dyDescent="0.25">
      <c r="A137" t="s">
        <v>48</v>
      </c>
      <c r="B137" s="2">
        <v>45832</v>
      </c>
      <c r="C137" s="2">
        <v>45848</v>
      </c>
      <c r="D137" t="s">
        <v>1413</v>
      </c>
      <c r="E137" s="10">
        <v>16</v>
      </c>
      <c r="F137" t="s">
        <v>1401</v>
      </c>
      <c r="G137" t="s">
        <v>647</v>
      </c>
      <c r="H137" t="s">
        <v>652</v>
      </c>
      <c r="I137" t="s">
        <v>668</v>
      </c>
      <c r="J137" t="s">
        <v>712</v>
      </c>
      <c r="K137">
        <v>13</v>
      </c>
      <c r="L137" s="3">
        <v>757.19</v>
      </c>
      <c r="M137" s="3">
        <v>1735.41</v>
      </c>
      <c r="N137" s="3" t="str">
        <f>IF(Table1_1[[#This Row],[UnitPrice]]&lt;=816.08,"low",IF(Table1_1[[#This Row],[UnitPrice]]&lt;=1640.06,"medium","high"))</f>
        <v>high</v>
      </c>
      <c r="O137" s="4">
        <v>0.13600000000000001</v>
      </c>
      <c r="P137" s="3">
        <v>19492.125120000001</v>
      </c>
      <c r="Q137" s="3">
        <v>9843.4700000000012</v>
      </c>
      <c r="R137" s="4">
        <v>0.49500272856857203</v>
      </c>
      <c r="S137" t="s">
        <v>666</v>
      </c>
      <c r="T137" s="3">
        <v>9648.6551199999994</v>
      </c>
      <c r="U137" t="s">
        <v>1431</v>
      </c>
      <c r="V137" s="13" t="str">
        <f>TEXT(Table1_1[[#This Row],[OrderDate]],"MM YYYY")</f>
        <v>06 2025</v>
      </c>
      <c r="W137" s="11" t="str">
        <f>TEXT(Table1_1[[#This Row],[OrderDate]],"MM")</f>
        <v>06</v>
      </c>
      <c r="X137" s="11"/>
    </row>
    <row r="138" spans="1:24" x14ac:dyDescent="0.25">
      <c r="A138" t="s">
        <v>287</v>
      </c>
      <c r="B138" s="2">
        <v>45832</v>
      </c>
      <c r="C138" s="2">
        <v>45852</v>
      </c>
      <c r="D138" t="s">
        <v>1413</v>
      </c>
      <c r="E138" s="10">
        <v>20</v>
      </c>
      <c r="F138" t="s">
        <v>1390</v>
      </c>
      <c r="G138" t="s">
        <v>642</v>
      </c>
      <c r="H138" t="s">
        <v>652</v>
      </c>
      <c r="I138" t="s">
        <v>674</v>
      </c>
      <c r="J138" t="s">
        <v>952</v>
      </c>
      <c r="K138">
        <v>6</v>
      </c>
      <c r="L138" s="3">
        <v>385.08</v>
      </c>
      <c r="M138" s="3">
        <v>893.19</v>
      </c>
      <c r="N138" s="3" t="str">
        <f>IF(Table1_1[[#This Row],[UnitPrice]]&lt;=816.08,"low",IF(Table1_1[[#This Row],[UnitPrice]]&lt;=1640.06,"medium","high"))</f>
        <v>medium</v>
      </c>
      <c r="O138" s="4">
        <v>0.151</v>
      </c>
      <c r="P138" s="3">
        <v>4549.9098599999998</v>
      </c>
      <c r="Q138" s="3">
        <v>2310.48</v>
      </c>
      <c r="R138" s="4">
        <v>0.492192137626217</v>
      </c>
      <c r="S138" t="s">
        <v>660</v>
      </c>
      <c r="T138" s="3">
        <v>2239.4298599999997</v>
      </c>
      <c r="U138" t="s">
        <v>1431</v>
      </c>
      <c r="V138" s="13" t="str">
        <f>TEXT(Table1_1[[#This Row],[OrderDate]],"MM YYYY")</f>
        <v>06 2025</v>
      </c>
      <c r="W138" s="11" t="str">
        <f>TEXT(Table1_1[[#This Row],[OrderDate]],"MM")</f>
        <v>06</v>
      </c>
      <c r="X138" s="11"/>
    </row>
    <row r="139" spans="1:24" x14ac:dyDescent="0.25">
      <c r="A139" t="s">
        <v>281</v>
      </c>
      <c r="B139" s="2">
        <v>45707</v>
      </c>
      <c r="C139" s="2">
        <v>45725</v>
      </c>
      <c r="D139" t="s">
        <v>1413</v>
      </c>
      <c r="E139" s="10">
        <v>18</v>
      </c>
      <c r="F139" t="s">
        <v>1397</v>
      </c>
      <c r="G139" t="s">
        <v>646</v>
      </c>
      <c r="H139" t="s">
        <v>652</v>
      </c>
      <c r="I139" t="s">
        <v>673</v>
      </c>
      <c r="J139" t="s">
        <v>946</v>
      </c>
      <c r="K139">
        <v>15</v>
      </c>
      <c r="L139" s="3">
        <v>325.87</v>
      </c>
      <c r="M139" s="3">
        <v>538.79</v>
      </c>
      <c r="N139" s="3" t="str">
        <f>IF(Table1_1[[#This Row],[UnitPrice]]&lt;=816.08,"low",IF(Table1_1[[#This Row],[UnitPrice]]&lt;=1640.06,"medium","high"))</f>
        <v>low</v>
      </c>
      <c r="O139" s="4">
        <v>0.17399999999999999</v>
      </c>
      <c r="P139" s="3">
        <v>6675.6081000000004</v>
      </c>
      <c r="Q139" s="3">
        <v>4888.05</v>
      </c>
      <c r="R139" s="4">
        <v>0.26777457172778002</v>
      </c>
      <c r="S139" t="s">
        <v>660</v>
      </c>
      <c r="T139" s="3">
        <v>1787.5581000000002</v>
      </c>
      <c r="U139" t="s">
        <v>1434</v>
      </c>
      <c r="V139" s="13" t="str">
        <f>TEXT(Table1_1[[#This Row],[OrderDate]],"MM YYYY")</f>
        <v>02 2025</v>
      </c>
      <c r="W139" s="11" t="str">
        <f>TEXT(Table1_1[[#This Row],[OrderDate]],"MM")</f>
        <v>02</v>
      </c>
      <c r="X139" s="11"/>
    </row>
    <row r="140" spans="1:24" x14ac:dyDescent="0.25">
      <c r="A140" t="s">
        <v>158</v>
      </c>
      <c r="B140" s="2">
        <v>45386</v>
      </c>
      <c r="C140" s="2">
        <v>45406</v>
      </c>
      <c r="D140" t="s">
        <v>1413</v>
      </c>
      <c r="E140" s="10">
        <v>20</v>
      </c>
      <c r="F140" t="s">
        <v>1410</v>
      </c>
      <c r="G140" t="s">
        <v>644</v>
      </c>
      <c r="H140" t="s">
        <v>652</v>
      </c>
      <c r="I140" t="s">
        <v>674</v>
      </c>
      <c r="J140" t="s">
        <v>822</v>
      </c>
      <c r="K140">
        <v>22</v>
      </c>
      <c r="L140" s="3">
        <v>683.42</v>
      </c>
      <c r="M140" s="3">
        <v>951.51</v>
      </c>
      <c r="N140" s="3" t="str">
        <f>IF(Table1_1[[#This Row],[UnitPrice]]&lt;=816.08,"low",IF(Table1_1[[#This Row],[UnitPrice]]&lt;=1640.06,"medium","high"))</f>
        <v>medium</v>
      </c>
      <c r="O140" s="4">
        <v>0</v>
      </c>
      <c r="P140" s="3">
        <v>20933.22</v>
      </c>
      <c r="Q140" s="3">
        <v>15035.24</v>
      </c>
      <c r="R140" s="4">
        <v>0.28175216235247103</v>
      </c>
      <c r="S140" t="s">
        <v>660</v>
      </c>
      <c r="T140" s="3">
        <v>5897.9800000000014</v>
      </c>
      <c r="U140" t="s">
        <v>1436</v>
      </c>
      <c r="V140" s="13" t="str">
        <f>TEXT(Table1_1[[#This Row],[OrderDate]],"MM YYYY")</f>
        <v>04 2024</v>
      </c>
      <c r="W140" s="11" t="str">
        <f>TEXT(Table1_1[[#This Row],[OrderDate]],"MM")</f>
        <v>04</v>
      </c>
      <c r="X140" s="11"/>
    </row>
    <row r="141" spans="1:24" x14ac:dyDescent="0.25">
      <c r="A141" t="s">
        <v>286</v>
      </c>
      <c r="B141" s="2">
        <v>45378</v>
      </c>
      <c r="C141" s="2">
        <v>45393</v>
      </c>
      <c r="D141" t="s">
        <v>1413</v>
      </c>
      <c r="E141" s="10">
        <v>15</v>
      </c>
      <c r="F141" t="s">
        <v>1419</v>
      </c>
      <c r="G141" t="s">
        <v>646</v>
      </c>
      <c r="H141" t="s">
        <v>652</v>
      </c>
      <c r="I141" t="s">
        <v>670</v>
      </c>
      <c r="J141" t="s">
        <v>951</v>
      </c>
      <c r="K141">
        <v>23</v>
      </c>
      <c r="L141" s="3">
        <v>1338.35</v>
      </c>
      <c r="M141" s="3">
        <v>2247.14</v>
      </c>
      <c r="N141" s="3" t="str">
        <f>IF(Table1_1[[#This Row],[UnitPrice]]&lt;=816.08,"low",IF(Table1_1[[#This Row],[UnitPrice]]&lt;=1640.06,"medium","high"))</f>
        <v>high</v>
      </c>
      <c r="O141" s="4">
        <v>0.115</v>
      </c>
      <c r="P141" s="3">
        <v>45740.534699999997</v>
      </c>
      <c r="Q141" s="3">
        <v>30782.05</v>
      </c>
      <c r="R141" s="4">
        <v>0.32702907384246199</v>
      </c>
      <c r="S141" t="s">
        <v>660</v>
      </c>
      <c r="T141" s="3">
        <v>14958.484699999997</v>
      </c>
      <c r="U141" t="s">
        <v>1433</v>
      </c>
      <c r="V141" s="13" t="str">
        <f>TEXT(Table1_1[[#This Row],[OrderDate]],"MM YYYY")</f>
        <v>03 2024</v>
      </c>
      <c r="W141" s="11" t="str">
        <f>TEXT(Table1_1[[#This Row],[OrderDate]],"MM")</f>
        <v>03</v>
      </c>
      <c r="X141" s="11"/>
    </row>
    <row r="142" spans="1:24" x14ac:dyDescent="0.25">
      <c r="A142" t="s">
        <v>306</v>
      </c>
      <c r="B142" s="2">
        <v>45353</v>
      </c>
      <c r="C142" s="2">
        <v>45367</v>
      </c>
      <c r="D142" t="s">
        <v>1413</v>
      </c>
      <c r="E142" s="10">
        <v>14</v>
      </c>
      <c r="F142" t="s">
        <v>1415</v>
      </c>
      <c r="G142" t="s">
        <v>644</v>
      </c>
      <c r="H142" t="s">
        <v>652</v>
      </c>
      <c r="I142" t="s">
        <v>669</v>
      </c>
      <c r="J142" t="s">
        <v>971</v>
      </c>
      <c r="K142">
        <v>44</v>
      </c>
      <c r="L142" s="3">
        <v>248.24</v>
      </c>
      <c r="M142" s="3">
        <v>464.05</v>
      </c>
      <c r="N142" s="3" t="str">
        <f>IF(Table1_1[[#This Row],[UnitPrice]]&lt;=816.08,"low",IF(Table1_1[[#This Row],[UnitPrice]]&lt;=1640.06,"medium","high"))</f>
        <v>low</v>
      </c>
      <c r="O142" s="4">
        <v>0.16900000000000001</v>
      </c>
      <c r="P142" s="3">
        <v>16967.5242</v>
      </c>
      <c r="Q142" s="3">
        <v>10922.560000000001</v>
      </c>
      <c r="R142" s="4">
        <v>0.35626672039754598</v>
      </c>
      <c r="S142" t="s">
        <v>660</v>
      </c>
      <c r="T142" s="3">
        <v>6044.9641999999985</v>
      </c>
      <c r="U142" t="s">
        <v>1433</v>
      </c>
      <c r="V142" s="13" t="str">
        <f>TEXT(Table1_1[[#This Row],[OrderDate]],"MM YYYY")</f>
        <v>03 2024</v>
      </c>
      <c r="W142" s="11" t="str">
        <f>TEXT(Table1_1[[#This Row],[OrderDate]],"MM")</f>
        <v>03</v>
      </c>
      <c r="X142" s="11"/>
    </row>
    <row r="143" spans="1:24" x14ac:dyDescent="0.25">
      <c r="A143" t="s">
        <v>107</v>
      </c>
      <c r="B143" s="2">
        <v>45870</v>
      </c>
      <c r="C143" s="2">
        <v>45885</v>
      </c>
      <c r="D143" t="s">
        <v>1413</v>
      </c>
      <c r="E143" s="10">
        <v>15</v>
      </c>
      <c r="F143" t="s">
        <v>1423</v>
      </c>
      <c r="G143" t="s">
        <v>647</v>
      </c>
      <c r="H143" t="s">
        <v>652</v>
      </c>
      <c r="I143" t="s">
        <v>673</v>
      </c>
      <c r="J143" t="s">
        <v>771</v>
      </c>
      <c r="K143">
        <v>9</v>
      </c>
      <c r="L143" s="3">
        <v>24.44</v>
      </c>
      <c r="M143" s="3">
        <v>28.69</v>
      </c>
      <c r="N143" s="3" t="str">
        <f>IF(Table1_1[[#This Row],[UnitPrice]]&lt;=816.08,"low",IF(Table1_1[[#This Row],[UnitPrice]]&lt;=1640.06,"medium","high"))</f>
        <v>low</v>
      </c>
      <c r="O143" s="4">
        <v>0.14599999999999999</v>
      </c>
      <c r="P143" s="3">
        <v>220.51134000000002</v>
      </c>
      <c r="Q143" s="3">
        <v>219.96</v>
      </c>
      <c r="R143" s="4">
        <v>2.50027957745851E-3</v>
      </c>
      <c r="S143" t="s">
        <v>660</v>
      </c>
      <c r="T143" s="3">
        <v>0.55134000000001038</v>
      </c>
      <c r="U143" t="s">
        <v>1438</v>
      </c>
      <c r="V143" s="13" t="str">
        <f>TEXT(Table1_1[[#This Row],[OrderDate]],"MM YYYY")</f>
        <v>08 2025</v>
      </c>
      <c r="W143" s="11" t="str">
        <f>TEXT(Table1_1[[#This Row],[OrderDate]],"MM")</f>
        <v>08</v>
      </c>
      <c r="X143" s="11"/>
    </row>
    <row r="144" spans="1:24" x14ac:dyDescent="0.25">
      <c r="A144" t="s">
        <v>272</v>
      </c>
      <c r="B144" s="2">
        <v>45142</v>
      </c>
      <c r="C144" s="2">
        <v>45162</v>
      </c>
      <c r="D144" t="s">
        <v>1413</v>
      </c>
      <c r="E144" s="10">
        <v>20</v>
      </c>
      <c r="F144" t="s">
        <v>1416</v>
      </c>
      <c r="G144" t="s">
        <v>644</v>
      </c>
      <c r="H144" t="s">
        <v>652</v>
      </c>
      <c r="I144" t="s">
        <v>670</v>
      </c>
      <c r="J144" t="s">
        <v>937</v>
      </c>
      <c r="K144">
        <v>23</v>
      </c>
      <c r="L144" s="3">
        <v>582.88</v>
      </c>
      <c r="M144" s="3">
        <v>1044.1400000000001</v>
      </c>
      <c r="N144" s="3" t="str">
        <f>IF(Table1_1[[#This Row],[UnitPrice]]&lt;=816.08,"low",IF(Table1_1[[#This Row],[UnitPrice]]&lt;=1640.06,"medium","high"))</f>
        <v>medium</v>
      </c>
      <c r="O144" s="4">
        <v>0.216</v>
      </c>
      <c r="P144" s="3">
        <v>18827.932480000003</v>
      </c>
      <c r="Q144" s="3">
        <v>13406.24</v>
      </c>
      <c r="R144" s="4">
        <v>0.28796005539956099</v>
      </c>
      <c r="S144" t="s">
        <v>1366</v>
      </c>
      <c r="T144" s="3">
        <v>5421.6924800000033</v>
      </c>
      <c r="U144" t="s">
        <v>1430</v>
      </c>
      <c r="V144" s="13" t="str">
        <f>TEXT(Table1_1[[#This Row],[OrderDate]],"MM YYYY")</f>
        <v>08 2023</v>
      </c>
      <c r="W144" s="11" t="str">
        <f>TEXT(Table1_1[[#This Row],[OrderDate]],"MM")</f>
        <v>08</v>
      </c>
      <c r="X144" s="11"/>
    </row>
    <row r="145" spans="1:24" x14ac:dyDescent="0.25">
      <c r="A145" t="s">
        <v>131</v>
      </c>
      <c r="B145" s="2">
        <v>45827</v>
      </c>
      <c r="C145" s="2">
        <v>45850</v>
      </c>
      <c r="D145" t="s">
        <v>1413</v>
      </c>
      <c r="E145" s="10">
        <v>23</v>
      </c>
      <c r="F145" t="s">
        <v>1424</v>
      </c>
      <c r="G145" t="s">
        <v>644</v>
      </c>
      <c r="H145" t="s">
        <v>652</v>
      </c>
      <c r="I145" t="s">
        <v>670</v>
      </c>
      <c r="J145" t="s">
        <v>795</v>
      </c>
      <c r="K145">
        <v>9</v>
      </c>
      <c r="L145" s="3">
        <v>801.24</v>
      </c>
      <c r="M145" s="3">
        <v>1959.09</v>
      </c>
      <c r="N145" s="3" t="str">
        <f>IF(Table1_1[[#This Row],[UnitPrice]]&lt;=816.08,"low",IF(Table1_1[[#This Row],[UnitPrice]]&lt;=1640.06,"medium","high"))</f>
        <v>high</v>
      </c>
      <c r="O145" s="4">
        <v>0.123</v>
      </c>
      <c r="P145" s="3">
        <v>15463.097369999998</v>
      </c>
      <c r="Q145" s="3">
        <v>7211.16</v>
      </c>
      <c r="R145" s="4">
        <v>0.53365358650651795</v>
      </c>
      <c r="S145" t="s">
        <v>1366</v>
      </c>
      <c r="T145" s="3">
        <v>8251.9373699999978</v>
      </c>
      <c r="U145" t="s">
        <v>1431</v>
      </c>
      <c r="V145" s="13" t="str">
        <f>TEXT(Table1_1[[#This Row],[OrderDate]],"MM YYYY")</f>
        <v>06 2025</v>
      </c>
      <c r="W145" s="11" t="str">
        <f>TEXT(Table1_1[[#This Row],[OrderDate]],"MM")</f>
        <v>06</v>
      </c>
      <c r="X145" s="11"/>
    </row>
    <row r="146" spans="1:24" x14ac:dyDescent="0.25">
      <c r="A146" t="s">
        <v>561</v>
      </c>
      <c r="B146" s="2">
        <v>45875</v>
      </c>
      <c r="C146" s="2">
        <v>45892</v>
      </c>
      <c r="D146" t="s">
        <v>1413</v>
      </c>
      <c r="E146" s="10">
        <v>17</v>
      </c>
      <c r="F146" t="s">
        <v>1416</v>
      </c>
      <c r="G146" t="s">
        <v>645</v>
      </c>
      <c r="H146" t="s">
        <v>651</v>
      </c>
      <c r="I146" t="s">
        <v>673</v>
      </c>
      <c r="J146" t="s">
        <v>1224</v>
      </c>
      <c r="K146">
        <v>28</v>
      </c>
      <c r="L146" s="3">
        <v>86.64</v>
      </c>
      <c r="M146" s="3">
        <v>213.06</v>
      </c>
      <c r="N146" s="3" t="str">
        <f>IF(Table1_1[[#This Row],[UnitPrice]]&lt;=816.08,"low",IF(Table1_1[[#This Row],[UnitPrice]]&lt;=1640.06,"medium","high"))</f>
        <v>low</v>
      </c>
      <c r="O146" s="4">
        <v>0.21199999999999999</v>
      </c>
      <c r="P146" s="3">
        <v>4700.9558400000005</v>
      </c>
      <c r="Q146" s="3">
        <v>2425.92</v>
      </c>
      <c r="R146" s="4">
        <v>0.483951757351543</v>
      </c>
      <c r="S146" t="s">
        <v>661</v>
      </c>
      <c r="T146" s="3">
        <v>2275.0358400000005</v>
      </c>
      <c r="U146" t="s">
        <v>1438</v>
      </c>
      <c r="V146" s="13" t="str">
        <f>TEXT(Table1_1[[#This Row],[OrderDate]],"MM YYYY")</f>
        <v>08 2025</v>
      </c>
      <c r="W146" s="11" t="str">
        <f>TEXT(Table1_1[[#This Row],[OrderDate]],"MM")</f>
        <v>08</v>
      </c>
      <c r="X146" s="11"/>
    </row>
    <row r="147" spans="1:24" x14ac:dyDescent="0.25">
      <c r="A147" t="s">
        <v>549</v>
      </c>
      <c r="B147" s="2">
        <v>45288</v>
      </c>
      <c r="C147" s="2">
        <v>45292</v>
      </c>
      <c r="D147" t="s">
        <v>1413</v>
      </c>
      <c r="E147" s="10">
        <v>4</v>
      </c>
      <c r="F147" t="s">
        <v>1408</v>
      </c>
      <c r="G147" t="s">
        <v>643</v>
      </c>
      <c r="H147" t="s">
        <v>651</v>
      </c>
      <c r="I147" t="s">
        <v>669</v>
      </c>
      <c r="J147" t="s">
        <v>1212</v>
      </c>
      <c r="K147">
        <v>23</v>
      </c>
      <c r="L147" s="3">
        <v>1141.8</v>
      </c>
      <c r="M147" s="3">
        <v>2318.7399999999998</v>
      </c>
      <c r="N147" s="3" t="str">
        <f>IF(Table1_1[[#This Row],[UnitPrice]]&lt;=816.08,"low",IF(Table1_1[[#This Row],[UnitPrice]]&lt;=1640.06,"medium","high"))</f>
        <v>high</v>
      </c>
      <c r="O147" s="4">
        <v>0.107</v>
      </c>
      <c r="P147" s="3">
        <v>47624.600859999999</v>
      </c>
      <c r="Q147" s="3">
        <v>26261.399999999998</v>
      </c>
      <c r="R147" s="4">
        <v>0.44857490612468298</v>
      </c>
      <c r="S147" t="s">
        <v>661</v>
      </c>
      <c r="T147" s="3">
        <v>21363.200860000001</v>
      </c>
      <c r="U147" t="s">
        <v>1439</v>
      </c>
      <c r="V147" s="13" t="str">
        <f>TEXT(Table1_1[[#This Row],[OrderDate]],"MM YYYY")</f>
        <v>12 2023</v>
      </c>
      <c r="W147" s="11" t="str">
        <f>TEXT(Table1_1[[#This Row],[OrderDate]],"MM")</f>
        <v>12</v>
      </c>
      <c r="X147" s="11"/>
    </row>
    <row r="148" spans="1:24" x14ac:dyDescent="0.25">
      <c r="A148" t="s">
        <v>211</v>
      </c>
      <c r="B148" s="2">
        <v>45303</v>
      </c>
      <c r="C148" s="2">
        <v>45320</v>
      </c>
      <c r="D148" t="s">
        <v>1413</v>
      </c>
      <c r="E148" s="10">
        <v>17</v>
      </c>
      <c r="F148" t="s">
        <v>1422</v>
      </c>
      <c r="G148" t="s">
        <v>643</v>
      </c>
      <c r="H148" t="s">
        <v>651</v>
      </c>
      <c r="I148" t="s">
        <v>669</v>
      </c>
      <c r="J148" t="s">
        <v>876</v>
      </c>
      <c r="K148">
        <v>6</v>
      </c>
      <c r="L148" s="3">
        <v>493.76</v>
      </c>
      <c r="M148" s="3">
        <v>625.04</v>
      </c>
      <c r="N148" s="3" t="str">
        <f>IF(Table1_1[[#This Row],[UnitPrice]]&lt;=816.08,"low",IF(Table1_1[[#This Row],[UnitPrice]]&lt;=1640.06,"medium","high"))</f>
        <v>low</v>
      </c>
      <c r="O148" s="4">
        <v>0.25800000000000001</v>
      </c>
      <c r="P148" s="3">
        <v>2782.6780799999997</v>
      </c>
      <c r="Q148" s="3">
        <v>2962.56</v>
      </c>
      <c r="R148" s="4">
        <v>-6.4643453115496699E-2</v>
      </c>
      <c r="S148" t="s">
        <v>661</v>
      </c>
      <c r="T148" s="3">
        <v>-179.88192000000026</v>
      </c>
      <c r="U148" t="s">
        <v>1433</v>
      </c>
      <c r="V148" s="13" t="str">
        <f>TEXT(Table1_1[[#This Row],[OrderDate]],"MM YYYY")</f>
        <v>01 2024</v>
      </c>
      <c r="W148" s="11" t="str">
        <f>TEXT(Table1_1[[#This Row],[OrderDate]],"MM")</f>
        <v>01</v>
      </c>
      <c r="X148" s="11"/>
    </row>
    <row r="149" spans="1:24" x14ac:dyDescent="0.25">
      <c r="A149" t="s">
        <v>83</v>
      </c>
      <c r="B149" s="2">
        <v>45394</v>
      </c>
      <c r="C149" s="2">
        <v>45419</v>
      </c>
      <c r="D149" t="s">
        <v>1413</v>
      </c>
      <c r="E149" s="10">
        <v>25</v>
      </c>
      <c r="F149" t="s">
        <v>1398</v>
      </c>
      <c r="G149" t="s">
        <v>643</v>
      </c>
      <c r="H149" t="s">
        <v>651</v>
      </c>
      <c r="I149" t="s">
        <v>672</v>
      </c>
      <c r="J149" t="s">
        <v>747</v>
      </c>
      <c r="K149">
        <v>14</v>
      </c>
      <c r="L149" s="3">
        <v>1376.51</v>
      </c>
      <c r="M149" s="3">
        <v>1455.91</v>
      </c>
      <c r="N149" s="3" t="str">
        <f>IF(Table1_1[[#This Row],[UnitPrice]]&lt;=816.08,"low",IF(Table1_1[[#This Row],[UnitPrice]]&lt;=1640.06,"medium","high"))</f>
        <v>medium</v>
      </c>
      <c r="O149" s="4">
        <v>0.185</v>
      </c>
      <c r="P149" s="3">
        <v>16611.933100000002</v>
      </c>
      <c r="Q149" s="3">
        <v>19271.14</v>
      </c>
      <c r="R149" s="4">
        <v>-0.160078112763408</v>
      </c>
      <c r="S149" t="s">
        <v>661</v>
      </c>
      <c r="T149" s="3">
        <v>-2659.2068999999974</v>
      </c>
      <c r="U149" t="s">
        <v>1436</v>
      </c>
      <c r="V149" s="13" t="str">
        <f>TEXT(Table1_1[[#This Row],[OrderDate]],"MM YYYY")</f>
        <v>04 2024</v>
      </c>
      <c r="W149" s="11" t="str">
        <f>TEXT(Table1_1[[#This Row],[OrderDate]],"MM")</f>
        <v>04</v>
      </c>
      <c r="X149" s="11"/>
    </row>
    <row r="150" spans="1:24" x14ac:dyDescent="0.25">
      <c r="A150" t="s">
        <v>500</v>
      </c>
      <c r="B150" s="2">
        <v>45403</v>
      </c>
      <c r="C150" s="2">
        <v>45431</v>
      </c>
      <c r="D150" t="s">
        <v>1413</v>
      </c>
      <c r="E150" s="10">
        <v>28</v>
      </c>
      <c r="F150" t="s">
        <v>1386</v>
      </c>
      <c r="G150" t="s">
        <v>642</v>
      </c>
      <c r="H150" t="s">
        <v>651</v>
      </c>
      <c r="I150" t="s">
        <v>674</v>
      </c>
      <c r="J150" t="s">
        <v>1164</v>
      </c>
      <c r="K150">
        <v>25</v>
      </c>
      <c r="L150" s="3">
        <v>187.22</v>
      </c>
      <c r="M150" s="3">
        <v>309.47000000000003</v>
      </c>
      <c r="N150" s="3" t="str">
        <f>IF(Table1_1[[#This Row],[UnitPrice]]&lt;=816.08,"low",IF(Table1_1[[#This Row],[UnitPrice]]&lt;=1640.06,"medium","high"))</f>
        <v>low</v>
      </c>
      <c r="O150" s="4">
        <v>0</v>
      </c>
      <c r="P150" s="3">
        <v>7736.7500000000009</v>
      </c>
      <c r="Q150" s="3">
        <v>4680.5</v>
      </c>
      <c r="R150" s="4">
        <v>0.39503021294471202</v>
      </c>
      <c r="S150" t="s">
        <v>661</v>
      </c>
      <c r="T150" s="3">
        <v>3056.2500000000009</v>
      </c>
      <c r="U150" t="s">
        <v>1436</v>
      </c>
      <c r="V150" s="13" t="str">
        <f>TEXT(Table1_1[[#This Row],[OrderDate]],"MM YYYY")</f>
        <v>04 2024</v>
      </c>
      <c r="W150" s="11" t="str">
        <f>TEXT(Table1_1[[#This Row],[OrderDate]],"MM")</f>
        <v>04</v>
      </c>
      <c r="X150" s="11"/>
    </row>
    <row r="151" spans="1:24" x14ac:dyDescent="0.25">
      <c r="A151" t="s">
        <v>368</v>
      </c>
      <c r="B151" s="2">
        <v>45621</v>
      </c>
      <c r="C151" s="2">
        <v>45633</v>
      </c>
      <c r="D151" t="s">
        <v>1413</v>
      </c>
      <c r="E151" s="10">
        <v>12</v>
      </c>
      <c r="F151" t="s">
        <v>1401</v>
      </c>
      <c r="G151" t="s">
        <v>642</v>
      </c>
      <c r="H151" t="s">
        <v>651</v>
      </c>
      <c r="I151" t="s">
        <v>674</v>
      </c>
      <c r="J151" t="s">
        <v>1033</v>
      </c>
      <c r="K151">
        <v>18</v>
      </c>
      <c r="L151" s="3">
        <v>769.9</v>
      </c>
      <c r="M151" s="3">
        <v>814.36</v>
      </c>
      <c r="N151" s="3" t="str">
        <f>IF(Table1_1[[#This Row],[UnitPrice]]&lt;=816.08,"low",IF(Table1_1[[#This Row],[UnitPrice]]&lt;=1640.06,"medium","high"))</f>
        <v>low</v>
      </c>
      <c r="O151" s="4">
        <v>0</v>
      </c>
      <c r="P151" s="3">
        <v>14658.48</v>
      </c>
      <c r="Q151" s="3">
        <v>13858.199999999999</v>
      </c>
      <c r="R151" s="4">
        <v>5.4595019401738797E-2</v>
      </c>
      <c r="S151" t="s">
        <v>661</v>
      </c>
      <c r="T151" s="3">
        <v>800.28000000000065</v>
      </c>
      <c r="U151" t="s">
        <v>1440</v>
      </c>
      <c r="V151" s="13" t="str">
        <f>TEXT(Table1_1[[#This Row],[OrderDate]],"MM YYYY")</f>
        <v>11 2024</v>
      </c>
      <c r="W151" s="11" t="str">
        <f>TEXT(Table1_1[[#This Row],[OrderDate]],"MM")</f>
        <v>11</v>
      </c>
      <c r="X151" s="11"/>
    </row>
    <row r="152" spans="1:24" x14ac:dyDescent="0.25">
      <c r="A152" t="s">
        <v>347</v>
      </c>
      <c r="B152" s="2">
        <v>45340</v>
      </c>
      <c r="C152" s="2">
        <v>45354</v>
      </c>
      <c r="D152" t="s">
        <v>1413</v>
      </c>
      <c r="E152" s="10">
        <v>14</v>
      </c>
      <c r="F152" t="s">
        <v>1425</v>
      </c>
      <c r="G152" t="s">
        <v>647</v>
      </c>
      <c r="H152" t="s">
        <v>651</v>
      </c>
      <c r="I152" t="s">
        <v>669</v>
      </c>
      <c r="J152" t="s">
        <v>1012</v>
      </c>
      <c r="K152">
        <v>16</v>
      </c>
      <c r="L152" s="3">
        <v>624.23</v>
      </c>
      <c r="M152" s="3">
        <v>1318.37</v>
      </c>
      <c r="N152" s="3" t="str">
        <f>IF(Table1_1[[#This Row],[UnitPrice]]&lt;=816.08,"low",IF(Table1_1[[#This Row],[UnitPrice]]&lt;=1640.06,"medium","high"))</f>
        <v>medium</v>
      </c>
      <c r="O152" s="4">
        <v>0.21</v>
      </c>
      <c r="P152" s="3">
        <v>16664.196799999998</v>
      </c>
      <c r="Q152" s="3">
        <v>9987.68</v>
      </c>
      <c r="R152" s="4">
        <v>0.40065038118128798</v>
      </c>
      <c r="S152" t="s">
        <v>661</v>
      </c>
      <c r="T152" s="3">
        <v>6676.5167999999976</v>
      </c>
      <c r="U152" t="s">
        <v>1433</v>
      </c>
      <c r="V152" s="13" t="str">
        <f>TEXT(Table1_1[[#This Row],[OrderDate]],"MM YYYY")</f>
        <v>02 2024</v>
      </c>
      <c r="W152" s="11" t="str">
        <f>TEXT(Table1_1[[#This Row],[OrderDate]],"MM")</f>
        <v>02</v>
      </c>
      <c r="X152" s="11"/>
    </row>
    <row r="153" spans="1:24" x14ac:dyDescent="0.25">
      <c r="A153" t="s">
        <v>497</v>
      </c>
      <c r="B153" s="2">
        <v>45613</v>
      </c>
      <c r="C153" s="2">
        <v>45624</v>
      </c>
      <c r="D153" t="s">
        <v>1413</v>
      </c>
      <c r="E153" s="10">
        <v>11</v>
      </c>
      <c r="F153" t="s">
        <v>1426</v>
      </c>
      <c r="G153" t="s">
        <v>645</v>
      </c>
      <c r="H153" t="s">
        <v>651</v>
      </c>
      <c r="I153" t="s">
        <v>669</v>
      </c>
      <c r="J153" t="s">
        <v>1161</v>
      </c>
      <c r="K153">
        <v>18</v>
      </c>
      <c r="L153" s="3">
        <v>1008.16</v>
      </c>
      <c r="M153" s="3">
        <v>2077.5</v>
      </c>
      <c r="N153" s="3" t="str">
        <f>IF(Table1_1[[#This Row],[UnitPrice]]&lt;=816.08,"low",IF(Table1_1[[#This Row],[UnitPrice]]&lt;=1640.06,"medium","high"))</f>
        <v>high</v>
      </c>
      <c r="O153" s="4">
        <v>7.3999999999999996E-2</v>
      </c>
      <c r="P153" s="3">
        <v>34627.770000000004</v>
      </c>
      <c r="Q153" s="3">
        <v>18146.88</v>
      </c>
      <c r="R153" s="4">
        <v>0.47594430712690999</v>
      </c>
      <c r="S153" t="s">
        <v>661</v>
      </c>
      <c r="T153" s="3">
        <v>16480.890000000003</v>
      </c>
      <c r="U153" t="s">
        <v>1440</v>
      </c>
      <c r="V153" s="13" t="str">
        <f>TEXT(Table1_1[[#This Row],[OrderDate]],"MM YYYY")</f>
        <v>11 2024</v>
      </c>
      <c r="W153" s="11" t="str">
        <f>TEXT(Table1_1[[#This Row],[OrderDate]],"MM")</f>
        <v>11</v>
      </c>
      <c r="X153" s="11"/>
    </row>
    <row r="154" spans="1:24" x14ac:dyDescent="0.25">
      <c r="A154" t="s">
        <v>293</v>
      </c>
      <c r="B154" s="2">
        <v>45794</v>
      </c>
      <c r="C154" s="2">
        <v>45805</v>
      </c>
      <c r="D154" t="s">
        <v>1413</v>
      </c>
      <c r="E154" s="10">
        <v>11</v>
      </c>
      <c r="F154" t="s">
        <v>1388</v>
      </c>
      <c r="G154" t="s">
        <v>642</v>
      </c>
      <c r="H154" t="s">
        <v>651</v>
      </c>
      <c r="I154" t="s">
        <v>672</v>
      </c>
      <c r="J154" t="s">
        <v>958</v>
      </c>
      <c r="K154">
        <v>6</v>
      </c>
      <c r="L154" s="3">
        <v>623.4</v>
      </c>
      <c r="M154" s="3">
        <v>1100.0899999999999</v>
      </c>
      <c r="N154" s="3" t="str">
        <f>IF(Table1_1[[#This Row],[UnitPrice]]&lt;=816.08,"low",IF(Table1_1[[#This Row],[UnitPrice]]&lt;=1640.06,"medium","high"))</f>
        <v>medium</v>
      </c>
      <c r="O154" s="4">
        <v>0.114</v>
      </c>
      <c r="P154" s="3">
        <v>5848.0784399999993</v>
      </c>
      <c r="Q154" s="3">
        <v>3740.3999999999996</v>
      </c>
      <c r="R154" s="4">
        <v>0.36040529579490399</v>
      </c>
      <c r="S154" t="s">
        <v>658</v>
      </c>
      <c r="T154" s="3">
        <v>2107.6784399999997</v>
      </c>
      <c r="U154" t="s">
        <v>1431</v>
      </c>
      <c r="V154" s="13" t="str">
        <f>TEXT(Table1_1[[#This Row],[OrderDate]],"MM YYYY")</f>
        <v>05 2025</v>
      </c>
      <c r="W154" s="11" t="str">
        <f>TEXT(Table1_1[[#This Row],[OrderDate]],"MM")</f>
        <v>05</v>
      </c>
      <c r="X154" s="11"/>
    </row>
    <row r="155" spans="1:24" x14ac:dyDescent="0.25">
      <c r="A155" t="s">
        <v>493</v>
      </c>
      <c r="B155" s="2">
        <v>45775</v>
      </c>
      <c r="C155" s="2">
        <v>45796</v>
      </c>
      <c r="D155" t="s">
        <v>1413</v>
      </c>
      <c r="E155" s="10">
        <v>21</v>
      </c>
      <c r="F155" t="s">
        <v>1390</v>
      </c>
      <c r="G155" t="s">
        <v>642</v>
      </c>
      <c r="H155" t="s">
        <v>651</v>
      </c>
      <c r="I155" t="s">
        <v>671</v>
      </c>
      <c r="J155" t="s">
        <v>1157</v>
      </c>
      <c r="K155">
        <v>16</v>
      </c>
      <c r="L155" s="3">
        <v>350.76</v>
      </c>
      <c r="M155" s="3">
        <v>492.18</v>
      </c>
      <c r="N155" s="3" t="str">
        <f>IF(Table1_1[[#This Row],[UnitPrice]]&lt;=816.08,"low",IF(Table1_1[[#This Row],[UnitPrice]]&lt;=1640.06,"medium","high"))</f>
        <v>low</v>
      </c>
      <c r="O155" s="4">
        <v>5.2999999999999999E-2</v>
      </c>
      <c r="P155" s="3">
        <v>7457.5113599999995</v>
      </c>
      <c r="Q155" s="3">
        <v>5612.16</v>
      </c>
      <c r="R155" s="4">
        <v>0.24744868239798401</v>
      </c>
      <c r="S155" t="s">
        <v>658</v>
      </c>
      <c r="T155" s="3">
        <v>1845.3513599999997</v>
      </c>
      <c r="U155" t="s">
        <v>1431</v>
      </c>
      <c r="V155" s="13" t="str">
        <f>TEXT(Table1_1[[#This Row],[OrderDate]],"MM YYYY")</f>
        <v>04 2025</v>
      </c>
      <c r="W155" s="11" t="str">
        <f>TEXT(Table1_1[[#This Row],[OrderDate]],"MM")</f>
        <v>04</v>
      </c>
      <c r="X155" s="11"/>
    </row>
    <row r="156" spans="1:24" x14ac:dyDescent="0.25">
      <c r="A156" t="s">
        <v>367</v>
      </c>
      <c r="B156" s="2">
        <v>45385</v>
      </c>
      <c r="C156" s="2">
        <v>45403</v>
      </c>
      <c r="D156" t="s">
        <v>1413</v>
      </c>
      <c r="E156" s="10">
        <v>18</v>
      </c>
      <c r="F156" t="s">
        <v>1416</v>
      </c>
      <c r="G156" t="s">
        <v>646</v>
      </c>
      <c r="H156" t="s">
        <v>651</v>
      </c>
      <c r="I156" t="s">
        <v>670</v>
      </c>
      <c r="J156" t="s">
        <v>1032</v>
      </c>
      <c r="K156">
        <v>10</v>
      </c>
      <c r="L156" s="3">
        <v>1176.69</v>
      </c>
      <c r="M156" s="3">
        <v>2201.54</v>
      </c>
      <c r="N156" s="3" t="str">
        <f>IF(Table1_1[[#This Row],[UnitPrice]]&lt;=816.08,"low",IF(Table1_1[[#This Row],[UnitPrice]]&lt;=1640.06,"medium","high"))</f>
        <v>high</v>
      </c>
      <c r="O156" s="4">
        <v>0.17</v>
      </c>
      <c r="P156" s="3">
        <v>18272.781999999999</v>
      </c>
      <c r="Q156" s="3">
        <v>11766.900000000001</v>
      </c>
      <c r="R156" s="4">
        <v>0.35604222717701101</v>
      </c>
      <c r="S156" t="s">
        <v>658</v>
      </c>
      <c r="T156" s="3">
        <v>6505.8819999999978</v>
      </c>
      <c r="U156" t="s">
        <v>1436</v>
      </c>
      <c r="V156" s="13" t="str">
        <f>TEXT(Table1_1[[#This Row],[OrderDate]],"MM YYYY")</f>
        <v>04 2024</v>
      </c>
      <c r="W156" s="11" t="str">
        <f>TEXT(Table1_1[[#This Row],[OrderDate]],"MM")</f>
        <v>04</v>
      </c>
      <c r="X156" s="11"/>
    </row>
    <row r="157" spans="1:24" x14ac:dyDescent="0.25">
      <c r="A157" t="s">
        <v>123</v>
      </c>
      <c r="B157" s="2">
        <v>45472</v>
      </c>
      <c r="C157" s="2">
        <v>45499</v>
      </c>
      <c r="D157" t="s">
        <v>1413</v>
      </c>
      <c r="E157" s="10">
        <v>27</v>
      </c>
      <c r="F157" t="s">
        <v>1402</v>
      </c>
      <c r="G157" t="s">
        <v>647</v>
      </c>
      <c r="H157" t="s">
        <v>651</v>
      </c>
      <c r="I157" t="s">
        <v>670</v>
      </c>
      <c r="J157" t="s">
        <v>787</v>
      </c>
      <c r="K157">
        <v>19</v>
      </c>
      <c r="L157" s="3">
        <v>5.36</v>
      </c>
      <c r="M157" s="3">
        <v>4.37</v>
      </c>
      <c r="N157" s="3" t="str">
        <f>IF(Table1_1[[#This Row],[UnitPrice]]&lt;=816.08,"low",IF(Table1_1[[#This Row],[UnitPrice]]&lt;=1640.06,"medium","high"))</f>
        <v>low</v>
      </c>
      <c r="O157" s="4">
        <v>0.11799999999999999</v>
      </c>
      <c r="P157" s="3">
        <v>73.232460000000003</v>
      </c>
      <c r="Q157" s="3">
        <v>101.84</v>
      </c>
      <c r="R157" s="4">
        <v>-0.390640161480305</v>
      </c>
      <c r="S157" t="s">
        <v>658</v>
      </c>
      <c r="T157" s="3">
        <v>-28.60754</v>
      </c>
      <c r="U157" t="s">
        <v>1436</v>
      </c>
      <c r="V157" s="13" t="str">
        <f>TEXT(Table1_1[[#This Row],[OrderDate]],"MM YYYY")</f>
        <v>06 2024</v>
      </c>
      <c r="W157" s="11" t="str">
        <f>TEXT(Table1_1[[#This Row],[OrderDate]],"MM")</f>
        <v>06</v>
      </c>
      <c r="X157" s="11"/>
    </row>
    <row r="158" spans="1:24" x14ac:dyDescent="0.25">
      <c r="A158" t="s">
        <v>233</v>
      </c>
      <c r="B158" s="2">
        <v>45854</v>
      </c>
      <c r="C158" s="2">
        <v>45855</v>
      </c>
      <c r="D158" t="s">
        <v>1413</v>
      </c>
      <c r="E158" s="10">
        <v>1</v>
      </c>
      <c r="F158" t="s">
        <v>1402</v>
      </c>
      <c r="G158" t="s">
        <v>646</v>
      </c>
      <c r="H158" t="s">
        <v>651</v>
      </c>
      <c r="I158" t="s">
        <v>670</v>
      </c>
      <c r="J158" t="s">
        <v>898</v>
      </c>
      <c r="K158">
        <v>5</v>
      </c>
      <c r="L158" s="3">
        <v>1198.9000000000001</v>
      </c>
      <c r="M158" s="3">
        <v>2941.2</v>
      </c>
      <c r="N158" s="3" t="str">
        <f>IF(Table1_1[[#This Row],[UnitPrice]]&lt;=816.08,"low",IF(Table1_1[[#This Row],[UnitPrice]]&lt;=1640.06,"medium","high"))</f>
        <v>high</v>
      </c>
      <c r="O158" s="4">
        <v>5.0999999999999997E-2</v>
      </c>
      <c r="P158" s="3">
        <v>13955.993999999999</v>
      </c>
      <c r="Q158" s="3">
        <v>5994.5</v>
      </c>
      <c r="R158" s="4">
        <v>0.57047129713583999</v>
      </c>
      <c r="S158" t="s">
        <v>658</v>
      </c>
      <c r="T158" s="3">
        <v>7961.4939999999988</v>
      </c>
      <c r="U158" t="s">
        <v>1438</v>
      </c>
      <c r="V158" s="13" t="str">
        <f>TEXT(Table1_1[[#This Row],[OrderDate]],"MM YYYY")</f>
        <v>07 2025</v>
      </c>
      <c r="W158" s="11" t="str">
        <f>TEXT(Table1_1[[#This Row],[OrderDate]],"MM")</f>
        <v>07</v>
      </c>
      <c r="X158" s="11"/>
    </row>
    <row r="159" spans="1:24" x14ac:dyDescent="0.25">
      <c r="A159" t="s">
        <v>618</v>
      </c>
      <c r="B159" s="2">
        <v>45623</v>
      </c>
      <c r="C159" s="2">
        <v>45650</v>
      </c>
      <c r="D159" t="s">
        <v>1413</v>
      </c>
      <c r="E159" s="10">
        <v>27</v>
      </c>
      <c r="F159" t="s">
        <v>1393</v>
      </c>
      <c r="G159" t="s">
        <v>642</v>
      </c>
      <c r="H159" t="s">
        <v>651</v>
      </c>
      <c r="I159" t="s">
        <v>669</v>
      </c>
      <c r="J159" t="s">
        <v>1281</v>
      </c>
      <c r="K159">
        <v>15</v>
      </c>
      <c r="L159" s="3">
        <v>143.33000000000001</v>
      </c>
      <c r="M159" s="3">
        <v>233.51</v>
      </c>
      <c r="N159" s="3" t="str">
        <f>IF(Table1_1[[#This Row],[UnitPrice]]&lt;=816.08,"low",IF(Table1_1[[#This Row],[UnitPrice]]&lt;=1640.06,"medium","high"))</f>
        <v>low</v>
      </c>
      <c r="O159" s="4">
        <v>0.16300000000000001</v>
      </c>
      <c r="P159" s="3">
        <v>2931.7180499999995</v>
      </c>
      <c r="Q159" s="3">
        <v>2149.9500000000003</v>
      </c>
      <c r="R159" s="4">
        <v>0.26665867476580801</v>
      </c>
      <c r="S159" t="s">
        <v>658</v>
      </c>
      <c r="T159" s="3">
        <v>781.76804999999922</v>
      </c>
      <c r="U159" t="s">
        <v>1440</v>
      </c>
      <c r="V159" s="13" t="str">
        <f>TEXT(Table1_1[[#This Row],[OrderDate]],"MM YYYY")</f>
        <v>11 2024</v>
      </c>
      <c r="W159" s="11" t="str">
        <f>TEXT(Table1_1[[#This Row],[OrderDate]],"MM")</f>
        <v>11</v>
      </c>
      <c r="X159" s="11"/>
    </row>
    <row r="160" spans="1:24" x14ac:dyDescent="0.25">
      <c r="A160" t="s">
        <v>297</v>
      </c>
      <c r="B160" s="2">
        <v>45542</v>
      </c>
      <c r="C160" s="2">
        <v>45542</v>
      </c>
      <c r="D160" t="s">
        <v>1413</v>
      </c>
      <c r="E160" s="10">
        <v>0</v>
      </c>
      <c r="F160" t="s">
        <v>1405</v>
      </c>
      <c r="G160" t="s">
        <v>643</v>
      </c>
      <c r="H160" t="s">
        <v>651</v>
      </c>
      <c r="I160" t="s">
        <v>670</v>
      </c>
      <c r="J160" t="s">
        <v>962</v>
      </c>
      <c r="K160">
        <v>6</v>
      </c>
      <c r="L160" s="3">
        <v>1066.6500000000001</v>
      </c>
      <c r="M160" s="3">
        <v>2569.77</v>
      </c>
      <c r="N160" s="3" t="str">
        <f>IF(Table1_1[[#This Row],[UnitPrice]]&lt;=816.08,"low",IF(Table1_1[[#This Row],[UnitPrice]]&lt;=1640.06,"medium","high"))</f>
        <v>high</v>
      </c>
      <c r="O160" s="4">
        <v>0.13400000000000001</v>
      </c>
      <c r="P160" s="3">
        <v>13352.52492</v>
      </c>
      <c r="Q160" s="3">
        <v>6399.9000000000005</v>
      </c>
      <c r="R160" s="4">
        <v>0.52069739331368303</v>
      </c>
      <c r="S160" t="s">
        <v>658</v>
      </c>
      <c r="T160" s="3">
        <v>6952.6249199999993</v>
      </c>
      <c r="U160" t="s">
        <v>1437</v>
      </c>
      <c r="V160" s="13" t="str">
        <f>TEXT(Table1_1[[#This Row],[OrderDate]],"MM YYYY")</f>
        <v>09 2024</v>
      </c>
      <c r="W160" s="11" t="str">
        <f>TEXT(Table1_1[[#This Row],[OrderDate]],"MM")</f>
        <v>09</v>
      </c>
      <c r="X160" s="11"/>
    </row>
    <row r="161" spans="1:24" x14ac:dyDescent="0.25">
      <c r="A161" t="s">
        <v>67</v>
      </c>
      <c r="B161" s="2">
        <v>45697</v>
      </c>
      <c r="C161" s="2">
        <v>45717</v>
      </c>
      <c r="D161" t="s">
        <v>1413</v>
      </c>
      <c r="E161" s="10">
        <v>20</v>
      </c>
      <c r="F161" t="s">
        <v>1417</v>
      </c>
      <c r="G161" t="s">
        <v>642</v>
      </c>
      <c r="H161" t="s">
        <v>651</v>
      </c>
      <c r="I161" t="s">
        <v>672</v>
      </c>
      <c r="J161" t="s">
        <v>731</v>
      </c>
      <c r="K161">
        <v>14</v>
      </c>
      <c r="L161" s="3">
        <v>1154.6400000000001</v>
      </c>
      <c r="M161" s="3">
        <v>2794.13</v>
      </c>
      <c r="N161" s="3" t="str">
        <f>IF(Table1_1[[#This Row],[UnitPrice]]&lt;=816.08,"low",IF(Table1_1[[#This Row],[UnitPrice]]&lt;=1640.06,"medium","high"))</f>
        <v>high</v>
      </c>
      <c r="O161" s="4">
        <v>3.5000000000000003E-2</v>
      </c>
      <c r="P161" s="3">
        <v>37748.696299999996</v>
      </c>
      <c r="Q161" s="3">
        <v>16164.960000000001</v>
      </c>
      <c r="R161" s="4">
        <v>0.57177435025749501</v>
      </c>
      <c r="S161" t="s">
        <v>658</v>
      </c>
      <c r="T161" s="3">
        <v>21583.736299999997</v>
      </c>
      <c r="U161" t="s">
        <v>1434</v>
      </c>
      <c r="V161" s="13" t="str">
        <f>TEXT(Table1_1[[#This Row],[OrderDate]],"MM YYYY")</f>
        <v>02 2025</v>
      </c>
      <c r="W161" s="11" t="str">
        <f>TEXT(Table1_1[[#This Row],[OrderDate]],"MM")</f>
        <v>02</v>
      </c>
      <c r="X161" s="11"/>
    </row>
    <row r="162" spans="1:24" x14ac:dyDescent="0.25">
      <c r="A162" t="s">
        <v>625</v>
      </c>
      <c r="B162" s="2">
        <v>45727</v>
      </c>
      <c r="C162" s="2">
        <v>45743</v>
      </c>
      <c r="D162" t="s">
        <v>1413</v>
      </c>
      <c r="E162" s="10">
        <v>16</v>
      </c>
      <c r="F162" t="s">
        <v>1403</v>
      </c>
      <c r="G162" t="s">
        <v>647</v>
      </c>
      <c r="H162" t="s">
        <v>651</v>
      </c>
      <c r="I162" t="s">
        <v>669</v>
      </c>
      <c r="J162" t="s">
        <v>1288</v>
      </c>
      <c r="K162">
        <v>50</v>
      </c>
      <c r="L162" s="3">
        <v>1317.58</v>
      </c>
      <c r="M162" s="3">
        <v>1897.74</v>
      </c>
      <c r="N162" s="3" t="str">
        <f>IF(Table1_1[[#This Row],[UnitPrice]]&lt;=816.08,"low",IF(Table1_1[[#This Row],[UnitPrice]]&lt;=1640.06,"medium","high"))</f>
        <v>high</v>
      </c>
      <c r="O162" s="4">
        <v>8.1000000000000003E-2</v>
      </c>
      <c r="P162" s="3">
        <v>87201.153000000006</v>
      </c>
      <c r="Q162" s="3">
        <v>65879</v>
      </c>
      <c r="R162" s="4">
        <v>0.244516870092303</v>
      </c>
      <c r="S162" t="s">
        <v>658</v>
      </c>
      <c r="T162" s="3">
        <v>21322.153000000006</v>
      </c>
      <c r="U162" t="s">
        <v>1434</v>
      </c>
      <c r="V162" s="13" t="str">
        <f>TEXT(Table1_1[[#This Row],[OrderDate]],"MM YYYY")</f>
        <v>03 2025</v>
      </c>
      <c r="W162" s="11" t="str">
        <f>TEXT(Table1_1[[#This Row],[OrderDate]],"MM")</f>
        <v>03</v>
      </c>
      <c r="X162" s="11"/>
    </row>
    <row r="163" spans="1:24" x14ac:dyDescent="0.25">
      <c r="A163" t="s">
        <v>16</v>
      </c>
      <c r="B163" s="2">
        <v>44928</v>
      </c>
      <c r="C163" s="2">
        <v>44931</v>
      </c>
      <c r="D163" t="s">
        <v>1413</v>
      </c>
      <c r="E163" s="10">
        <v>3</v>
      </c>
      <c r="F163" t="s">
        <v>1414</v>
      </c>
      <c r="G163" t="s">
        <v>642</v>
      </c>
      <c r="H163" t="s">
        <v>651</v>
      </c>
      <c r="I163" t="s">
        <v>672</v>
      </c>
      <c r="J163" t="s">
        <v>680</v>
      </c>
      <c r="K163">
        <v>5</v>
      </c>
      <c r="L163" s="3">
        <v>315.87</v>
      </c>
      <c r="M163" s="3">
        <v>591.67999999999995</v>
      </c>
      <c r="N163" s="3" t="str">
        <f>IF(Table1_1[[#This Row],[UnitPrice]]&lt;=816.08,"low",IF(Table1_1[[#This Row],[UnitPrice]]&lt;=1640.06,"medium","high"))</f>
        <v>low</v>
      </c>
      <c r="O163" s="4">
        <v>0</v>
      </c>
      <c r="P163" s="3">
        <v>2958.3999999999996</v>
      </c>
      <c r="Q163" s="3">
        <v>1579.35</v>
      </c>
      <c r="R163" s="4">
        <v>0.46614724175229799</v>
      </c>
      <c r="S163" t="s">
        <v>658</v>
      </c>
      <c r="T163" s="3">
        <v>1379.0499999999997</v>
      </c>
      <c r="U163" t="s">
        <v>1432</v>
      </c>
      <c r="V163" s="13" t="str">
        <f>TEXT(Table1_1[[#This Row],[OrderDate]],"MM YYYY")</f>
        <v>01 2023</v>
      </c>
      <c r="W163" s="11" t="str">
        <f>TEXT(Table1_1[[#This Row],[OrderDate]],"MM")</f>
        <v>01</v>
      </c>
      <c r="X163" s="11"/>
    </row>
    <row r="164" spans="1:24" x14ac:dyDescent="0.25">
      <c r="A164" t="s">
        <v>520</v>
      </c>
      <c r="B164" s="2">
        <v>45056</v>
      </c>
      <c r="C164" s="2">
        <v>45060</v>
      </c>
      <c r="D164" t="s">
        <v>1413</v>
      </c>
      <c r="E164" s="10">
        <v>4</v>
      </c>
      <c r="F164" t="s">
        <v>1397</v>
      </c>
      <c r="G164" t="s">
        <v>644</v>
      </c>
      <c r="H164" t="s">
        <v>651</v>
      </c>
      <c r="I164" t="s">
        <v>673</v>
      </c>
      <c r="J164" t="s">
        <v>1184</v>
      </c>
      <c r="K164">
        <v>7</v>
      </c>
      <c r="L164" s="3">
        <v>622.6</v>
      </c>
      <c r="M164" s="3">
        <v>833.69</v>
      </c>
      <c r="N164" s="3" t="str">
        <f>IF(Table1_1[[#This Row],[UnitPrice]]&lt;=816.08,"low",IF(Table1_1[[#This Row],[UnitPrice]]&lt;=1640.06,"medium","high"))</f>
        <v>medium</v>
      </c>
      <c r="O164" s="4">
        <v>0.20899999999999999</v>
      </c>
      <c r="P164" s="3">
        <v>4616.1415299999999</v>
      </c>
      <c r="Q164" s="3">
        <v>4358.2</v>
      </c>
      <c r="R164" s="4">
        <v>5.5878167582959701E-2</v>
      </c>
      <c r="S164" t="s">
        <v>653</v>
      </c>
      <c r="T164" s="3">
        <v>257.94153000000006</v>
      </c>
      <c r="U164" t="s">
        <v>1435</v>
      </c>
      <c r="V164" s="13" t="str">
        <f>TEXT(Table1_1[[#This Row],[OrderDate]],"MM YYYY")</f>
        <v>05 2023</v>
      </c>
      <c r="W164" s="11" t="str">
        <f>TEXT(Table1_1[[#This Row],[OrderDate]],"MM")</f>
        <v>05</v>
      </c>
      <c r="X164" s="11"/>
    </row>
    <row r="165" spans="1:24" x14ac:dyDescent="0.25">
      <c r="A165" t="s">
        <v>536</v>
      </c>
      <c r="B165" s="2">
        <v>45695</v>
      </c>
      <c r="C165" s="2">
        <v>45704</v>
      </c>
      <c r="D165" t="s">
        <v>1413</v>
      </c>
      <c r="E165" s="10">
        <v>9</v>
      </c>
      <c r="F165" t="s">
        <v>1386</v>
      </c>
      <c r="G165" t="s">
        <v>646</v>
      </c>
      <c r="H165" t="s">
        <v>651</v>
      </c>
      <c r="I165" t="s">
        <v>669</v>
      </c>
      <c r="J165" t="s">
        <v>1200</v>
      </c>
      <c r="K165">
        <v>47</v>
      </c>
      <c r="L165" s="3">
        <v>90.68</v>
      </c>
      <c r="M165" s="3">
        <v>118.17</v>
      </c>
      <c r="N165" s="3" t="str">
        <f>IF(Table1_1[[#This Row],[UnitPrice]]&lt;=816.08,"low",IF(Table1_1[[#This Row],[UnitPrice]]&lt;=1640.06,"medium","high"))</f>
        <v>low</v>
      </c>
      <c r="O165" s="4">
        <v>0.13500000000000001</v>
      </c>
      <c r="P165" s="3">
        <v>4804.2013499999994</v>
      </c>
      <c r="Q165" s="3">
        <v>4261.96</v>
      </c>
      <c r="R165" s="4">
        <v>0.11286815653552899</v>
      </c>
      <c r="S165" t="s">
        <v>653</v>
      </c>
      <c r="T165" s="3">
        <v>542.24134999999933</v>
      </c>
      <c r="U165" t="s">
        <v>1434</v>
      </c>
      <c r="V165" s="13" t="str">
        <f>TEXT(Table1_1[[#This Row],[OrderDate]],"MM YYYY")</f>
        <v>02 2025</v>
      </c>
      <c r="W165" s="11" t="str">
        <f>TEXT(Table1_1[[#This Row],[OrderDate]],"MM")</f>
        <v>02</v>
      </c>
      <c r="X165" s="11"/>
    </row>
    <row r="166" spans="1:24" x14ac:dyDescent="0.25">
      <c r="A166" t="s">
        <v>475</v>
      </c>
      <c r="B166" s="2">
        <v>45618</v>
      </c>
      <c r="C166" s="2">
        <v>45641</v>
      </c>
      <c r="D166" t="s">
        <v>1413</v>
      </c>
      <c r="E166" s="10">
        <v>23</v>
      </c>
      <c r="F166" t="s">
        <v>1393</v>
      </c>
      <c r="G166" t="s">
        <v>644</v>
      </c>
      <c r="H166" t="s">
        <v>651</v>
      </c>
      <c r="I166" t="s">
        <v>668</v>
      </c>
      <c r="J166" t="s">
        <v>1139</v>
      </c>
      <c r="K166">
        <v>8</v>
      </c>
      <c r="L166" s="3">
        <v>1335.76</v>
      </c>
      <c r="M166" s="3">
        <v>2665.91</v>
      </c>
      <c r="N166" s="3" t="str">
        <f>IF(Table1_1[[#This Row],[UnitPrice]]&lt;=816.08,"low",IF(Table1_1[[#This Row],[UnitPrice]]&lt;=1640.06,"medium","high"))</f>
        <v>high</v>
      </c>
      <c r="O166" s="4">
        <v>0.21099999999999999</v>
      </c>
      <c r="P166" s="3">
        <v>16827.22392</v>
      </c>
      <c r="Q166" s="3">
        <v>10686.08</v>
      </c>
      <c r="R166" s="4">
        <v>0.36495288522909197</v>
      </c>
      <c r="S166" t="s">
        <v>653</v>
      </c>
      <c r="T166" s="3">
        <v>6141.1439200000004</v>
      </c>
      <c r="U166" t="s">
        <v>1440</v>
      </c>
      <c r="V166" s="13" t="str">
        <f>TEXT(Table1_1[[#This Row],[OrderDate]],"MM YYYY")</f>
        <v>11 2024</v>
      </c>
      <c r="W166" s="11" t="str">
        <f>TEXT(Table1_1[[#This Row],[OrderDate]],"MM")</f>
        <v>11</v>
      </c>
      <c r="X166" s="11"/>
    </row>
    <row r="167" spans="1:24" x14ac:dyDescent="0.25">
      <c r="A167" t="s">
        <v>78</v>
      </c>
      <c r="B167" s="2">
        <v>45434</v>
      </c>
      <c r="C167" s="2">
        <v>45449</v>
      </c>
      <c r="D167" t="s">
        <v>1413</v>
      </c>
      <c r="E167" s="10">
        <v>15</v>
      </c>
      <c r="F167" t="s">
        <v>1407</v>
      </c>
      <c r="G167" t="s">
        <v>642</v>
      </c>
      <c r="H167" t="s">
        <v>651</v>
      </c>
      <c r="I167" t="s">
        <v>673</v>
      </c>
      <c r="J167" t="s">
        <v>742</v>
      </c>
      <c r="K167">
        <v>44</v>
      </c>
      <c r="L167" s="3">
        <v>673.88</v>
      </c>
      <c r="M167" s="3">
        <v>1228.01</v>
      </c>
      <c r="N167" s="3" t="str">
        <f>IF(Table1_1[[#This Row],[UnitPrice]]&lt;=816.08,"low",IF(Table1_1[[#This Row],[UnitPrice]]&lt;=1640.06,"medium","high"))</f>
        <v>medium</v>
      </c>
      <c r="O167" s="4">
        <v>0.105</v>
      </c>
      <c r="P167" s="3">
        <v>48359.033800000005</v>
      </c>
      <c r="Q167" s="3">
        <v>29650.720000000001</v>
      </c>
      <c r="R167" s="4">
        <v>0.38686285332690001</v>
      </c>
      <c r="S167" t="s">
        <v>653</v>
      </c>
      <c r="T167" s="3">
        <v>18708.313800000004</v>
      </c>
      <c r="U167" t="s">
        <v>1436</v>
      </c>
      <c r="V167" s="13" t="str">
        <f>TEXT(Table1_1[[#This Row],[OrderDate]],"MM YYYY")</f>
        <v>05 2024</v>
      </c>
      <c r="W167" s="11" t="str">
        <f>TEXT(Table1_1[[#This Row],[OrderDate]],"MM")</f>
        <v>05</v>
      </c>
      <c r="X167" s="11"/>
    </row>
    <row r="168" spans="1:24" x14ac:dyDescent="0.25">
      <c r="A168" t="s">
        <v>28</v>
      </c>
      <c r="B168" s="2">
        <v>45908</v>
      </c>
      <c r="C168" s="2">
        <v>45916</v>
      </c>
      <c r="D168" t="s">
        <v>1413</v>
      </c>
      <c r="E168" s="10">
        <v>8</v>
      </c>
      <c r="F168" t="s">
        <v>1387</v>
      </c>
      <c r="G168" t="s">
        <v>642</v>
      </c>
      <c r="H168" t="s">
        <v>651</v>
      </c>
      <c r="I168" t="s">
        <v>671</v>
      </c>
      <c r="J168" t="s">
        <v>692</v>
      </c>
      <c r="K168">
        <v>46</v>
      </c>
      <c r="L168" s="3">
        <v>1225.57</v>
      </c>
      <c r="M168" s="3">
        <v>2705.57</v>
      </c>
      <c r="N168" s="3" t="str">
        <f>IF(Table1_1[[#This Row],[UnitPrice]]&lt;=816.08,"low",IF(Table1_1[[#This Row],[UnitPrice]]&lt;=1640.06,"medium","high"))</f>
        <v>high</v>
      </c>
      <c r="O168" s="4">
        <v>0.183</v>
      </c>
      <c r="P168" s="3">
        <v>101680.73173999999</v>
      </c>
      <c r="Q168" s="3">
        <v>56376.219999999994</v>
      </c>
      <c r="R168" s="4">
        <v>0.44555650775453398</v>
      </c>
      <c r="S168" t="s">
        <v>653</v>
      </c>
      <c r="T168" s="3">
        <v>45304.511739999994</v>
      </c>
      <c r="U168" t="s">
        <v>1438</v>
      </c>
      <c r="V168" s="13" t="str">
        <f>TEXT(Table1_1[[#This Row],[OrderDate]],"MM YYYY")</f>
        <v>09 2025</v>
      </c>
      <c r="W168" s="11" t="str">
        <f>TEXT(Table1_1[[#This Row],[OrderDate]],"MM")</f>
        <v>09</v>
      </c>
      <c r="X168" s="11"/>
    </row>
    <row r="169" spans="1:24" x14ac:dyDescent="0.25">
      <c r="A169" t="s">
        <v>496</v>
      </c>
      <c r="B169" s="2">
        <v>45224</v>
      </c>
      <c r="C169" s="2">
        <v>45254</v>
      </c>
      <c r="D169" t="s">
        <v>1413</v>
      </c>
      <c r="E169" s="10">
        <v>30</v>
      </c>
      <c r="F169" t="s">
        <v>1404</v>
      </c>
      <c r="G169" t="s">
        <v>647</v>
      </c>
      <c r="H169" t="s">
        <v>651</v>
      </c>
      <c r="I169" t="s">
        <v>671</v>
      </c>
      <c r="J169" t="s">
        <v>1160</v>
      </c>
      <c r="K169">
        <v>9</v>
      </c>
      <c r="L169" s="3">
        <v>287.85000000000002</v>
      </c>
      <c r="M169" s="3">
        <v>602.91999999999996</v>
      </c>
      <c r="N169" s="3" t="str">
        <f>IF(Table1_1[[#This Row],[UnitPrice]]&lt;=816.08,"low",IF(Table1_1[[#This Row],[UnitPrice]]&lt;=1640.06,"medium","high"))</f>
        <v>low</v>
      </c>
      <c r="O169" s="4">
        <v>0.222</v>
      </c>
      <c r="P169" s="3">
        <v>4221.6458400000001</v>
      </c>
      <c r="Q169" s="3">
        <v>2590.65</v>
      </c>
      <c r="R169" s="4">
        <v>0.38634122847216401</v>
      </c>
      <c r="S169" t="s">
        <v>653</v>
      </c>
      <c r="T169" s="3">
        <v>1630.99584</v>
      </c>
      <c r="U169" t="s">
        <v>1439</v>
      </c>
      <c r="V169" s="13" t="str">
        <f>TEXT(Table1_1[[#This Row],[OrderDate]],"MM YYYY")</f>
        <v>10 2023</v>
      </c>
      <c r="W169" s="11" t="str">
        <f>TEXT(Table1_1[[#This Row],[OrderDate]],"MM")</f>
        <v>10</v>
      </c>
      <c r="X169" s="11"/>
    </row>
    <row r="170" spans="1:24" x14ac:dyDescent="0.25">
      <c r="A170" t="s">
        <v>611</v>
      </c>
      <c r="B170" s="2">
        <v>45523</v>
      </c>
      <c r="C170" s="2">
        <v>45537</v>
      </c>
      <c r="D170" t="s">
        <v>1413</v>
      </c>
      <c r="E170" s="10">
        <v>14</v>
      </c>
      <c r="F170" t="s">
        <v>1414</v>
      </c>
      <c r="G170" t="s">
        <v>645</v>
      </c>
      <c r="H170" t="s">
        <v>651</v>
      </c>
      <c r="I170" t="s">
        <v>669</v>
      </c>
      <c r="J170" t="s">
        <v>1274</v>
      </c>
      <c r="K170">
        <v>6</v>
      </c>
      <c r="L170" s="3">
        <v>1337.01</v>
      </c>
      <c r="M170" s="3">
        <v>1269.78</v>
      </c>
      <c r="N170" s="3" t="str">
        <f>IF(Table1_1[[#This Row],[UnitPrice]]&lt;=816.08,"low",IF(Table1_1[[#This Row],[UnitPrice]]&lt;=1640.06,"medium","high"))</f>
        <v>medium</v>
      </c>
      <c r="O170" s="4">
        <v>0.16</v>
      </c>
      <c r="P170" s="3">
        <v>6399.6912000000002</v>
      </c>
      <c r="Q170" s="3">
        <v>8022.0599999999995</v>
      </c>
      <c r="R170" s="4">
        <v>-0.253507356729962</v>
      </c>
      <c r="S170" t="s">
        <v>653</v>
      </c>
      <c r="T170" s="3">
        <v>-1622.3687999999993</v>
      </c>
      <c r="U170" t="s">
        <v>1437</v>
      </c>
      <c r="V170" s="13" t="str">
        <f>TEXT(Table1_1[[#This Row],[OrderDate]],"MM YYYY")</f>
        <v>08 2024</v>
      </c>
      <c r="W170" s="11" t="str">
        <f>TEXT(Table1_1[[#This Row],[OrderDate]],"MM")</f>
        <v>08</v>
      </c>
      <c r="X170" s="11"/>
    </row>
    <row r="171" spans="1:24" x14ac:dyDescent="0.25">
      <c r="A171" t="s">
        <v>365</v>
      </c>
      <c r="B171" s="2">
        <v>45292</v>
      </c>
      <c r="C171" s="2">
        <v>45318</v>
      </c>
      <c r="D171" t="s">
        <v>1413</v>
      </c>
      <c r="E171" s="10">
        <v>26</v>
      </c>
      <c r="F171" t="s">
        <v>1406</v>
      </c>
      <c r="G171" t="s">
        <v>643</v>
      </c>
      <c r="H171" t="s">
        <v>651</v>
      </c>
      <c r="I171" t="s">
        <v>674</v>
      </c>
      <c r="J171" t="s">
        <v>1030</v>
      </c>
      <c r="K171">
        <v>5</v>
      </c>
      <c r="L171" s="3">
        <v>657.45</v>
      </c>
      <c r="M171" s="3">
        <v>1325.96</v>
      </c>
      <c r="N171" s="3" t="str">
        <f>IF(Table1_1[[#This Row],[UnitPrice]]&lt;=816.08,"low",IF(Table1_1[[#This Row],[UnitPrice]]&lt;=1640.06,"medium","high"))</f>
        <v>medium</v>
      </c>
      <c r="O171" s="4">
        <v>0.16700000000000001</v>
      </c>
      <c r="P171" s="3">
        <v>5522.6233999999995</v>
      </c>
      <c r="Q171" s="3">
        <v>3287.25</v>
      </c>
      <c r="R171" s="4">
        <v>0.40476658249048802</v>
      </c>
      <c r="S171" t="s">
        <v>667</v>
      </c>
      <c r="T171" s="3">
        <v>2235.3733999999995</v>
      </c>
      <c r="U171" t="s">
        <v>1433</v>
      </c>
      <c r="V171" s="13" t="str">
        <f>TEXT(Table1_1[[#This Row],[OrderDate]],"MM YYYY")</f>
        <v>01 2024</v>
      </c>
      <c r="W171" s="11" t="str">
        <f>TEXT(Table1_1[[#This Row],[OrderDate]],"MM")</f>
        <v>01</v>
      </c>
      <c r="X171" s="11"/>
    </row>
    <row r="172" spans="1:24" x14ac:dyDescent="0.25">
      <c r="A172" t="s">
        <v>477</v>
      </c>
      <c r="B172" s="2">
        <v>45278</v>
      </c>
      <c r="C172" s="2">
        <v>45305</v>
      </c>
      <c r="D172" t="s">
        <v>1413</v>
      </c>
      <c r="E172" s="10">
        <v>27</v>
      </c>
      <c r="F172" t="s">
        <v>1405</v>
      </c>
      <c r="G172" t="s">
        <v>645</v>
      </c>
      <c r="H172" t="s">
        <v>651</v>
      </c>
      <c r="I172" t="s">
        <v>670</v>
      </c>
      <c r="J172" t="s">
        <v>1141</v>
      </c>
      <c r="K172">
        <v>16</v>
      </c>
      <c r="L172" s="3">
        <v>1408.3</v>
      </c>
      <c r="M172" s="3">
        <v>2193.13</v>
      </c>
      <c r="N172" s="3" t="str">
        <f>IF(Table1_1[[#This Row],[UnitPrice]]&lt;=816.08,"low",IF(Table1_1[[#This Row],[UnitPrice]]&lt;=1640.06,"medium","high"))</f>
        <v>high</v>
      </c>
      <c r="O172" s="4">
        <v>7.0999999999999994E-2</v>
      </c>
      <c r="P172" s="3">
        <v>32598.684320000004</v>
      </c>
      <c r="Q172" s="3">
        <v>22532.799999999999</v>
      </c>
      <c r="R172" s="4">
        <v>0.30878191957656298</v>
      </c>
      <c r="S172" t="s">
        <v>667</v>
      </c>
      <c r="T172" s="3">
        <v>10065.884320000005</v>
      </c>
      <c r="U172" t="s">
        <v>1439</v>
      </c>
      <c r="V172" s="13" t="str">
        <f>TEXT(Table1_1[[#This Row],[OrderDate]],"MM YYYY")</f>
        <v>12 2023</v>
      </c>
      <c r="W172" s="11" t="str">
        <f>TEXT(Table1_1[[#This Row],[OrderDate]],"MM")</f>
        <v>12</v>
      </c>
      <c r="X172" s="11"/>
    </row>
    <row r="173" spans="1:24" x14ac:dyDescent="0.25">
      <c r="A173" t="s">
        <v>538</v>
      </c>
      <c r="B173" s="2">
        <v>45448</v>
      </c>
      <c r="C173" s="2">
        <v>45466</v>
      </c>
      <c r="D173" t="s">
        <v>1413</v>
      </c>
      <c r="E173" s="10">
        <v>18</v>
      </c>
      <c r="F173" t="s">
        <v>1385</v>
      </c>
      <c r="G173" t="s">
        <v>645</v>
      </c>
      <c r="H173" t="s">
        <v>651</v>
      </c>
      <c r="I173" t="s">
        <v>672</v>
      </c>
      <c r="J173" t="s">
        <v>1202</v>
      </c>
      <c r="K173">
        <v>5</v>
      </c>
      <c r="L173" s="3">
        <v>1208.74</v>
      </c>
      <c r="M173" s="3">
        <v>1594.78</v>
      </c>
      <c r="N173" s="3" t="str">
        <f>IF(Table1_1[[#This Row],[UnitPrice]]&lt;=816.08,"low",IF(Table1_1[[#This Row],[UnitPrice]]&lt;=1640.06,"medium","high"))</f>
        <v>medium</v>
      </c>
      <c r="O173" s="4">
        <v>5.8999999999999997E-2</v>
      </c>
      <c r="P173" s="3">
        <v>7503.4399000000003</v>
      </c>
      <c r="Q173" s="3">
        <v>6043.7</v>
      </c>
      <c r="R173" s="4">
        <v>0.194542758981784</v>
      </c>
      <c r="S173" t="s">
        <v>667</v>
      </c>
      <c r="T173" s="3">
        <v>1459.7399000000005</v>
      </c>
      <c r="U173" t="s">
        <v>1436</v>
      </c>
      <c r="V173" s="13" t="str">
        <f>TEXT(Table1_1[[#This Row],[OrderDate]],"MM YYYY")</f>
        <v>06 2024</v>
      </c>
      <c r="W173" s="11" t="str">
        <f>TEXT(Table1_1[[#This Row],[OrderDate]],"MM")</f>
        <v>06</v>
      </c>
      <c r="X173" s="11"/>
    </row>
    <row r="174" spans="1:24" x14ac:dyDescent="0.25">
      <c r="A174" t="s">
        <v>243</v>
      </c>
      <c r="B174" s="2">
        <v>45540</v>
      </c>
      <c r="C174" s="2">
        <v>45560</v>
      </c>
      <c r="D174" t="s">
        <v>1413</v>
      </c>
      <c r="E174" s="10">
        <v>20</v>
      </c>
      <c r="F174" t="s">
        <v>1387</v>
      </c>
      <c r="G174" t="s">
        <v>647</v>
      </c>
      <c r="H174" t="s">
        <v>651</v>
      </c>
      <c r="I174" t="s">
        <v>673</v>
      </c>
      <c r="J174" t="s">
        <v>908</v>
      </c>
      <c r="K174">
        <v>10</v>
      </c>
      <c r="L174" s="3">
        <v>195.54</v>
      </c>
      <c r="M174" s="3">
        <v>405.97</v>
      </c>
      <c r="N174" s="3" t="str">
        <f>IF(Table1_1[[#This Row],[UnitPrice]]&lt;=816.08,"low",IF(Table1_1[[#This Row],[UnitPrice]]&lt;=1640.06,"medium","high"))</f>
        <v>low</v>
      </c>
      <c r="O174" s="4">
        <v>0.187</v>
      </c>
      <c r="P174" s="3">
        <v>3300.5360999999998</v>
      </c>
      <c r="Q174" s="3">
        <v>1955.3999999999999</v>
      </c>
      <c r="R174" s="4">
        <v>0.40755079152141399</v>
      </c>
      <c r="S174" t="s">
        <v>667</v>
      </c>
      <c r="T174" s="3">
        <v>1345.1360999999999</v>
      </c>
      <c r="U174" t="s">
        <v>1437</v>
      </c>
      <c r="V174" s="13" t="str">
        <f>TEXT(Table1_1[[#This Row],[OrderDate]],"MM YYYY")</f>
        <v>09 2024</v>
      </c>
      <c r="W174" s="11" t="str">
        <f>TEXT(Table1_1[[#This Row],[OrderDate]],"MM")</f>
        <v>09</v>
      </c>
      <c r="X174" s="11"/>
    </row>
    <row r="175" spans="1:24" x14ac:dyDescent="0.25">
      <c r="A175" t="s">
        <v>61</v>
      </c>
      <c r="B175" s="2">
        <v>45602</v>
      </c>
      <c r="C175" s="2">
        <v>45618</v>
      </c>
      <c r="D175" t="s">
        <v>1413</v>
      </c>
      <c r="E175" s="10">
        <v>16</v>
      </c>
      <c r="F175" t="s">
        <v>1414</v>
      </c>
      <c r="G175" t="s">
        <v>644</v>
      </c>
      <c r="H175" t="s">
        <v>651</v>
      </c>
      <c r="I175" t="s">
        <v>674</v>
      </c>
      <c r="J175" t="s">
        <v>725</v>
      </c>
      <c r="K175">
        <v>15</v>
      </c>
      <c r="L175" s="3">
        <v>1454.11</v>
      </c>
      <c r="M175" s="3">
        <v>2629.75</v>
      </c>
      <c r="N175" s="3" t="str">
        <f>IF(Table1_1[[#This Row],[UnitPrice]]&lt;=816.08,"low",IF(Table1_1[[#This Row],[UnitPrice]]&lt;=1640.06,"medium","high"))</f>
        <v>high</v>
      </c>
      <c r="O175" s="4">
        <v>0.29199999999999998</v>
      </c>
      <c r="P175" s="3">
        <v>27927.945</v>
      </c>
      <c r="Q175" s="3">
        <v>21811.649999999998</v>
      </c>
      <c r="R175" s="4">
        <v>0.219002687093519</v>
      </c>
      <c r="S175" t="s">
        <v>667</v>
      </c>
      <c r="T175" s="3">
        <v>6116.2950000000019</v>
      </c>
      <c r="U175" t="s">
        <v>1440</v>
      </c>
      <c r="V175" s="13" t="str">
        <f>TEXT(Table1_1[[#This Row],[OrderDate]],"MM YYYY")</f>
        <v>11 2024</v>
      </c>
      <c r="W175" s="11" t="str">
        <f>TEXT(Table1_1[[#This Row],[OrderDate]],"MM")</f>
        <v>11</v>
      </c>
      <c r="X175" s="11"/>
    </row>
    <row r="176" spans="1:24" x14ac:dyDescent="0.25">
      <c r="A176" t="s">
        <v>428</v>
      </c>
      <c r="B176" s="2">
        <v>45730</v>
      </c>
      <c r="C176" s="2">
        <v>45755</v>
      </c>
      <c r="D176" t="s">
        <v>1413</v>
      </c>
      <c r="E176" s="10">
        <v>25</v>
      </c>
      <c r="F176" t="s">
        <v>1427</v>
      </c>
      <c r="G176" t="s">
        <v>642</v>
      </c>
      <c r="H176" t="s">
        <v>651</v>
      </c>
      <c r="I176" t="s">
        <v>669</v>
      </c>
      <c r="J176" t="s">
        <v>1092</v>
      </c>
      <c r="K176">
        <v>8</v>
      </c>
      <c r="L176" s="3">
        <v>80.59</v>
      </c>
      <c r="M176" s="3">
        <v>157.82</v>
      </c>
      <c r="N176" s="3" t="str">
        <f>IF(Table1_1[[#This Row],[UnitPrice]]&lt;=816.08,"low",IF(Table1_1[[#This Row],[UnitPrice]]&lt;=1640.06,"medium","high"))</f>
        <v>low</v>
      </c>
      <c r="O176" s="4">
        <v>0.217</v>
      </c>
      <c r="P176" s="3">
        <v>988.58447999999999</v>
      </c>
      <c r="Q176" s="3">
        <v>644.72</v>
      </c>
      <c r="R176" s="4">
        <v>0.34783519967863502</v>
      </c>
      <c r="S176" t="s">
        <v>667</v>
      </c>
      <c r="T176" s="3">
        <v>343.86447999999996</v>
      </c>
      <c r="U176" t="s">
        <v>1434</v>
      </c>
      <c r="V176" s="13" t="str">
        <f>TEXT(Table1_1[[#This Row],[OrderDate]],"MM YYYY")</f>
        <v>03 2025</v>
      </c>
      <c r="W176" s="11" t="str">
        <f>TEXT(Table1_1[[#This Row],[OrderDate]],"MM")</f>
        <v>03</v>
      </c>
      <c r="X176" s="11"/>
    </row>
    <row r="177" spans="1:24" x14ac:dyDescent="0.25">
      <c r="A177" t="s">
        <v>639</v>
      </c>
      <c r="B177" s="2">
        <v>45267</v>
      </c>
      <c r="C177" s="2">
        <v>45293</v>
      </c>
      <c r="D177" t="s">
        <v>1413</v>
      </c>
      <c r="E177" s="10">
        <v>26</v>
      </c>
      <c r="F177" t="s">
        <v>1410</v>
      </c>
      <c r="G177" t="s">
        <v>647</v>
      </c>
      <c r="H177" t="s">
        <v>651</v>
      </c>
      <c r="I177" t="s">
        <v>668</v>
      </c>
      <c r="J177" t="s">
        <v>1302</v>
      </c>
      <c r="K177">
        <v>38</v>
      </c>
      <c r="L177" s="3">
        <v>1071.99</v>
      </c>
      <c r="M177" s="3">
        <v>2397.3000000000002</v>
      </c>
      <c r="N177" s="3" t="str">
        <f>IF(Table1_1[[#This Row],[UnitPrice]]&lt;=816.08,"low",IF(Table1_1[[#This Row],[UnitPrice]]&lt;=1640.06,"medium","high"))</f>
        <v>high</v>
      </c>
      <c r="O177" s="4">
        <v>6.2E-2</v>
      </c>
      <c r="P177" s="3">
        <v>85449.361199999999</v>
      </c>
      <c r="Q177" s="3">
        <v>40735.620000000003</v>
      </c>
      <c r="R177" s="4">
        <v>0.52327765324476205</v>
      </c>
      <c r="S177" t="s">
        <v>659</v>
      </c>
      <c r="T177" s="3">
        <v>44713.741199999997</v>
      </c>
      <c r="U177" t="s">
        <v>1439</v>
      </c>
      <c r="V177" s="13" t="str">
        <f>TEXT(Table1_1[[#This Row],[OrderDate]],"MM YYYY")</f>
        <v>12 2023</v>
      </c>
      <c r="W177" s="11" t="str">
        <f>TEXT(Table1_1[[#This Row],[OrderDate]],"MM")</f>
        <v>12</v>
      </c>
      <c r="X177" s="11"/>
    </row>
    <row r="178" spans="1:24" x14ac:dyDescent="0.25">
      <c r="A178" t="s">
        <v>429</v>
      </c>
      <c r="B178" s="2">
        <v>45307</v>
      </c>
      <c r="C178" s="2">
        <v>45333</v>
      </c>
      <c r="D178" t="s">
        <v>1413</v>
      </c>
      <c r="E178" s="10">
        <v>26</v>
      </c>
      <c r="F178" t="s">
        <v>1410</v>
      </c>
      <c r="G178" t="s">
        <v>644</v>
      </c>
      <c r="H178" t="s">
        <v>651</v>
      </c>
      <c r="I178" t="s">
        <v>673</v>
      </c>
      <c r="J178" t="s">
        <v>1093</v>
      </c>
      <c r="K178">
        <v>9</v>
      </c>
      <c r="L178" s="3">
        <v>504.93</v>
      </c>
      <c r="M178" s="3">
        <v>819.06</v>
      </c>
      <c r="N178" s="3" t="str">
        <f>IF(Table1_1[[#This Row],[UnitPrice]]&lt;=816.08,"low",IF(Table1_1[[#This Row],[UnitPrice]]&lt;=1640.06,"medium","high"))</f>
        <v>medium</v>
      </c>
      <c r="O178" s="4">
        <v>0.22600000000000001</v>
      </c>
      <c r="P178" s="3">
        <v>5705.5719599999993</v>
      </c>
      <c r="Q178" s="3">
        <v>4544.37</v>
      </c>
      <c r="R178" s="4">
        <v>0.203520693129598</v>
      </c>
      <c r="S178" t="s">
        <v>659</v>
      </c>
      <c r="T178" s="3">
        <v>1161.2019599999994</v>
      </c>
      <c r="U178" t="s">
        <v>1433</v>
      </c>
      <c r="V178" s="13" t="str">
        <f>TEXT(Table1_1[[#This Row],[OrderDate]],"MM YYYY")</f>
        <v>01 2024</v>
      </c>
      <c r="W178" s="11" t="str">
        <f>TEXT(Table1_1[[#This Row],[OrderDate]],"MM")</f>
        <v>01</v>
      </c>
      <c r="X178" s="11"/>
    </row>
    <row r="179" spans="1:24" x14ac:dyDescent="0.25">
      <c r="A179" t="s">
        <v>438</v>
      </c>
      <c r="B179" s="2">
        <v>45347</v>
      </c>
      <c r="C179" s="2">
        <v>45360</v>
      </c>
      <c r="D179" t="s">
        <v>1413</v>
      </c>
      <c r="E179" s="10">
        <v>13</v>
      </c>
      <c r="F179" t="s">
        <v>1391</v>
      </c>
      <c r="G179" t="s">
        <v>646</v>
      </c>
      <c r="H179" t="s">
        <v>651</v>
      </c>
      <c r="I179" t="s">
        <v>673</v>
      </c>
      <c r="J179" t="s">
        <v>1102</v>
      </c>
      <c r="K179">
        <v>13</v>
      </c>
      <c r="L179" s="3">
        <v>322.44</v>
      </c>
      <c r="M179" s="3">
        <v>395.61</v>
      </c>
      <c r="N179" s="3" t="str">
        <f>IF(Table1_1[[#This Row],[UnitPrice]]&lt;=816.08,"low",IF(Table1_1[[#This Row],[UnitPrice]]&lt;=1640.06,"medium","high"))</f>
        <v>low</v>
      </c>
      <c r="O179" s="4">
        <v>0</v>
      </c>
      <c r="P179" s="3">
        <v>5142.93</v>
      </c>
      <c r="Q179" s="3">
        <v>4191.72</v>
      </c>
      <c r="R179" s="4">
        <v>0.184954879805869</v>
      </c>
      <c r="S179" t="s">
        <v>659</v>
      </c>
      <c r="T179" s="3">
        <v>951.21</v>
      </c>
      <c r="U179" t="s">
        <v>1433</v>
      </c>
      <c r="V179" s="13" t="str">
        <f>TEXT(Table1_1[[#This Row],[OrderDate]],"MM YYYY")</f>
        <v>02 2024</v>
      </c>
      <c r="W179" s="11" t="str">
        <f>TEXT(Table1_1[[#This Row],[OrderDate]],"MM")</f>
        <v>02</v>
      </c>
      <c r="X179" s="11"/>
    </row>
    <row r="180" spans="1:24" x14ac:dyDescent="0.25">
      <c r="A180" t="s">
        <v>573</v>
      </c>
      <c r="B180" s="2">
        <v>45029</v>
      </c>
      <c r="C180" s="2">
        <v>45048</v>
      </c>
      <c r="D180" t="s">
        <v>1413</v>
      </c>
      <c r="E180" s="10">
        <v>19</v>
      </c>
      <c r="F180" t="s">
        <v>1418</v>
      </c>
      <c r="G180" t="s">
        <v>645</v>
      </c>
      <c r="H180" t="s">
        <v>651</v>
      </c>
      <c r="I180" t="s">
        <v>673</v>
      </c>
      <c r="J180" t="s">
        <v>1236</v>
      </c>
      <c r="K180">
        <v>15</v>
      </c>
      <c r="L180" s="3">
        <v>671.05</v>
      </c>
      <c r="M180" s="3">
        <v>1645.48</v>
      </c>
      <c r="N180" s="3" t="str">
        <f>IF(Table1_1[[#This Row],[UnitPrice]]&lt;=816.08,"low",IF(Table1_1[[#This Row],[UnitPrice]]&lt;=1640.06,"medium","high"))</f>
        <v>high</v>
      </c>
      <c r="O180" s="4">
        <v>0.13700000000000001</v>
      </c>
      <c r="P180" s="3">
        <v>21300.738600000001</v>
      </c>
      <c r="Q180" s="3">
        <v>10065.75</v>
      </c>
      <c r="R180" s="4">
        <v>0.52744596377517206</v>
      </c>
      <c r="S180" t="s">
        <v>659</v>
      </c>
      <c r="T180" s="3">
        <v>11234.988600000001</v>
      </c>
      <c r="U180" t="s">
        <v>1435</v>
      </c>
      <c r="V180" s="13" t="str">
        <f>TEXT(Table1_1[[#This Row],[OrderDate]],"MM YYYY")</f>
        <v>04 2023</v>
      </c>
      <c r="W180" s="11" t="str">
        <f>TEXT(Table1_1[[#This Row],[OrderDate]],"MM")</f>
        <v>04</v>
      </c>
      <c r="X180" s="11"/>
    </row>
    <row r="181" spans="1:24" x14ac:dyDescent="0.25">
      <c r="A181" t="s">
        <v>305</v>
      </c>
      <c r="B181" s="2">
        <v>45809</v>
      </c>
      <c r="C181" s="2">
        <v>45835</v>
      </c>
      <c r="D181" t="s">
        <v>1413</v>
      </c>
      <c r="E181" s="10">
        <v>26</v>
      </c>
      <c r="F181" t="s">
        <v>1400</v>
      </c>
      <c r="G181" t="s">
        <v>645</v>
      </c>
      <c r="H181" t="s">
        <v>651</v>
      </c>
      <c r="I181" t="s">
        <v>672</v>
      </c>
      <c r="J181" t="s">
        <v>970</v>
      </c>
      <c r="K181">
        <v>13</v>
      </c>
      <c r="L181" s="3">
        <v>1362.31</v>
      </c>
      <c r="M181" s="3">
        <v>3294.57</v>
      </c>
      <c r="N181" s="3" t="str">
        <f>IF(Table1_1[[#This Row],[UnitPrice]]&lt;=816.08,"low",IF(Table1_1[[#This Row],[UnitPrice]]&lt;=1640.06,"medium","high"))</f>
        <v>high</v>
      </c>
      <c r="O181" s="4">
        <v>0.113</v>
      </c>
      <c r="P181" s="3">
        <v>37989.686670000003</v>
      </c>
      <c r="Q181" s="3">
        <v>17710.03</v>
      </c>
      <c r="R181" s="4">
        <v>0.53382005611577199</v>
      </c>
      <c r="S181" t="s">
        <v>659</v>
      </c>
      <c r="T181" s="3">
        <v>20279.656670000004</v>
      </c>
      <c r="U181" t="s">
        <v>1431</v>
      </c>
      <c r="V181" s="13" t="str">
        <f>TEXT(Table1_1[[#This Row],[OrderDate]],"MM YYYY")</f>
        <v>06 2025</v>
      </c>
      <c r="W181" s="11" t="str">
        <f>TEXT(Table1_1[[#This Row],[OrderDate]],"MM")</f>
        <v>06</v>
      </c>
      <c r="X181" s="11"/>
    </row>
    <row r="182" spans="1:24" x14ac:dyDescent="0.25">
      <c r="A182" t="s">
        <v>270</v>
      </c>
      <c r="B182" s="2">
        <v>45066</v>
      </c>
      <c r="C182" s="2">
        <v>45084</v>
      </c>
      <c r="D182" t="s">
        <v>1413</v>
      </c>
      <c r="E182" s="10">
        <v>18</v>
      </c>
      <c r="F182" t="s">
        <v>1384</v>
      </c>
      <c r="G182" t="s">
        <v>647</v>
      </c>
      <c r="H182" t="s">
        <v>651</v>
      </c>
      <c r="I182" t="s">
        <v>668</v>
      </c>
      <c r="J182" t="s">
        <v>935</v>
      </c>
      <c r="K182">
        <v>4</v>
      </c>
      <c r="L182" s="3">
        <v>1120.06</v>
      </c>
      <c r="M182" s="3">
        <v>2068.21</v>
      </c>
      <c r="N182" s="3" t="str">
        <f>IF(Table1_1[[#This Row],[UnitPrice]]&lt;=816.08,"low",IF(Table1_1[[#This Row],[UnitPrice]]&lt;=1640.06,"medium","high"))</f>
        <v>high</v>
      </c>
      <c r="O182" s="4">
        <v>7.8E-2</v>
      </c>
      <c r="P182" s="3">
        <v>7627.5584800000006</v>
      </c>
      <c r="Q182" s="3">
        <v>4480.24</v>
      </c>
      <c r="R182" s="4">
        <v>0.41262462795303301</v>
      </c>
      <c r="S182" t="s">
        <v>659</v>
      </c>
      <c r="T182" s="3">
        <v>3147.3184800000008</v>
      </c>
      <c r="U182" t="s">
        <v>1435</v>
      </c>
      <c r="V182" s="13" t="str">
        <f>TEXT(Table1_1[[#This Row],[OrderDate]],"MM YYYY")</f>
        <v>05 2023</v>
      </c>
      <c r="W182" s="11" t="str">
        <f>TEXT(Table1_1[[#This Row],[OrderDate]],"MM")</f>
        <v>05</v>
      </c>
      <c r="X182" s="11"/>
    </row>
    <row r="183" spans="1:24" x14ac:dyDescent="0.25">
      <c r="A183" t="s">
        <v>240</v>
      </c>
      <c r="B183" s="2">
        <v>45069</v>
      </c>
      <c r="C183" s="2">
        <v>45087</v>
      </c>
      <c r="D183" t="s">
        <v>1413</v>
      </c>
      <c r="E183" s="10">
        <v>18</v>
      </c>
      <c r="F183" t="s">
        <v>1401</v>
      </c>
      <c r="G183" t="s">
        <v>642</v>
      </c>
      <c r="H183" t="s">
        <v>651</v>
      </c>
      <c r="I183" t="s">
        <v>668</v>
      </c>
      <c r="J183" t="s">
        <v>905</v>
      </c>
      <c r="K183">
        <v>20</v>
      </c>
      <c r="L183" s="3">
        <v>54.62</v>
      </c>
      <c r="M183" s="3">
        <v>48.94</v>
      </c>
      <c r="N183" s="3" t="str">
        <f>IF(Table1_1[[#This Row],[UnitPrice]]&lt;=816.08,"low",IF(Table1_1[[#This Row],[UnitPrice]]&lt;=1640.06,"medium","high"))</f>
        <v>low</v>
      </c>
      <c r="O183" s="4">
        <v>0.14799999999999999</v>
      </c>
      <c r="P183" s="3">
        <v>833.93759999999997</v>
      </c>
      <c r="Q183" s="3">
        <v>1092.3999999999999</v>
      </c>
      <c r="R183" s="4">
        <v>-0.30993014345437803</v>
      </c>
      <c r="S183" t="s">
        <v>659</v>
      </c>
      <c r="T183" s="3">
        <v>-258.46239999999989</v>
      </c>
      <c r="U183" t="s">
        <v>1435</v>
      </c>
      <c r="V183" s="13" t="str">
        <f>TEXT(Table1_1[[#This Row],[OrderDate]],"MM YYYY")</f>
        <v>05 2023</v>
      </c>
      <c r="W183" s="11" t="str">
        <f>TEXT(Table1_1[[#This Row],[OrderDate]],"MM")</f>
        <v>05</v>
      </c>
      <c r="X183" s="11"/>
    </row>
    <row r="184" spans="1:24" x14ac:dyDescent="0.25">
      <c r="A184" t="s">
        <v>375</v>
      </c>
      <c r="B184" s="2">
        <v>45737</v>
      </c>
      <c r="C184" s="2">
        <v>45756</v>
      </c>
      <c r="D184" t="s">
        <v>1413</v>
      </c>
      <c r="E184" s="10">
        <v>19</v>
      </c>
      <c r="F184" t="s">
        <v>1403</v>
      </c>
      <c r="G184" t="s">
        <v>646</v>
      </c>
      <c r="H184" t="s">
        <v>651</v>
      </c>
      <c r="I184" t="s">
        <v>668</v>
      </c>
      <c r="J184" t="s">
        <v>1040</v>
      </c>
      <c r="K184">
        <v>5</v>
      </c>
      <c r="L184" s="3">
        <v>1055.45</v>
      </c>
      <c r="M184" s="3">
        <v>1210.04</v>
      </c>
      <c r="N184" s="3" t="str">
        <f>IF(Table1_1[[#This Row],[UnitPrice]]&lt;=816.08,"low",IF(Table1_1[[#This Row],[UnitPrice]]&lt;=1640.06,"medium","high"))</f>
        <v>medium</v>
      </c>
      <c r="O184" s="4">
        <v>8.9999999999999993E-3</v>
      </c>
      <c r="P184" s="3">
        <v>5995.7482</v>
      </c>
      <c r="Q184" s="3">
        <v>5277.25</v>
      </c>
      <c r="R184" s="4">
        <v>0.11983461880537299</v>
      </c>
      <c r="S184" t="s">
        <v>659</v>
      </c>
      <c r="T184" s="3">
        <v>718.4982</v>
      </c>
      <c r="U184" t="s">
        <v>1434</v>
      </c>
      <c r="V184" s="13" t="str">
        <f>TEXT(Table1_1[[#This Row],[OrderDate]],"MM YYYY")</f>
        <v>03 2025</v>
      </c>
      <c r="W184" s="11" t="str">
        <f>TEXT(Table1_1[[#This Row],[OrderDate]],"MM")</f>
        <v>03</v>
      </c>
      <c r="X184" s="11"/>
    </row>
    <row r="185" spans="1:24" x14ac:dyDescent="0.25">
      <c r="A185" t="s">
        <v>104</v>
      </c>
      <c r="B185" s="2">
        <v>45569</v>
      </c>
      <c r="C185" s="2">
        <v>45598</v>
      </c>
      <c r="D185" t="s">
        <v>1413</v>
      </c>
      <c r="E185" s="10">
        <v>29</v>
      </c>
      <c r="F185" t="s">
        <v>1389</v>
      </c>
      <c r="G185" t="s">
        <v>642</v>
      </c>
      <c r="H185" t="s">
        <v>651</v>
      </c>
      <c r="I185" t="s">
        <v>674</v>
      </c>
      <c r="J185" t="s">
        <v>768</v>
      </c>
      <c r="K185">
        <v>7</v>
      </c>
      <c r="L185" s="3">
        <v>412.09</v>
      </c>
      <c r="M185" s="3">
        <v>968.94</v>
      </c>
      <c r="N185" s="3" t="str">
        <f>IF(Table1_1[[#This Row],[UnitPrice]]&lt;=816.08,"low",IF(Table1_1[[#This Row],[UnitPrice]]&lt;=1640.06,"medium","high"))</f>
        <v>medium</v>
      </c>
      <c r="O185" s="4">
        <v>9.9000000000000005E-2</v>
      </c>
      <c r="P185" s="3">
        <v>6111.1045800000002</v>
      </c>
      <c r="Q185" s="3">
        <v>2884.6299999999997</v>
      </c>
      <c r="R185" s="4">
        <v>0.52796913189137396</v>
      </c>
      <c r="S185" t="s">
        <v>662</v>
      </c>
      <c r="T185" s="3">
        <v>3226.4745800000005</v>
      </c>
      <c r="U185" t="s">
        <v>1440</v>
      </c>
      <c r="V185" s="13" t="str">
        <f>TEXT(Table1_1[[#This Row],[OrderDate]],"MM YYYY")</f>
        <v>10 2024</v>
      </c>
      <c r="W185" s="11" t="str">
        <f>TEXT(Table1_1[[#This Row],[OrderDate]],"MM")</f>
        <v>10</v>
      </c>
      <c r="X185" s="11"/>
    </row>
    <row r="186" spans="1:24" x14ac:dyDescent="0.25">
      <c r="A186" t="s">
        <v>162</v>
      </c>
      <c r="B186" s="2">
        <v>45110</v>
      </c>
      <c r="C186" s="2">
        <v>45130</v>
      </c>
      <c r="D186" t="s">
        <v>1413</v>
      </c>
      <c r="E186" s="10">
        <v>20</v>
      </c>
      <c r="F186" t="s">
        <v>1398</v>
      </c>
      <c r="G186" t="s">
        <v>646</v>
      </c>
      <c r="H186" t="s">
        <v>651</v>
      </c>
      <c r="I186" t="s">
        <v>672</v>
      </c>
      <c r="J186" t="s">
        <v>826</v>
      </c>
      <c r="K186">
        <v>23</v>
      </c>
      <c r="L186" s="3">
        <v>1001.96</v>
      </c>
      <c r="M186" s="3">
        <v>1254.95</v>
      </c>
      <c r="N186" s="3" t="str">
        <f>IF(Table1_1[[#This Row],[UnitPrice]]&lt;=816.08,"low",IF(Table1_1[[#This Row],[UnitPrice]]&lt;=1640.06,"medium","high"))</f>
        <v>medium</v>
      </c>
      <c r="O186" s="4">
        <v>4.4999999999999998E-2</v>
      </c>
      <c r="P186" s="3">
        <v>27564.976750000002</v>
      </c>
      <c r="Q186" s="3">
        <v>23045.08</v>
      </c>
      <c r="R186" s="4">
        <v>0.16397244920585699</v>
      </c>
      <c r="S186" t="s">
        <v>662</v>
      </c>
      <c r="T186" s="3">
        <v>4519.8967499999999</v>
      </c>
      <c r="U186" t="s">
        <v>1430</v>
      </c>
      <c r="V186" s="13" t="str">
        <f>TEXT(Table1_1[[#This Row],[OrderDate]],"MM YYYY")</f>
        <v>07 2023</v>
      </c>
      <c r="W186" s="11" t="str">
        <f>TEXT(Table1_1[[#This Row],[OrderDate]],"MM")</f>
        <v>07</v>
      </c>
      <c r="X186" s="11"/>
    </row>
    <row r="187" spans="1:24" x14ac:dyDescent="0.25">
      <c r="A187" t="s">
        <v>185</v>
      </c>
      <c r="B187" s="2">
        <v>45435</v>
      </c>
      <c r="C187" s="2">
        <v>45446</v>
      </c>
      <c r="D187" t="s">
        <v>1413</v>
      </c>
      <c r="E187" s="10">
        <v>11</v>
      </c>
      <c r="F187" t="s">
        <v>1398</v>
      </c>
      <c r="G187" t="s">
        <v>646</v>
      </c>
      <c r="H187" t="s">
        <v>651</v>
      </c>
      <c r="I187" t="s">
        <v>669</v>
      </c>
      <c r="J187" t="s">
        <v>849</v>
      </c>
      <c r="K187">
        <v>12</v>
      </c>
      <c r="L187" s="3">
        <v>180.89</v>
      </c>
      <c r="M187" s="3">
        <v>249.57</v>
      </c>
      <c r="N187" s="3" t="str">
        <f>IF(Table1_1[[#This Row],[UnitPrice]]&lt;=816.08,"low",IF(Table1_1[[#This Row],[UnitPrice]]&lt;=1640.06,"medium","high"))</f>
        <v>low</v>
      </c>
      <c r="O187" s="4">
        <v>2.1999999999999999E-2</v>
      </c>
      <c r="P187" s="3">
        <v>2928.95352</v>
      </c>
      <c r="Q187" s="3">
        <v>2170.6799999999998</v>
      </c>
      <c r="R187" s="4">
        <v>0.25888888806948401</v>
      </c>
      <c r="S187" t="s">
        <v>662</v>
      </c>
      <c r="T187" s="3">
        <v>758.27352000000019</v>
      </c>
      <c r="U187" t="s">
        <v>1436</v>
      </c>
      <c r="V187" s="13" t="str">
        <f>TEXT(Table1_1[[#This Row],[OrderDate]],"MM YYYY")</f>
        <v>05 2024</v>
      </c>
      <c r="W187" s="11" t="str">
        <f>TEXT(Table1_1[[#This Row],[OrderDate]],"MM")</f>
        <v>05</v>
      </c>
      <c r="X187" s="11"/>
    </row>
    <row r="188" spans="1:24" x14ac:dyDescent="0.25">
      <c r="A188" t="s">
        <v>527</v>
      </c>
      <c r="B188" s="2">
        <v>45794</v>
      </c>
      <c r="C188" s="2">
        <v>45807</v>
      </c>
      <c r="D188" t="s">
        <v>1413</v>
      </c>
      <c r="E188" s="10">
        <v>13</v>
      </c>
      <c r="F188" t="s">
        <v>1386</v>
      </c>
      <c r="G188" t="s">
        <v>645</v>
      </c>
      <c r="H188" t="s">
        <v>651</v>
      </c>
      <c r="I188" t="s">
        <v>674</v>
      </c>
      <c r="J188" t="s">
        <v>1191</v>
      </c>
      <c r="K188">
        <v>6</v>
      </c>
      <c r="L188" s="3">
        <v>66.400000000000006</v>
      </c>
      <c r="M188" s="3">
        <v>141.43</v>
      </c>
      <c r="N188" s="3" t="str">
        <f>IF(Table1_1[[#This Row],[UnitPrice]]&lt;=816.08,"low",IF(Table1_1[[#This Row],[UnitPrice]]&lt;=1640.06,"medium","high"))</f>
        <v>low</v>
      </c>
      <c r="O188" s="4">
        <v>0.107</v>
      </c>
      <c r="P188" s="3">
        <v>757.78194000000008</v>
      </c>
      <c r="Q188" s="3">
        <v>398.40000000000003</v>
      </c>
      <c r="R188" s="4">
        <v>0.47425508715607601</v>
      </c>
      <c r="S188" t="s">
        <v>662</v>
      </c>
      <c r="T188" s="3">
        <v>359.38194000000004</v>
      </c>
      <c r="U188" t="s">
        <v>1431</v>
      </c>
      <c r="V188" s="13" t="str">
        <f>TEXT(Table1_1[[#This Row],[OrderDate]],"MM YYYY")</f>
        <v>05 2025</v>
      </c>
      <c r="W188" s="11" t="str">
        <f>TEXT(Table1_1[[#This Row],[OrderDate]],"MM")</f>
        <v>05</v>
      </c>
      <c r="X188" s="11"/>
    </row>
    <row r="189" spans="1:24" x14ac:dyDescent="0.25">
      <c r="A189" t="s">
        <v>480</v>
      </c>
      <c r="B189" s="2">
        <v>45060</v>
      </c>
      <c r="C189" s="2">
        <v>45068</v>
      </c>
      <c r="D189" t="s">
        <v>1413</v>
      </c>
      <c r="E189" s="10">
        <v>8</v>
      </c>
      <c r="F189" t="s">
        <v>1393</v>
      </c>
      <c r="G189" t="s">
        <v>646</v>
      </c>
      <c r="H189" t="s">
        <v>651</v>
      </c>
      <c r="I189" t="s">
        <v>669</v>
      </c>
      <c r="J189" t="s">
        <v>1144</v>
      </c>
      <c r="K189">
        <v>25</v>
      </c>
      <c r="L189" s="3">
        <v>432.01</v>
      </c>
      <c r="M189" s="3">
        <v>913.78</v>
      </c>
      <c r="N189" s="3" t="str">
        <f>IF(Table1_1[[#This Row],[UnitPrice]]&lt;=816.08,"low",IF(Table1_1[[#This Row],[UnitPrice]]&lt;=1640.06,"medium","high"))</f>
        <v>medium</v>
      </c>
      <c r="O189" s="4">
        <v>4.9000000000000002E-2</v>
      </c>
      <c r="P189" s="3">
        <v>21725.119500000001</v>
      </c>
      <c r="Q189" s="3">
        <v>10800.25</v>
      </c>
      <c r="R189" s="4">
        <v>0.50286809699711899</v>
      </c>
      <c r="S189" t="s">
        <v>662</v>
      </c>
      <c r="T189" s="3">
        <v>10924.869500000001</v>
      </c>
      <c r="U189" t="s">
        <v>1435</v>
      </c>
      <c r="V189" s="13" t="str">
        <f>TEXT(Table1_1[[#This Row],[OrderDate]],"MM YYYY")</f>
        <v>05 2023</v>
      </c>
      <c r="W189" s="11" t="str">
        <f>TEXT(Table1_1[[#This Row],[OrderDate]],"MM")</f>
        <v>05</v>
      </c>
      <c r="X189" s="11"/>
    </row>
    <row r="190" spans="1:24" x14ac:dyDescent="0.25">
      <c r="A190" t="s">
        <v>135</v>
      </c>
      <c r="B190" s="2">
        <v>45159</v>
      </c>
      <c r="C190" s="2">
        <v>45173</v>
      </c>
      <c r="D190" t="s">
        <v>1413</v>
      </c>
      <c r="E190" s="10">
        <v>14</v>
      </c>
      <c r="F190" t="s">
        <v>1418</v>
      </c>
      <c r="G190" t="s">
        <v>643</v>
      </c>
      <c r="H190" t="s">
        <v>651</v>
      </c>
      <c r="I190" t="s">
        <v>668</v>
      </c>
      <c r="J190" t="s">
        <v>799</v>
      </c>
      <c r="K190">
        <v>14</v>
      </c>
      <c r="L190" s="3">
        <v>178.19</v>
      </c>
      <c r="M190" s="3">
        <v>284.43</v>
      </c>
      <c r="N190" s="3" t="str">
        <f>IF(Table1_1[[#This Row],[UnitPrice]]&lt;=816.08,"low",IF(Table1_1[[#This Row],[UnitPrice]]&lt;=1640.06,"medium","high"))</f>
        <v>low</v>
      </c>
      <c r="O190" s="4">
        <v>8.8999999999999996E-2</v>
      </c>
      <c r="P190" s="3">
        <v>3627.6202200000002</v>
      </c>
      <c r="Q190" s="3">
        <v>2494.66</v>
      </c>
      <c r="R190" s="4">
        <v>0.31231500302972698</v>
      </c>
      <c r="S190" t="s">
        <v>662</v>
      </c>
      <c r="T190" s="3">
        <v>1132.9602200000004</v>
      </c>
      <c r="U190" t="s">
        <v>1430</v>
      </c>
      <c r="V190" s="13" t="str">
        <f>TEXT(Table1_1[[#This Row],[OrderDate]],"MM YYYY")</f>
        <v>08 2023</v>
      </c>
      <c r="W190" s="11" t="str">
        <f>TEXT(Table1_1[[#This Row],[OrderDate]],"MM")</f>
        <v>08</v>
      </c>
      <c r="X190" s="11"/>
    </row>
    <row r="191" spans="1:24" x14ac:dyDescent="0.25">
      <c r="A191" t="s">
        <v>22</v>
      </c>
      <c r="B191" s="2">
        <v>45660</v>
      </c>
      <c r="C191" s="2">
        <v>45680</v>
      </c>
      <c r="D191" t="s">
        <v>1413</v>
      </c>
      <c r="E191" s="10">
        <v>20</v>
      </c>
      <c r="F191" t="s">
        <v>1387</v>
      </c>
      <c r="G191" t="s">
        <v>642</v>
      </c>
      <c r="H191" t="s">
        <v>651</v>
      </c>
      <c r="I191" t="s">
        <v>671</v>
      </c>
      <c r="J191" t="s">
        <v>686</v>
      </c>
      <c r="K191">
        <v>7</v>
      </c>
      <c r="L191" s="3">
        <v>908.6</v>
      </c>
      <c r="M191" s="3">
        <v>691.37</v>
      </c>
      <c r="N191" s="3" t="str">
        <f>IF(Table1_1[[#This Row],[UnitPrice]]&lt;=816.08,"low",IF(Table1_1[[#This Row],[UnitPrice]]&lt;=1640.06,"medium","high"))</f>
        <v>low</v>
      </c>
      <c r="O191" s="4">
        <v>0.25</v>
      </c>
      <c r="P191" s="3">
        <v>3629.6925000000001</v>
      </c>
      <c r="Q191" s="3">
        <v>6360.2</v>
      </c>
      <c r="R191" s="4">
        <v>-0.75226964818645103</v>
      </c>
      <c r="S191" t="s">
        <v>662</v>
      </c>
      <c r="T191" s="3">
        <v>-2730.5074999999997</v>
      </c>
      <c r="U191" t="s">
        <v>1434</v>
      </c>
      <c r="V191" s="13" t="str">
        <f>TEXT(Table1_1[[#This Row],[OrderDate]],"MM YYYY")</f>
        <v>01 2025</v>
      </c>
      <c r="W191" s="11" t="str">
        <f>TEXT(Table1_1[[#This Row],[OrderDate]],"MM")</f>
        <v>01</v>
      </c>
      <c r="X191" s="11"/>
    </row>
    <row r="192" spans="1:24" x14ac:dyDescent="0.25">
      <c r="A192" t="s">
        <v>629</v>
      </c>
      <c r="B192" s="2">
        <v>45578</v>
      </c>
      <c r="C192" s="2">
        <v>45589</v>
      </c>
      <c r="D192" t="s">
        <v>1413</v>
      </c>
      <c r="E192" s="10">
        <v>11</v>
      </c>
      <c r="F192" t="s">
        <v>1404</v>
      </c>
      <c r="G192" t="s">
        <v>643</v>
      </c>
      <c r="H192" t="s">
        <v>651</v>
      </c>
      <c r="I192" t="s">
        <v>668</v>
      </c>
      <c r="J192" t="s">
        <v>1292</v>
      </c>
      <c r="K192">
        <v>19</v>
      </c>
      <c r="L192" s="3">
        <v>816.7</v>
      </c>
      <c r="M192" s="3">
        <v>1010.75</v>
      </c>
      <c r="N192" s="3" t="str">
        <f>IF(Table1_1[[#This Row],[UnitPrice]]&lt;=816.08,"low",IF(Table1_1[[#This Row],[UnitPrice]]&lt;=1640.06,"medium","high"))</f>
        <v>medium</v>
      </c>
      <c r="O192" s="4">
        <v>4.7E-2</v>
      </c>
      <c r="P192" s="3">
        <v>18301.650249999999</v>
      </c>
      <c r="Q192" s="3">
        <v>15517.300000000001</v>
      </c>
      <c r="R192" s="4">
        <v>0.152136567575375</v>
      </c>
      <c r="S192" t="s">
        <v>662</v>
      </c>
      <c r="T192" s="3">
        <v>2784.3502499999977</v>
      </c>
      <c r="U192" t="s">
        <v>1440</v>
      </c>
      <c r="V192" s="13" t="str">
        <f>TEXT(Table1_1[[#This Row],[OrderDate]],"MM YYYY")</f>
        <v>10 2024</v>
      </c>
      <c r="W192" s="11" t="str">
        <f>TEXT(Table1_1[[#This Row],[OrderDate]],"MM")</f>
        <v>10</v>
      </c>
      <c r="X192" s="11"/>
    </row>
    <row r="193" spans="1:24" x14ac:dyDescent="0.25">
      <c r="A193" t="s">
        <v>389</v>
      </c>
      <c r="B193" s="2">
        <v>45694</v>
      </c>
      <c r="C193" s="2">
        <v>45703</v>
      </c>
      <c r="D193" t="s">
        <v>1413</v>
      </c>
      <c r="E193" s="10">
        <v>9</v>
      </c>
      <c r="F193" t="s">
        <v>1417</v>
      </c>
      <c r="G193" t="s">
        <v>644</v>
      </c>
      <c r="H193" t="s">
        <v>651</v>
      </c>
      <c r="I193" t="s">
        <v>670</v>
      </c>
      <c r="J193" t="s">
        <v>1054</v>
      </c>
      <c r="K193">
        <v>10</v>
      </c>
      <c r="L193" s="3">
        <v>837.39</v>
      </c>
      <c r="M193" s="3">
        <v>1905.42</v>
      </c>
      <c r="N193" s="3" t="str">
        <f>IF(Table1_1[[#This Row],[UnitPrice]]&lt;=816.08,"low",IF(Table1_1[[#This Row],[UnitPrice]]&lt;=1640.06,"medium","high"))</f>
        <v>high</v>
      </c>
      <c r="O193" s="4">
        <v>3.2000000000000001E-2</v>
      </c>
      <c r="P193" s="3">
        <v>18444.4656</v>
      </c>
      <c r="Q193" s="3">
        <v>8373.9</v>
      </c>
      <c r="R193" s="4">
        <v>0.54599389423350897</v>
      </c>
      <c r="S193" t="s">
        <v>662</v>
      </c>
      <c r="T193" s="3">
        <v>10070.5656</v>
      </c>
      <c r="U193" t="s">
        <v>1434</v>
      </c>
      <c r="V193" s="13" t="str">
        <f>TEXT(Table1_1[[#This Row],[OrderDate]],"MM YYYY")</f>
        <v>02 2025</v>
      </c>
      <c r="W193" s="11" t="str">
        <f>TEXT(Table1_1[[#This Row],[OrderDate]],"MM")</f>
        <v>02</v>
      </c>
      <c r="X193" s="11"/>
    </row>
    <row r="194" spans="1:24" x14ac:dyDescent="0.25">
      <c r="A194" t="s">
        <v>598</v>
      </c>
      <c r="B194" s="2">
        <v>45459</v>
      </c>
      <c r="C194" s="2">
        <v>45464</v>
      </c>
      <c r="D194" t="s">
        <v>1413</v>
      </c>
      <c r="E194" s="10">
        <v>5</v>
      </c>
      <c r="F194" t="s">
        <v>1403</v>
      </c>
      <c r="G194" t="s">
        <v>646</v>
      </c>
      <c r="H194" t="s">
        <v>651</v>
      </c>
      <c r="I194" t="s">
        <v>671</v>
      </c>
      <c r="J194" t="s">
        <v>1261</v>
      </c>
      <c r="K194">
        <v>36</v>
      </c>
      <c r="L194" s="3">
        <v>1367.13</v>
      </c>
      <c r="M194" s="3">
        <v>3062.01</v>
      </c>
      <c r="N194" s="3" t="str">
        <f>IF(Table1_1[[#This Row],[UnitPrice]]&lt;=816.08,"low",IF(Table1_1[[#This Row],[UnitPrice]]&lt;=1640.06,"medium","high"))</f>
        <v>high</v>
      </c>
      <c r="O194" s="4">
        <v>0.10299999999999999</v>
      </c>
      <c r="P194" s="3">
        <v>98878.426920000013</v>
      </c>
      <c r="Q194" s="3">
        <v>49216.680000000008</v>
      </c>
      <c r="R194" s="4">
        <v>0.50225057645971705</v>
      </c>
      <c r="S194" t="s">
        <v>662</v>
      </c>
      <c r="T194" s="3">
        <v>49661.746920000005</v>
      </c>
      <c r="U194" t="s">
        <v>1436</v>
      </c>
      <c r="V194" s="13" t="str">
        <f>TEXT(Table1_1[[#This Row],[OrderDate]],"MM YYYY")</f>
        <v>06 2024</v>
      </c>
      <c r="W194" s="11" t="str">
        <f>TEXT(Table1_1[[#This Row],[OrderDate]],"MM")</f>
        <v>06</v>
      </c>
      <c r="X194" s="11"/>
    </row>
    <row r="195" spans="1:24" x14ac:dyDescent="0.25">
      <c r="A195" t="s">
        <v>385</v>
      </c>
      <c r="B195" s="2">
        <v>45354</v>
      </c>
      <c r="C195" s="2">
        <v>45370</v>
      </c>
      <c r="D195" t="s">
        <v>1413</v>
      </c>
      <c r="E195" s="10">
        <v>16</v>
      </c>
      <c r="F195" t="s">
        <v>1411</v>
      </c>
      <c r="G195" t="s">
        <v>645</v>
      </c>
      <c r="H195" t="s">
        <v>651</v>
      </c>
      <c r="I195" t="s">
        <v>671</v>
      </c>
      <c r="J195" t="s">
        <v>1050</v>
      </c>
      <c r="K195">
        <v>6</v>
      </c>
      <c r="L195" s="3">
        <v>988.83</v>
      </c>
      <c r="M195" s="3">
        <v>1206.04</v>
      </c>
      <c r="N195" s="3" t="str">
        <f>IF(Table1_1[[#This Row],[UnitPrice]]&lt;=816.08,"low",IF(Table1_1[[#This Row],[UnitPrice]]&lt;=1640.06,"medium","high"))</f>
        <v>medium</v>
      </c>
      <c r="O195" s="4">
        <v>6.3E-2</v>
      </c>
      <c r="P195" s="3">
        <v>6780.3568800000003</v>
      </c>
      <c r="Q195" s="3">
        <v>5932.9800000000005</v>
      </c>
      <c r="R195" s="4">
        <v>0.124975262364066</v>
      </c>
      <c r="S195" t="s">
        <v>656</v>
      </c>
      <c r="T195" s="3">
        <v>847.3768799999998</v>
      </c>
      <c r="U195" t="s">
        <v>1433</v>
      </c>
      <c r="V195" s="13" t="str">
        <f>TEXT(Table1_1[[#This Row],[OrderDate]],"MM YYYY")</f>
        <v>03 2024</v>
      </c>
      <c r="W195" s="11" t="str">
        <f>TEXT(Table1_1[[#This Row],[OrderDate]],"MM")</f>
        <v>03</v>
      </c>
      <c r="X195" s="11"/>
    </row>
    <row r="196" spans="1:24" x14ac:dyDescent="0.25">
      <c r="A196" t="s">
        <v>41</v>
      </c>
      <c r="B196" s="2">
        <v>45653</v>
      </c>
      <c r="C196" s="2">
        <v>45672</v>
      </c>
      <c r="D196" t="s">
        <v>1413</v>
      </c>
      <c r="E196" s="10">
        <v>19</v>
      </c>
      <c r="F196" t="s">
        <v>1397</v>
      </c>
      <c r="G196" t="s">
        <v>644</v>
      </c>
      <c r="H196" t="s">
        <v>651</v>
      </c>
      <c r="I196" t="s">
        <v>668</v>
      </c>
      <c r="J196" t="s">
        <v>705</v>
      </c>
      <c r="K196">
        <v>12</v>
      </c>
      <c r="L196" s="3">
        <v>495.59</v>
      </c>
      <c r="M196" s="3">
        <v>631.78</v>
      </c>
      <c r="N196" s="3" t="str">
        <f>IF(Table1_1[[#This Row],[UnitPrice]]&lt;=816.08,"low",IF(Table1_1[[#This Row],[UnitPrice]]&lt;=1640.06,"medium","high"))</f>
        <v>low</v>
      </c>
      <c r="O196" s="4">
        <v>8.6999999999999994E-2</v>
      </c>
      <c r="P196" s="3">
        <v>6921.7816800000001</v>
      </c>
      <c r="Q196" s="3">
        <v>5947.08</v>
      </c>
      <c r="R196" s="4">
        <v>0.14081658813601899</v>
      </c>
      <c r="S196" t="s">
        <v>656</v>
      </c>
      <c r="T196" s="3">
        <v>974.70168000000012</v>
      </c>
      <c r="U196" t="s">
        <v>1440</v>
      </c>
      <c r="V196" s="13" t="str">
        <f>TEXT(Table1_1[[#This Row],[OrderDate]],"MM YYYY")</f>
        <v>12 2024</v>
      </c>
      <c r="W196" s="11" t="str">
        <f>TEXT(Table1_1[[#This Row],[OrderDate]],"MM")</f>
        <v>12</v>
      </c>
      <c r="X196" s="11"/>
    </row>
    <row r="197" spans="1:24" x14ac:dyDescent="0.25">
      <c r="A197" t="s">
        <v>316</v>
      </c>
      <c r="B197" s="2">
        <v>45741</v>
      </c>
      <c r="C197" s="2">
        <v>45742</v>
      </c>
      <c r="D197" t="s">
        <v>1413</v>
      </c>
      <c r="E197" s="10">
        <v>1</v>
      </c>
      <c r="F197" t="s">
        <v>1386</v>
      </c>
      <c r="G197" t="s">
        <v>643</v>
      </c>
      <c r="H197" t="s">
        <v>651</v>
      </c>
      <c r="I197" t="s">
        <v>674</v>
      </c>
      <c r="J197" t="s">
        <v>981</v>
      </c>
      <c r="K197">
        <v>19</v>
      </c>
      <c r="L197" s="3">
        <v>1450.43</v>
      </c>
      <c r="M197" s="3">
        <v>1994.67</v>
      </c>
      <c r="N197" s="3" t="str">
        <f>IF(Table1_1[[#This Row],[UnitPrice]]&lt;=816.08,"low",IF(Table1_1[[#This Row],[UnitPrice]]&lt;=1640.06,"medium","high"))</f>
        <v>high</v>
      </c>
      <c r="O197" s="4">
        <v>0.1</v>
      </c>
      <c r="P197" s="3">
        <v>34108.857000000004</v>
      </c>
      <c r="Q197" s="3">
        <v>27558.170000000002</v>
      </c>
      <c r="R197" s="4">
        <v>0.192052375135291</v>
      </c>
      <c r="S197" t="s">
        <v>656</v>
      </c>
      <c r="T197" s="3">
        <v>6550.6870000000017</v>
      </c>
      <c r="U197" t="s">
        <v>1434</v>
      </c>
      <c r="V197" s="13" t="str">
        <f>TEXT(Table1_1[[#This Row],[OrderDate]],"MM YYYY")</f>
        <v>03 2025</v>
      </c>
      <c r="W197" s="11" t="str">
        <f>TEXT(Table1_1[[#This Row],[OrderDate]],"MM")</f>
        <v>03</v>
      </c>
      <c r="X197" s="11"/>
    </row>
    <row r="198" spans="1:24" x14ac:dyDescent="0.25">
      <c r="A198" t="s">
        <v>461</v>
      </c>
      <c r="B198" s="2">
        <v>44945</v>
      </c>
      <c r="C198" s="2">
        <v>44960</v>
      </c>
      <c r="D198" t="s">
        <v>1413</v>
      </c>
      <c r="E198" s="10">
        <v>15</v>
      </c>
      <c r="F198" t="s">
        <v>1399</v>
      </c>
      <c r="G198" t="s">
        <v>647</v>
      </c>
      <c r="H198" t="s">
        <v>651</v>
      </c>
      <c r="I198" t="s">
        <v>674</v>
      </c>
      <c r="J198" t="s">
        <v>1125</v>
      </c>
      <c r="K198">
        <v>17</v>
      </c>
      <c r="L198" s="3">
        <v>873.06</v>
      </c>
      <c r="M198" s="3">
        <v>2101.5500000000002</v>
      </c>
      <c r="N198" s="3" t="str">
        <f>IF(Table1_1[[#This Row],[UnitPrice]]&lt;=816.08,"low",IF(Table1_1[[#This Row],[UnitPrice]]&lt;=1640.06,"medium","high"))</f>
        <v>high</v>
      </c>
      <c r="O198" s="4">
        <v>6.6000000000000003E-2</v>
      </c>
      <c r="P198" s="3">
        <v>33368.410900000003</v>
      </c>
      <c r="Q198" s="3">
        <v>14842.019999999999</v>
      </c>
      <c r="R198" s="4">
        <v>0.55520746719167302</v>
      </c>
      <c r="S198" t="s">
        <v>656</v>
      </c>
      <c r="T198" s="3">
        <v>18526.390900000006</v>
      </c>
      <c r="U198" t="s">
        <v>1432</v>
      </c>
      <c r="V198" s="13" t="str">
        <f>TEXT(Table1_1[[#This Row],[OrderDate]],"MM YYYY")</f>
        <v>01 2023</v>
      </c>
      <c r="W198" s="11" t="str">
        <f>TEXT(Table1_1[[#This Row],[OrderDate]],"MM")</f>
        <v>01</v>
      </c>
      <c r="X198" s="11"/>
    </row>
    <row r="199" spans="1:24" x14ac:dyDescent="0.25">
      <c r="A199" t="s">
        <v>325</v>
      </c>
      <c r="B199" s="2">
        <v>45809</v>
      </c>
      <c r="C199" s="2">
        <v>45814</v>
      </c>
      <c r="D199" t="s">
        <v>1413</v>
      </c>
      <c r="E199" s="10">
        <v>5</v>
      </c>
      <c r="F199" t="s">
        <v>1404</v>
      </c>
      <c r="G199" t="s">
        <v>645</v>
      </c>
      <c r="H199" t="s">
        <v>651</v>
      </c>
      <c r="I199" t="s">
        <v>668</v>
      </c>
      <c r="J199" t="s">
        <v>990</v>
      </c>
      <c r="K199">
        <v>14</v>
      </c>
      <c r="L199" s="3">
        <v>379.45</v>
      </c>
      <c r="M199" s="3">
        <v>742.23</v>
      </c>
      <c r="N199" s="3" t="str">
        <f>IF(Table1_1[[#This Row],[UnitPrice]]&lt;=816.08,"low",IF(Table1_1[[#This Row],[UnitPrice]]&lt;=1640.06,"medium","high"))</f>
        <v>low</v>
      </c>
      <c r="O199" s="4">
        <v>0.09</v>
      </c>
      <c r="P199" s="3">
        <v>9456.0102000000006</v>
      </c>
      <c r="Q199" s="3">
        <v>5312.3</v>
      </c>
      <c r="R199" s="4">
        <v>0.43820915083192302</v>
      </c>
      <c r="S199" t="s">
        <v>656</v>
      </c>
      <c r="T199" s="3">
        <v>4143.7102000000004</v>
      </c>
      <c r="U199" t="s">
        <v>1431</v>
      </c>
      <c r="V199" s="13" t="str">
        <f>TEXT(Table1_1[[#This Row],[OrderDate]],"MM YYYY")</f>
        <v>06 2025</v>
      </c>
      <c r="W199" s="11" t="str">
        <f>TEXT(Table1_1[[#This Row],[OrderDate]],"MM")</f>
        <v>06</v>
      </c>
      <c r="X199" s="11"/>
    </row>
    <row r="200" spans="1:24" x14ac:dyDescent="0.25">
      <c r="A200" t="s">
        <v>621</v>
      </c>
      <c r="B200" s="2">
        <v>45323</v>
      </c>
      <c r="C200" s="2">
        <v>45323</v>
      </c>
      <c r="D200" t="s">
        <v>1413</v>
      </c>
      <c r="E200" s="10">
        <v>0</v>
      </c>
      <c r="F200" t="s">
        <v>1420</v>
      </c>
      <c r="G200" t="s">
        <v>645</v>
      </c>
      <c r="H200" t="s">
        <v>651</v>
      </c>
      <c r="I200" t="s">
        <v>669</v>
      </c>
      <c r="J200" t="s">
        <v>1284</v>
      </c>
      <c r="K200">
        <v>7</v>
      </c>
      <c r="L200" s="3">
        <v>714.43</v>
      </c>
      <c r="M200" s="3">
        <v>1595.52</v>
      </c>
      <c r="N200" s="3" t="str">
        <f>IF(Table1_1[[#This Row],[UnitPrice]]&lt;=816.08,"low",IF(Table1_1[[#This Row],[UnitPrice]]&lt;=1640.06,"medium","high"))</f>
        <v>medium</v>
      </c>
      <c r="O200" s="4">
        <v>0.19400000000000001</v>
      </c>
      <c r="P200" s="3">
        <v>9001.9238399999995</v>
      </c>
      <c r="Q200" s="3">
        <v>5001.0099999999993</v>
      </c>
      <c r="R200" s="4">
        <v>0.44445097638151099</v>
      </c>
      <c r="S200" t="s">
        <v>663</v>
      </c>
      <c r="T200" s="3">
        <v>4000.9138400000002</v>
      </c>
      <c r="U200" t="s">
        <v>1433</v>
      </c>
      <c r="V200" s="13" t="str">
        <f>TEXT(Table1_1[[#This Row],[OrderDate]],"MM YYYY")</f>
        <v>02 2024</v>
      </c>
      <c r="W200" s="11" t="str">
        <f>TEXT(Table1_1[[#This Row],[OrderDate]],"MM")</f>
        <v>02</v>
      </c>
      <c r="X200" s="11"/>
    </row>
    <row r="201" spans="1:24" x14ac:dyDescent="0.25">
      <c r="A201" t="s">
        <v>340</v>
      </c>
      <c r="B201" s="2">
        <v>45668</v>
      </c>
      <c r="C201" s="2">
        <v>45680</v>
      </c>
      <c r="D201" t="s">
        <v>1413</v>
      </c>
      <c r="E201" s="10">
        <v>12</v>
      </c>
      <c r="F201" t="s">
        <v>1420</v>
      </c>
      <c r="G201" t="s">
        <v>645</v>
      </c>
      <c r="H201" t="s">
        <v>651</v>
      </c>
      <c r="I201" t="s">
        <v>671</v>
      </c>
      <c r="J201" t="s">
        <v>1005</v>
      </c>
      <c r="K201">
        <v>25</v>
      </c>
      <c r="L201" s="3">
        <v>100.69</v>
      </c>
      <c r="M201" s="3">
        <v>226.14</v>
      </c>
      <c r="N201" s="3" t="str">
        <f>IF(Table1_1[[#This Row],[UnitPrice]]&lt;=816.08,"low",IF(Table1_1[[#This Row],[UnitPrice]]&lt;=1640.06,"medium","high"))</f>
        <v>low</v>
      </c>
      <c r="O201" s="4">
        <v>6.5000000000000002E-2</v>
      </c>
      <c r="P201" s="3">
        <v>5286.0225</v>
      </c>
      <c r="Q201" s="3">
        <v>2517.25</v>
      </c>
      <c r="R201" s="4">
        <v>0.523791281629997</v>
      </c>
      <c r="S201" t="s">
        <v>663</v>
      </c>
      <c r="T201" s="3">
        <v>2768.7725</v>
      </c>
      <c r="U201" t="s">
        <v>1434</v>
      </c>
      <c r="V201" s="13" t="str">
        <f>TEXT(Table1_1[[#This Row],[OrderDate]],"MM YYYY")</f>
        <v>01 2025</v>
      </c>
      <c r="W201" s="11" t="str">
        <f>TEXT(Table1_1[[#This Row],[OrderDate]],"MM")</f>
        <v>01</v>
      </c>
      <c r="X201" s="11"/>
    </row>
    <row r="202" spans="1:24" x14ac:dyDescent="0.25">
      <c r="A202" t="s">
        <v>324</v>
      </c>
      <c r="B202" s="2">
        <v>45451</v>
      </c>
      <c r="C202" s="2">
        <v>45467</v>
      </c>
      <c r="D202" t="s">
        <v>1413</v>
      </c>
      <c r="E202" s="10">
        <v>16</v>
      </c>
      <c r="F202" t="s">
        <v>1402</v>
      </c>
      <c r="G202" t="s">
        <v>643</v>
      </c>
      <c r="H202" t="s">
        <v>651</v>
      </c>
      <c r="I202" t="s">
        <v>673</v>
      </c>
      <c r="J202" t="s">
        <v>989</v>
      </c>
      <c r="K202">
        <v>18</v>
      </c>
      <c r="L202" s="3">
        <v>597.85</v>
      </c>
      <c r="M202" s="3">
        <v>741.92</v>
      </c>
      <c r="N202" s="3" t="str">
        <f>IF(Table1_1[[#This Row],[UnitPrice]]&lt;=816.08,"low",IF(Table1_1[[#This Row],[UnitPrice]]&lt;=1640.06,"medium","high"))</f>
        <v>low</v>
      </c>
      <c r="O202" s="4">
        <v>3.1E-2</v>
      </c>
      <c r="P202" s="3">
        <v>12940.56864</v>
      </c>
      <c r="Q202" s="3">
        <v>10761.300000000001</v>
      </c>
      <c r="R202" s="4">
        <v>0.16840594108544499</v>
      </c>
      <c r="S202" t="s">
        <v>663</v>
      </c>
      <c r="T202" s="3">
        <v>2179.2686399999984</v>
      </c>
      <c r="U202" t="s">
        <v>1436</v>
      </c>
      <c r="V202" s="13" t="str">
        <f>TEXT(Table1_1[[#This Row],[OrderDate]],"MM YYYY")</f>
        <v>06 2024</v>
      </c>
      <c r="W202" s="11" t="str">
        <f>TEXT(Table1_1[[#This Row],[OrderDate]],"MM")</f>
        <v>06</v>
      </c>
      <c r="X202" s="11"/>
    </row>
    <row r="203" spans="1:24" x14ac:dyDescent="0.25">
      <c r="A203" t="s">
        <v>315</v>
      </c>
      <c r="B203" s="2">
        <v>45756</v>
      </c>
      <c r="C203" s="2">
        <v>45759</v>
      </c>
      <c r="D203" t="s">
        <v>1413</v>
      </c>
      <c r="E203" s="10">
        <v>3</v>
      </c>
      <c r="F203" t="s">
        <v>1396</v>
      </c>
      <c r="G203" t="s">
        <v>646</v>
      </c>
      <c r="H203" t="s">
        <v>651</v>
      </c>
      <c r="I203" t="s">
        <v>673</v>
      </c>
      <c r="J203" t="s">
        <v>980</v>
      </c>
      <c r="K203">
        <v>10</v>
      </c>
      <c r="L203" s="3">
        <v>86.68</v>
      </c>
      <c r="M203" s="3">
        <v>213.32</v>
      </c>
      <c r="N203" s="3" t="str">
        <f>IF(Table1_1[[#This Row],[UnitPrice]]&lt;=816.08,"low",IF(Table1_1[[#This Row],[UnitPrice]]&lt;=1640.06,"medium","high"))</f>
        <v>low</v>
      </c>
      <c r="O203" s="4">
        <v>3.7999999999999999E-2</v>
      </c>
      <c r="P203" s="3">
        <v>2052.1383999999998</v>
      </c>
      <c r="Q203" s="3">
        <v>866.80000000000007</v>
      </c>
      <c r="R203" s="4">
        <v>0.577611334596146</v>
      </c>
      <c r="S203" t="s">
        <v>663</v>
      </c>
      <c r="T203" s="3">
        <v>1185.3383999999996</v>
      </c>
      <c r="U203" t="s">
        <v>1431</v>
      </c>
      <c r="V203" s="13" t="str">
        <f>TEXT(Table1_1[[#This Row],[OrderDate]],"MM YYYY")</f>
        <v>04 2025</v>
      </c>
      <c r="W203" s="11" t="str">
        <f>TEXT(Table1_1[[#This Row],[OrderDate]],"MM")</f>
        <v>04</v>
      </c>
      <c r="X203" s="11"/>
    </row>
    <row r="204" spans="1:24" x14ac:dyDescent="0.25">
      <c r="A204" t="s">
        <v>202</v>
      </c>
      <c r="B204" s="2">
        <v>45516</v>
      </c>
      <c r="C204" s="2">
        <v>45538</v>
      </c>
      <c r="D204" t="s">
        <v>1413</v>
      </c>
      <c r="E204" s="10">
        <v>22</v>
      </c>
      <c r="F204" t="s">
        <v>1420</v>
      </c>
      <c r="G204" t="s">
        <v>645</v>
      </c>
      <c r="H204" t="s">
        <v>651</v>
      </c>
      <c r="I204" t="s">
        <v>672</v>
      </c>
      <c r="J204" t="s">
        <v>867</v>
      </c>
      <c r="K204">
        <v>26</v>
      </c>
      <c r="L204" s="3">
        <v>797.8</v>
      </c>
      <c r="M204" s="3">
        <v>886.22</v>
      </c>
      <c r="N204" s="3" t="str">
        <f>IF(Table1_1[[#This Row],[UnitPrice]]&lt;=816.08,"low",IF(Table1_1[[#This Row],[UnitPrice]]&lt;=1640.06,"medium","high"))</f>
        <v>medium</v>
      </c>
      <c r="O204" s="4">
        <v>0.23599999999999999</v>
      </c>
      <c r="P204" s="3">
        <v>17603.874080000001</v>
      </c>
      <c r="Q204" s="3">
        <v>20742.8</v>
      </c>
      <c r="R204" s="4">
        <v>-0.17830881462428599</v>
      </c>
      <c r="S204" t="s">
        <v>655</v>
      </c>
      <c r="T204" s="3">
        <v>-3138.9259199999979</v>
      </c>
      <c r="U204" t="s">
        <v>1437</v>
      </c>
      <c r="V204" s="13" t="str">
        <f>TEXT(Table1_1[[#This Row],[OrderDate]],"MM YYYY")</f>
        <v>08 2024</v>
      </c>
      <c r="W204" s="11" t="str">
        <f>TEXT(Table1_1[[#This Row],[OrderDate]],"MM")</f>
        <v>08</v>
      </c>
      <c r="X204" s="11"/>
    </row>
    <row r="205" spans="1:24" x14ac:dyDescent="0.25">
      <c r="A205" t="s">
        <v>106</v>
      </c>
      <c r="B205" s="2">
        <v>45022</v>
      </c>
      <c r="C205" s="2">
        <v>45043</v>
      </c>
      <c r="D205" t="s">
        <v>1413</v>
      </c>
      <c r="E205" s="10">
        <v>21</v>
      </c>
      <c r="F205" t="s">
        <v>1406</v>
      </c>
      <c r="G205" t="s">
        <v>647</v>
      </c>
      <c r="H205" t="s">
        <v>651</v>
      </c>
      <c r="I205" t="s">
        <v>669</v>
      </c>
      <c r="J205" t="s">
        <v>770</v>
      </c>
      <c r="K205">
        <v>41</v>
      </c>
      <c r="L205" s="3">
        <v>1084.79</v>
      </c>
      <c r="M205" s="3">
        <v>2484.9899999999998</v>
      </c>
      <c r="N205" s="3" t="str">
        <f>IF(Table1_1[[#This Row],[UnitPrice]]&lt;=816.08,"low",IF(Table1_1[[#This Row],[UnitPrice]]&lt;=1640.06,"medium","high"))</f>
        <v>high</v>
      </c>
      <c r="O205" s="4">
        <v>3.4000000000000002E-2</v>
      </c>
      <c r="P205" s="3">
        <v>98420.51393999999</v>
      </c>
      <c r="Q205" s="3">
        <v>44476.39</v>
      </c>
      <c r="R205" s="4">
        <v>0.54809837685755103</v>
      </c>
      <c r="S205" t="s">
        <v>655</v>
      </c>
      <c r="T205" s="3">
        <v>53944.12393999999</v>
      </c>
      <c r="U205" t="s">
        <v>1435</v>
      </c>
      <c r="V205" s="13" t="str">
        <f>TEXT(Table1_1[[#This Row],[OrderDate]],"MM YYYY")</f>
        <v>04 2023</v>
      </c>
      <c r="W205" s="11" t="str">
        <f>TEXT(Table1_1[[#This Row],[OrderDate]],"MM")</f>
        <v>04</v>
      </c>
      <c r="X205" s="11"/>
    </row>
    <row r="206" spans="1:24" x14ac:dyDescent="0.25">
      <c r="A206" t="s">
        <v>261</v>
      </c>
      <c r="B206" s="2">
        <v>44989</v>
      </c>
      <c r="C206" s="2">
        <v>45009</v>
      </c>
      <c r="D206" t="s">
        <v>1413</v>
      </c>
      <c r="E206" s="10">
        <v>20</v>
      </c>
      <c r="F206" t="s">
        <v>1418</v>
      </c>
      <c r="G206" t="s">
        <v>645</v>
      </c>
      <c r="H206" t="s">
        <v>651</v>
      </c>
      <c r="I206" t="s">
        <v>672</v>
      </c>
      <c r="J206" t="s">
        <v>926</v>
      </c>
      <c r="K206">
        <v>12</v>
      </c>
      <c r="L206" s="3">
        <v>481.71</v>
      </c>
      <c r="M206" s="3">
        <v>912.45</v>
      </c>
      <c r="N206" s="3" t="str">
        <f>IF(Table1_1[[#This Row],[UnitPrice]]&lt;=816.08,"low",IF(Table1_1[[#This Row],[UnitPrice]]&lt;=1640.06,"medium","high"))</f>
        <v>medium</v>
      </c>
      <c r="O206" s="4">
        <v>0.20300000000000001</v>
      </c>
      <c r="P206" s="3">
        <v>8726.6718000000001</v>
      </c>
      <c r="Q206" s="3">
        <v>5780.5199999999995</v>
      </c>
      <c r="R206" s="4">
        <v>0.337603139836197</v>
      </c>
      <c r="S206" t="s">
        <v>655</v>
      </c>
      <c r="T206" s="3">
        <v>2946.1518000000005</v>
      </c>
      <c r="U206" t="s">
        <v>1432</v>
      </c>
      <c r="V206" s="13" t="str">
        <f>TEXT(Table1_1[[#This Row],[OrderDate]],"MM YYYY")</f>
        <v>03 2023</v>
      </c>
      <c r="W206" s="11" t="str">
        <f>TEXT(Table1_1[[#This Row],[OrderDate]],"MM")</f>
        <v>03</v>
      </c>
      <c r="X206" s="11"/>
    </row>
    <row r="207" spans="1:24" x14ac:dyDescent="0.25">
      <c r="A207" t="s">
        <v>174</v>
      </c>
      <c r="B207" s="2">
        <v>45010</v>
      </c>
      <c r="C207" s="2">
        <v>45011</v>
      </c>
      <c r="D207" t="s">
        <v>1413</v>
      </c>
      <c r="E207" s="10">
        <v>1</v>
      </c>
      <c r="F207" t="s">
        <v>1387</v>
      </c>
      <c r="G207" t="s">
        <v>646</v>
      </c>
      <c r="H207" t="s">
        <v>651</v>
      </c>
      <c r="I207" t="s">
        <v>673</v>
      </c>
      <c r="J207" t="s">
        <v>838</v>
      </c>
      <c r="K207">
        <v>11</v>
      </c>
      <c r="L207" s="3">
        <v>135.12</v>
      </c>
      <c r="M207" s="3">
        <v>301.7</v>
      </c>
      <c r="N207" s="3" t="str">
        <f>IF(Table1_1[[#This Row],[UnitPrice]]&lt;=816.08,"low",IF(Table1_1[[#This Row],[UnitPrice]]&lt;=1640.06,"medium","high"))</f>
        <v>low</v>
      </c>
      <c r="O207" s="4">
        <v>0.14000000000000001</v>
      </c>
      <c r="P207" s="3">
        <v>2854.0819999999999</v>
      </c>
      <c r="Q207" s="3">
        <v>1486.3200000000002</v>
      </c>
      <c r="R207" s="4">
        <v>0.47923009920527898</v>
      </c>
      <c r="S207" t="s">
        <v>655</v>
      </c>
      <c r="T207" s="3">
        <v>1367.7619999999997</v>
      </c>
      <c r="U207" t="s">
        <v>1432</v>
      </c>
      <c r="V207" s="13" t="str">
        <f>TEXT(Table1_1[[#This Row],[OrderDate]],"MM YYYY")</f>
        <v>03 2023</v>
      </c>
      <c r="W207" s="11" t="str">
        <f>TEXT(Table1_1[[#This Row],[OrderDate]],"MM")</f>
        <v>03</v>
      </c>
      <c r="X207" s="11"/>
    </row>
    <row r="208" spans="1:24" x14ac:dyDescent="0.25">
      <c r="A208" t="s">
        <v>348</v>
      </c>
      <c r="B208" s="2">
        <v>45132</v>
      </c>
      <c r="C208" s="2">
        <v>45148</v>
      </c>
      <c r="D208" t="s">
        <v>1413</v>
      </c>
      <c r="E208" s="10">
        <v>16</v>
      </c>
      <c r="F208" t="s">
        <v>1384</v>
      </c>
      <c r="G208" t="s">
        <v>642</v>
      </c>
      <c r="H208" t="s">
        <v>651</v>
      </c>
      <c r="I208" t="s">
        <v>674</v>
      </c>
      <c r="J208" t="s">
        <v>1013</v>
      </c>
      <c r="K208">
        <v>37</v>
      </c>
      <c r="L208" s="3">
        <v>506.83</v>
      </c>
      <c r="M208" s="3">
        <v>441.74</v>
      </c>
      <c r="N208" s="3" t="str">
        <f>IF(Table1_1[[#This Row],[UnitPrice]]&lt;=816.08,"low",IF(Table1_1[[#This Row],[UnitPrice]]&lt;=1640.06,"medium","high"))</f>
        <v>low</v>
      </c>
      <c r="O208" s="4">
        <v>0.24</v>
      </c>
      <c r="P208" s="3">
        <v>12421.728800000001</v>
      </c>
      <c r="Q208" s="3">
        <v>18752.71</v>
      </c>
      <c r="R208" s="4">
        <v>-0.50966989393618001</v>
      </c>
      <c r="S208" t="s">
        <v>655</v>
      </c>
      <c r="T208" s="3">
        <v>-6330.9811999999984</v>
      </c>
      <c r="U208" t="s">
        <v>1430</v>
      </c>
      <c r="V208" s="13" t="str">
        <f>TEXT(Table1_1[[#This Row],[OrderDate]],"MM YYYY")</f>
        <v>07 2023</v>
      </c>
      <c r="W208" s="11" t="str">
        <f>TEXT(Table1_1[[#This Row],[OrderDate]],"MM")</f>
        <v>07</v>
      </c>
      <c r="X208" s="11"/>
    </row>
    <row r="209" spans="1:24" x14ac:dyDescent="0.25">
      <c r="A209" t="s">
        <v>517</v>
      </c>
      <c r="B209" s="2">
        <v>45589</v>
      </c>
      <c r="C209" s="2">
        <v>45593</v>
      </c>
      <c r="D209" t="s">
        <v>1413</v>
      </c>
      <c r="E209" s="10">
        <v>4</v>
      </c>
      <c r="F209" t="s">
        <v>1401</v>
      </c>
      <c r="G209" t="s">
        <v>646</v>
      </c>
      <c r="H209" t="s">
        <v>651</v>
      </c>
      <c r="I209" t="s">
        <v>670</v>
      </c>
      <c r="J209" t="s">
        <v>1181</v>
      </c>
      <c r="K209">
        <v>13</v>
      </c>
      <c r="L209" s="3">
        <v>1331.77</v>
      </c>
      <c r="M209" s="3">
        <v>2606.11</v>
      </c>
      <c r="N209" s="3" t="str">
        <f>IF(Table1_1[[#This Row],[UnitPrice]]&lt;=816.08,"low",IF(Table1_1[[#This Row],[UnitPrice]]&lt;=1640.06,"medium","high"))</f>
        <v>high</v>
      </c>
      <c r="O209" s="4">
        <v>0.02</v>
      </c>
      <c r="P209" s="3">
        <v>33201.841399999998</v>
      </c>
      <c r="Q209" s="3">
        <v>17313.009999999998</v>
      </c>
      <c r="R209" s="4">
        <v>0.47855271665745602</v>
      </c>
      <c r="S209" t="s">
        <v>655</v>
      </c>
      <c r="T209" s="3">
        <v>15888.831399999999</v>
      </c>
      <c r="U209" t="s">
        <v>1440</v>
      </c>
      <c r="V209" s="13" t="str">
        <f>TEXT(Table1_1[[#This Row],[OrderDate]],"MM YYYY")</f>
        <v>10 2024</v>
      </c>
      <c r="W209" s="11" t="str">
        <f>TEXT(Table1_1[[#This Row],[OrderDate]],"MM")</f>
        <v>10</v>
      </c>
      <c r="X209" s="11"/>
    </row>
    <row r="210" spans="1:24" x14ac:dyDescent="0.25">
      <c r="A210" t="s">
        <v>130</v>
      </c>
      <c r="B210" s="2">
        <v>45847</v>
      </c>
      <c r="C210" s="2">
        <v>45856</v>
      </c>
      <c r="D210" t="s">
        <v>1413</v>
      </c>
      <c r="E210" s="10">
        <v>9</v>
      </c>
      <c r="F210" t="s">
        <v>1415</v>
      </c>
      <c r="G210" t="s">
        <v>643</v>
      </c>
      <c r="H210" t="s">
        <v>651</v>
      </c>
      <c r="I210" t="s">
        <v>672</v>
      </c>
      <c r="J210" t="s">
        <v>794</v>
      </c>
      <c r="K210">
        <v>11</v>
      </c>
      <c r="L210" s="3">
        <v>57.96</v>
      </c>
      <c r="M210" s="3">
        <v>88.51</v>
      </c>
      <c r="N210" s="3" t="str">
        <f>IF(Table1_1[[#This Row],[UnitPrice]]&lt;=816.08,"low",IF(Table1_1[[#This Row],[UnitPrice]]&lt;=1640.06,"medium","high"))</f>
        <v>low</v>
      </c>
      <c r="O210" s="4">
        <v>4.2999999999999997E-2</v>
      </c>
      <c r="P210" s="3">
        <v>931.74477000000002</v>
      </c>
      <c r="Q210" s="3">
        <v>637.56000000000006</v>
      </c>
      <c r="R210" s="4">
        <v>0.31573535958779803</v>
      </c>
      <c r="S210" t="s">
        <v>655</v>
      </c>
      <c r="T210" s="3">
        <v>294.18476999999996</v>
      </c>
      <c r="U210" t="s">
        <v>1438</v>
      </c>
      <c r="V210" s="13" t="str">
        <f>TEXT(Table1_1[[#This Row],[OrderDate]],"MM YYYY")</f>
        <v>07 2025</v>
      </c>
      <c r="W210" s="11" t="str">
        <f>TEXT(Table1_1[[#This Row],[OrderDate]],"MM")</f>
        <v>07</v>
      </c>
      <c r="X210" s="11"/>
    </row>
    <row r="211" spans="1:24" x14ac:dyDescent="0.25">
      <c r="A211" t="s">
        <v>442</v>
      </c>
      <c r="B211" s="2">
        <v>45220</v>
      </c>
      <c r="C211" s="2">
        <v>45220</v>
      </c>
      <c r="D211" t="s">
        <v>1413</v>
      </c>
      <c r="E211" s="10">
        <v>0</v>
      </c>
      <c r="F211" t="s">
        <v>1406</v>
      </c>
      <c r="G211" t="s">
        <v>647</v>
      </c>
      <c r="H211" t="s">
        <v>651</v>
      </c>
      <c r="I211" t="s">
        <v>673</v>
      </c>
      <c r="J211" t="s">
        <v>1106</v>
      </c>
      <c r="K211">
        <v>10</v>
      </c>
      <c r="L211" s="3">
        <v>384.19</v>
      </c>
      <c r="M211" s="3">
        <v>278.35000000000002</v>
      </c>
      <c r="N211" s="3" t="str">
        <f>IF(Table1_1[[#This Row],[UnitPrice]]&lt;=816.08,"low",IF(Table1_1[[#This Row],[UnitPrice]]&lt;=1640.06,"medium","high"))</f>
        <v>low</v>
      </c>
      <c r="O211" s="4">
        <v>5.6000000000000001E-2</v>
      </c>
      <c r="P211" s="3">
        <v>2627.6239999999998</v>
      </c>
      <c r="Q211" s="3">
        <v>3841.9</v>
      </c>
      <c r="R211" s="4">
        <v>-0.46211938998882701</v>
      </c>
      <c r="S211" t="s">
        <v>654</v>
      </c>
      <c r="T211" s="3">
        <v>-1214.2760000000003</v>
      </c>
      <c r="U211" t="s">
        <v>1439</v>
      </c>
      <c r="V211" s="13" t="str">
        <f>TEXT(Table1_1[[#This Row],[OrderDate]],"MM YYYY")</f>
        <v>10 2023</v>
      </c>
      <c r="W211" s="11" t="str">
        <f>TEXT(Table1_1[[#This Row],[OrderDate]],"MM")</f>
        <v>10</v>
      </c>
      <c r="X211" s="11"/>
    </row>
    <row r="212" spans="1:24" x14ac:dyDescent="0.25">
      <c r="A212" t="s">
        <v>180</v>
      </c>
      <c r="B212" s="2">
        <v>45574</v>
      </c>
      <c r="C212" s="2">
        <v>45604</v>
      </c>
      <c r="D212" t="s">
        <v>1413</v>
      </c>
      <c r="E212" s="10">
        <v>30</v>
      </c>
      <c r="F212" t="s">
        <v>1406</v>
      </c>
      <c r="G212" t="s">
        <v>646</v>
      </c>
      <c r="H212" t="s">
        <v>651</v>
      </c>
      <c r="I212" t="s">
        <v>668</v>
      </c>
      <c r="J212" t="s">
        <v>844</v>
      </c>
      <c r="K212">
        <v>9</v>
      </c>
      <c r="L212" s="3">
        <v>343.85</v>
      </c>
      <c r="M212" s="3">
        <v>538.04</v>
      </c>
      <c r="N212" s="3" t="str">
        <f>IF(Table1_1[[#This Row],[UnitPrice]]&lt;=816.08,"low",IF(Table1_1[[#This Row],[UnitPrice]]&lt;=1640.06,"medium","high"))</f>
        <v>low</v>
      </c>
      <c r="O212" s="4">
        <v>0.13900000000000001</v>
      </c>
      <c r="P212" s="3">
        <v>4169.27196</v>
      </c>
      <c r="Q212" s="3">
        <v>3094.65</v>
      </c>
      <c r="R212" s="4">
        <v>0.25774810813732602</v>
      </c>
      <c r="S212" t="s">
        <v>654</v>
      </c>
      <c r="T212" s="3">
        <v>1074.6219599999999</v>
      </c>
      <c r="U212" t="s">
        <v>1440</v>
      </c>
      <c r="V212" s="13" t="str">
        <f>TEXT(Table1_1[[#This Row],[OrderDate]],"MM YYYY")</f>
        <v>10 2024</v>
      </c>
      <c r="W212" s="11" t="str">
        <f>TEXT(Table1_1[[#This Row],[OrderDate]],"MM")</f>
        <v>10</v>
      </c>
      <c r="X212" s="11"/>
    </row>
    <row r="213" spans="1:24" x14ac:dyDescent="0.25">
      <c r="A213" t="s">
        <v>157</v>
      </c>
      <c r="B213" s="2">
        <v>45911</v>
      </c>
      <c r="C213" s="2">
        <v>45928</v>
      </c>
      <c r="D213" t="s">
        <v>1413</v>
      </c>
      <c r="E213" s="10">
        <v>17</v>
      </c>
      <c r="F213" t="s">
        <v>1385</v>
      </c>
      <c r="G213" t="s">
        <v>644</v>
      </c>
      <c r="H213" t="s">
        <v>651</v>
      </c>
      <c r="I213" t="s">
        <v>672</v>
      </c>
      <c r="J213" t="s">
        <v>821</v>
      </c>
      <c r="K213">
        <v>15</v>
      </c>
      <c r="L213" s="3">
        <v>891.46</v>
      </c>
      <c r="M213" s="3">
        <v>728.61</v>
      </c>
      <c r="N213" s="3" t="str">
        <f>IF(Table1_1[[#This Row],[UnitPrice]]&lt;=816.08,"low",IF(Table1_1[[#This Row],[UnitPrice]]&lt;=1640.06,"medium","high"))</f>
        <v>low</v>
      </c>
      <c r="O213" s="4">
        <v>0.185</v>
      </c>
      <c r="P213" s="3">
        <v>8907.2572499999987</v>
      </c>
      <c r="Q213" s="3">
        <v>13371.900000000001</v>
      </c>
      <c r="R213" s="4">
        <v>-0.501236533838742</v>
      </c>
      <c r="S213" t="s">
        <v>654</v>
      </c>
      <c r="T213" s="3">
        <v>-4464.6427500000027</v>
      </c>
      <c r="U213" t="s">
        <v>1438</v>
      </c>
      <c r="V213" s="13" t="str">
        <f>TEXT(Table1_1[[#This Row],[OrderDate]],"MM YYYY")</f>
        <v>09 2025</v>
      </c>
      <c r="W213" s="11" t="str">
        <f>TEXT(Table1_1[[#This Row],[OrderDate]],"MM")</f>
        <v>09</v>
      </c>
      <c r="X213" s="11"/>
    </row>
    <row r="214" spans="1:24" x14ac:dyDescent="0.25">
      <c r="A214" t="s">
        <v>235</v>
      </c>
      <c r="B214" s="2">
        <v>45279</v>
      </c>
      <c r="C214" s="2">
        <v>45280</v>
      </c>
      <c r="D214" t="s">
        <v>1413</v>
      </c>
      <c r="E214" s="10">
        <v>1</v>
      </c>
      <c r="F214" t="s">
        <v>1421</v>
      </c>
      <c r="G214" t="s">
        <v>645</v>
      </c>
      <c r="H214" t="s">
        <v>651</v>
      </c>
      <c r="I214" t="s">
        <v>671</v>
      </c>
      <c r="J214" t="s">
        <v>900</v>
      </c>
      <c r="K214">
        <v>6</v>
      </c>
      <c r="L214" s="3">
        <v>1080.43</v>
      </c>
      <c r="M214" s="3">
        <v>2529.15</v>
      </c>
      <c r="N214" s="3" t="str">
        <f>IF(Table1_1[[#This Row],[UnitPrice]]&lt;=816.08,"low",IF(Table1_1[[#This Row],[UnitPrice]]&lt;=1640.06,"medium","high"))</f>
        <v>high</v>
      </c>
      <c r="O214" s="4">
        <v>0.14699999999999999</v>
      </c>
      <c r="P214" s="3">
        <v>12944.189700000001</v>
      </c>
      <c r="Q214" s="3">
        <v>6482.58</v>
      </c>
      <c r="R214" s="4">
        <v>0.49918997247081398</v>
      </c>
      <c r="S214" t="s">
        <v>654</v>
      </c>
      <c r="T214" s="3">
        <v>6461.6097000000009</v>
      </c>
      <c r="U214" t="s">
        <v>1439</v>
      </c>
      <c r="V214" s="13" t="str">
        <f>TEXT(Table1_1[[#This Row],[OrderDate]],"MM YYYY")</f>
        <v>12 2023</v>
      </c>
      <c r="W214" s="11" t="str">
        <f>TEXT(Table1_1[[#This Row],[OrderDate]],"MM")</f>
        <v>12</v>
      </c>
      <c r="X214" s="11"/>
    </row>
    <row r="215" spans="1:24" x14ac:dyDescent="0.25">
      <c r="A215" t="s">
        <v>364</v>
      </c>
      <c r="B215" s="2">
        <v>45603</v>
      </c>
      <c r="C215" s="2">
        <v>45622</v>
      </c>
      <c r="D215" t="s">
        <v>1413</v>
      </c>
      <c r="E215" s="10">
        <v>19</v>
      </c>
      <c r="F215" t="s">
        <v>1421</v>
      </c>
      <c r="G215" t="s">
        <v>644</v>
      </c>
      <c r="H215" t="s">
        <v>651</v>
      </c>
      <c r="I215" t="s">
        <v>669</v>
      </c>
      <c r="J215" t="s">
        <v>1029</v>
      </c>
      <c r="K215">
        <v>9</v>
      </c>
      <c r="L215" s="3">
        <v>55.35</v>
      </c>
      <c r="M215" s="3">
        <v>128.68</v>
      </c>
      <c r="N215" s="3" t="str">
        <f>IF(Table1_1[[#This Row],[UnitPrice]]&lt;=816.08,"low",IF(Table1_1[[#This Row],[UnitPrice]]&lt;=1640.06,"medium","high"))</f>
        <v>low</v>
      </c>
      <c r="O215" s="4">
        <v>0.128</v>
      </c>
      <c r="P215" s="3">
        <v>1009.8806400000001</v>
      </c>
      <c r="Q215" s="3">
        <v>498.15000000000003</v>
      </c>
      <c r="R215" s="4">
        <v>0.50672388372550603</v>
      </c>
      <c r="S215" t="s">
        <v>654</v>
      </c>
      <c r="T215" s="3">
        <v>511.73064000000005</v>
      </c>
      <c r="U215" t="s">
        <v>1440</v>
      </c>
      <c r="V215" s="13" t="str">
        <f>TEXT(Table1_1[[#This Row],[OrderDate]],"MM YYYY")</f>
        <v>11 2024</v>
      </c>
      <c r="W215" s="11" t="str">
        <f>TEXT(Table1_1[[#This Row],[OrderDate]],"MM")</f>
        <v>11</v>
      </c>
      <c r="X215" s="11"/>
    </row>
    <row r="216" spans="1:24" x14ac:dyDescent="0.25">
      <c r="A216" t="s">
        <v>203</v>
      </c>
      <c r="B216" s="2">
        <v>45214</v>
      </c>
      <c r="C216" s="2">
        <v>45243</v>
      </c>
      <c r="D216" t="s">
        <v>1413</v>
      </c>
      <c r="E216" s="10">
        <v>29</v>
      </c>
      <c r="F216" t="s">
        <v>1394</v>
      </c>
      <c r="G216" t="s">
        <v>644</v>
      </c>
      <c r="H216" t="s">
        <v>651</v>
      </c>
      <c r="I216" t="s">
        <v>669</v>
      </c>
      <c r="J216" t="s">
        <v>868</v>
      </c>
      <c r="K216">
        <v>12</v>
      </c>
      <c r="L216" s="3">
        <v>986.44</v>
      </c>
      <c r="M216" s="3">
        <v>790.61</v>
      </c>
      <c r="N216" s="3" t="str">
        <f>IF(Table1_1[[#This Row],[UnitPrice]]&lt;=816.08,"low",IF(Table1_1[[#This Row],[UnitPrice]]&lt;=1640.06,"medium","high"))</f>
        <v>low</v>
      </c>
      <c r="O216" s="4">
        <v>7.1999999999999995E-2</v>
      </c>
      <c r="P216" s="3">
        <v>8804.2329599999994</v>
      </c>
      <c r="Q216" s="3">
        <v>11837.28</v>
      </c>
      <c r="R216" s="4">
        <v>-0.34449872621271499</v>
      </c>
      <c r="S216" t="s">
        <v>654</v>
      </c>
      <c r="T216" s="3">
        <v>-3033.0470400000013</v>
      </c>
      <c r="U216" t="s">
        <v>1439</v>
      </c>
      <c r="V216" s="13" t="str">
        <f>TEXT(Table1_1[[#This Row],[OrderDate]],"MM YYYY")</f>
        <v>10 2023</v>
      </c>
      <c r="W216" s="11" t="str">
        <f>TEXT(Table1_1[[#This Row],[OrderDate]],"MM")</f>
        <v>10</v>
      </c>
      <c r="X216" s="11"/>
    </row>
    <row r="217" spans="1:24" x14ac:dyDescent="0.25">
      <c r="A217" t="s">
        <v>512</v>
      </c>
      <c r="B217" s="2">
        <v>44980</v>
      </c>
      <c r="C217" s="2">
        <v>45003</v>
      </c>
      <c r="D217" t="s">
        <v>1413</v>
      </c>
      <c r="E217" s="10">
        <v>23</v>
      </c>
      <c r="F217" t="s">
        <v>1411</v>
      </c>
      <c r="G217" t="s">
        <v>643</v>
      </c>
      <c r="H217" t="s">
        <v>651</v>
      </c>
      <c r="I217" t="s">
        <v>669</v>
      </c>
      <c r="J217" t="s">
        <v>1176</v>
      </c>
      <c r="K217">
        <v>60</v>
      </c>
      <c r="L217" s="3">
        <v>770.11</v>
      </c>
      <c r="M217" s="3">
        <v>1667.82</v>
      </c>
      <c r="N217" s="3" t="str">
        <f>IF(Table1_1[[#This Row],[UnitPrice]]&lt;=816.08,"low",IF(Table1_1[[#This Row],[UnitPrice]]&lt;=1640.06,"medium","high"))</f>
        <v>high</v>
      </c>
      <c r="O217" s="4">
        <v>6.9000000000000006E-2</v>
      </c>
      <c r="P217" s="3">
        <v>93164.425199999998</v>
      </c>
      <c r="Q217" s="3">
        <v>46206.6</v>
      </c>
      <c r="R217" s="4">
        <v>0.50403171703355298</v>
      </c>
      <c r="S217" t="s">
        <v>664</v>
      </c>
      <c r="T217" s="3">
        <v>46957.825199999999</v>
      </c>
      <c r="U217" t="s">
        <v>1432</v>
      </c>
      <c r="V217" s="13" t="str">
        <f>TEXT(Table1_1[[#This Row],[OrderDate]],"MM YYYY")</f>
        <v>02 2023</v>
      </c>
      <c r="W217" s="11" t="str">
        <f>TEXT(Table1_1[[#This Row],[OrderDate]],"MM")</f>
        <v>02</v>
      </c>
      <c r="X217" s="11"/>
    </row>
    <row r="218" spans="1:24" x14ac:dyDescent="0.25">
      <c r="A218" t="s">
        <v>418</v>
      </c>
      <c r="B218" s="2">
        <v>45724</v>
      </c>
      <c r="C218" s="2">
        <v>45731</v>
      </c>
      <c r="D218" t="s">
        <v>1413</v>
      </c>
      <c r="E218" s="10">
        <v>7</v>
      </c>
      <c r="F218" t="s">
        <v>1388</v>
      </c>
      <c r="G218" t="s">
        <v>642</v>
      </c>
      <c r="H218" t="s">
        <v>651</v>
      </c>
      <c r="I218" t="s">
        <v>672</v>
      </c>
      <c r="J218" t="s">
        <v>1082</v>
      </c>
      <c r="K218">
        <v>7</v>
      </c>
      <c r="L218" s="3">
        <v>475.66</v>
      </c>
      <c r="M218" s="3">
        <v>529.14</v>
      </c>
      <c r="N218" s="3" t="str">
        <f>IF(Table1_1[[#This Row],[UnitPrice]]&lt;=816.08,"low",IF(Table1_1[[#This Row],[UnitPrice]]&lt;=1640.06,"medium","high"))</f>
        <v>low</v>
      </c>
      <c r="O218" s="4">
        <v>0.19600000000000001</v>
      </c>
      <c r="P218" s="3">
        <v>2977.9999200000002</v>
      </c>
      <c r="Q218" s="3">
        <v>3329.6200000000003</v>
      </c>
      <c r="R218" s="4">
        <v>-0.118072561936133</v>
      </c>
      <c r="S218" t="s">
        <v>664</v>
      </c>
      <c r="T218" s="3">
        <v>-351.62008000000014</v>
      </c>
      <c r="U218" t="s">
        <v>1434</v>
      </c>
      <c r="V218" s="13" t="str">
        <f>TEXT(Table1_1[[#This Row],[OrderDate]],"MM YYYY")</f>
        <v>03 2025</v>
      </c>
      <c r="W218" s="11" t="str">
        <f>TEXT(Table1_1[[#This Row],[OrderDate]],"MM")</f>
        <v>03</v>
      </c>
      <c r="X218" s="11"/>
    </row>
    <row r="219" spans="1:24" x14ac:dyDescent="0.25">
      <c r="A219" t="s">
        <v>244</v>
      </c>
      <c r="B219" s="2">
        <v>44999</v>
      </c>
      <c r="C219" s="2">
        <v>45015</v>
      </c>
      <c r="D219" t="s">
        <v>1413</v>
      </c>
      <c r="E219" s="10">
        <v>16</v>
      </c>
      <c r="F219" t="s">
        <v>1408</v>
      </c>
      <c r="G219" t="s">
        <v>645</v>
      </c>
      <c r="H219" t="s">
        <v>651</v>
      </c>
      <c r="I219" t="s">
        <v>668</v>
      </c>
      <c r="J219" t="s">
        <v>909</v>
      </c>
      <c r="K219">
        <v>8</v>
      </c>
      <c r="L219" s="3">
        <v>1309.77</v>
      </c>
      <c r="M219" s="3">
        <v>1589.07</v>
      </c>
      <c r="N219" s="3" t="str">
        <f>IF(Table1_1[[#This Row],[UnitPrice]]&lt;=816.08,"low",IF(Table1_1[[#This Row],[UnitPrice]]&lt;=1640.06,"medium","high"))</f>
        <v>medium</v>
      </c>
      <c r="O219" s="4">
        <v>0.10199999999999999</v>
      </c>
      <c r="P219" s="3">
        <v>11415.87888</v>
      </c>
      <c r="Q219" s="3">
        <v>10478.16</v>
      </c>
      <c r="R219" s="4">
        <v>8.2141628328137997E-2</v>
      </c>
      <c r="S219" t="s">
        <v>664</v>
      </c>
      <c r="T219" s="3">
        <v>937.71888000000035</v>
      </c>
      <c r="U219" t="s">
        <v>1432</v>
      </c>
      <c r="V219" s="13" t="str">
        <f>TEXT(Table1_1[[#This Row],[OrderDate]],"MM YYYY")</f>
        <v>03 2023</v>
      </c>
      <c r="W219" s="11" t="str">
        <f>TEXT(Table1_1[[#This Row],[OrderDate]],"MM")</f>
        <v>03</v>
      </c>
      <c r="X219" s="11"/>
    </row>
    <row r="220" spans="1:24" x14ac:dyDescent="0.25">
      <c r="A220" t="s">
        <v>335</v>
      </c>
      <c r="B220" s="2">
        <v>45053</v>
      </c>
      <c r="C220" s="2">
        <v>45075</v>
      </c>
      <c r="D220" t="s">
        <v>1413</v>
      </c>
      <c r="E220" s="10">
        <v>22</v>
      </c>
      <c r="F220" t="s">
        <v>1402</v>
      </c>
      <c r="G220" t="s">
        <v>643</v>
      </c>
      <c r="H220" t="s">
        <v>651</v>
      </c>
      <c r="I220" t="s">
        <v>674</v>
      </c>
      <c r="J220" t="s">
        <v>1000</v>
      </c>
      <c r="K220">
        <v>13</v>
      </c>
      <c r="L220" s="3">
        <v>653.86</v>
      </c>
      <c r="M220" s="3">
        <v>931.84</v>
      </c>
      <c r="N220" s="3" t="str">
        <f>IF(Table1_1[[#This Row],[UnitPrice]]&lt;=816.08,"low",IF(Table1_1[[#This Row],[UnitPrice]]&lt;=1640.06,"medium","high"))</f>
        <v>medium</v>
      </c>
      <c r="O220" s="4">
        <v>0.121</v>
      </c>
      <c r="P220" s="3">
        <v>10648.135679999999</v>
      </c>
      <c r="Q220" s="3">
        <v>8500.18</v>
      </c>
      <c r="R220" s="4">
        <v>0.201721291365063</v>
      </c>
      <c r="S220" t="s">
        <v>664</v>
      </c>
      <c r="T220" s="3">
        <v>2147.9556799999991</v>
      </c>
      <c r="U220" t="s">
        <v>1435</v>
      </c>
      <c r="V220" s="13" t="str">
        <f>TEXT(Table1_1[[#This Row],[OrderDate]],"MM YYYY")</f>
        <v>05 2023</v>
      </c>
      <c r="W220" s="11" t="str">
        <f>TEXT(Table1_1[[#This Row],[OrderDate]],"MM")</f>
        <v>05</v>
      </c>
      <c r="X220" s="11"/>
    </row>
    <row r="221" spans="1:24" x14ac:dyDescent="0.25">
      <c r="A221" t="s">
        <v>161</v>
      </c>
      <c r="B221" s="2">
        <v>45763</v>
      </c>
      <c r="C221" s="2">
        <v>45793</v>
      </c>
      <c r="D221" t="s">
        <v>1413</v>
      </c>
      <c r="E221" s="10">
        <v>30</v>
      </c>
      <c r="F221" t="s">
        <v>1418</v>
      </c>
      <c r="G221" t="s">
        <v>647</v>
      </c>
      <c r="H221" t="s">
        <v>651</v>
      </c>
      <c r="I221" t="s">
        <v>669</v>
      </c>
      <c r="J221" t="s">
        <v>825</v>
      </c>
      <c r="K221">
        <v>41</v>
      </c>
      <c r="L221" s="3">
        <v>763.32</v>
      </c>
      <c r="M221" s="3">
        <v>568.29</v>
      </c>
      <c r="N221" s="3" t="str">
        <f>IF(Table1_1[[#This Row],[UnitPrice]]&lt;=816.08,"low",IF(Table1_1[[#This Row],[UnitPrice]]&lt;=1640.06,"medium","high"))</f>
        <v>low</v>
      </c>
      <c r="O221" s="4">
        <v>0.13100000000000001</v>
      </c>
      <c r="P221" s="3">
        <v>20247.60441</v>
      </c>
      <c r="Q221" s="3">
        <v>31296.120000000003</v>
      </c>
      <c r="R221" s="4">
        <v>-0.54567026134426599</v>
      </c>
      <c r="S221" t="s">
        <v>664</v>
      </c>
      <c r="T221" s="3">
        <v>-11048.515590000003</v>
      </c>
      <c r="U221" t="s">
        <v>1431</v>
      </c>
      <c r="V221" s="13" t="str">
        <f>TEXT(Table1_1[[#This Row],[OrderDate]],"MM YYYY")</f>
        <v>04 2025</v>
      </c>
      <c r="W221" s="11" t="str">
        <f>TEXT(Table1_1[[#This Row],[OrderDate]],"MM")</f>
        <v>04</v>
      </c>
      <c r="X221" s="11"/>
    </row>
    <row r="222" spans="1:24" x14ac:dyDescent="0.25">
      <c r="A222" t="s">
        <v>597</v>
      </c>
      <c r="B222" s="2">
        <v>45364</v>
      </c>
      <c r="C222" s="2">
        <v>45388</v>
      </c>
      <c r="D222" t="s">
        <v>1413</v>
      </c>
      <c r="E222" s="10">
        <v>24</v>
      </c>
      <c r="F222" t="s">
        <v>1389</v>
      </c>
      <c r="G222" t="s">
        <v>645</v>
      </c>
      <c r="H222" t="s">
        <v>651</v>
      </c>
      <c r="I222" t="s">
        <v>668</v>
      </c>
      <c r="J222" t="s">
        <v>1260</v>
      </c>
      <c r="K222">
        <v>11</v>
      </c>
      <c r="L222" s="3">
        <v>1232.78</v>
      </c>
      <c r="M222" s="3">
        <v>1731.75</v>
      </c>
      <c r="N222" s="3" t="str">
        <f>IF(Table1_1[[#This Row],[UnitPrice]]&lt;=816.08,"low",IF(Table1_1[[#This Row],[UnitPrice]]&lt;=1640.06,"medium","high"))</f>
        <v>high</v>
      </c>
      <c r="O222" s="4">
        <v>9.2999999999999999E-2</v>
      </c>
      <c r="P222" s="3">
        <v>17277.669750000001</v>
      </c>
      <c r="Q222" s="3">
        <v>13560.58</v>
      </c>
      <c r="R222" s="4">
        <v>0.21513837246483999</v>
      </c>
      <c r="S222" t="s">
        <v>657</v>
      </c>
      <c r="T222" s="3">
        <v>3717.089750000001</v>
      </c>
      <c r="U222" t="s">
        <v>1433</v>
      </c>
      <c r="V222" s="13" t="str">
        <f>TEXT(Table1_1[[#This Row],[OrderDate]],"MM YYYY")</f>
        <v>03 2024</v>
      </c>
      <c r="W222" s="11" t="str">
        <f>TEXT(Table1_1[[#This Row],[OrderDate]],"MM")</f>
        <v>03</v>
      </c>
      <c r="X222" s="11"/>
    </row>
    <row r="223" spans="1:24" x14ac:dyDescent="0.25">
      <c r="A223" t="s">
        <v>397</v>
      </c>
      <c r="B223" s="2">
        <v>45419</v>
      </c>
      <c r="C223" s="2">
        <v>45424</v>
      </c>
      <c r="D223" t="s">
        <v>1413</v>
      </c>
      <c r="E223" s="10">
        <v>5</v>
      </c>
      <c r="F223" t="s">
        <v>1389</v>
      </c>
      <c r="G223" t="s">
        <v>644</v>
      </c>
      <c r="H223" t="s">
        <v>651</v>
      </c>
      <c r="I223" t="s">
        <v>672</v>
      </c>
      <c r="J223" t="s">
        <v>1061</v>
      </c>
      <c r="K223">
        <v>5</v>
      </c>
      <c r="L223" s="3">
        <v>1163.99</v>
      </c>
      <c r="M223" s="3">
        <v>1617.85</v>
      </c>
      <c r="N223" s="3" t="str">
        <f>IF(Table1_1[[#This Row],[UnitPrice]]&lt;=816.08,"low",IF(Table1_1[[#This Row],[UnitPrice]]&lt;=1640.06,"medium","high"))</f>
        <v>medium</v>
      </c>
      <c r="O223" s="4">
        <v>0.127</v>
      </c>
      <c r="P223" s="3">
        <v>7061.91525</v>
      </c>
      <c r="Q223" s="3">
        <v>5819.95</v>
      </c>
      <c r="R223" s="4">
        <v>0.175868047977495</v>
      </c>
      <c r="S223" t="s">
        <v>657</v>
      </c>
      <c r="T223" s="3">
        <v>1241.9652500000002</v>
      </c>
      <c r="U223" t="s">
        <v>1436</v>
      </c>
      <c r="V223" s="13" t="str">
        <f>TEXT(Table1_1[[#This Row],[OrderDate]],"MM YYYY")</f>
        <v>05 2024</v>
      </c>
      <c r="W223" s="11" t="str">
        <f>TEXT(Table1_1[[#This Row],[OrderDate]],"MM")</f>
        <v>05</v>
      </c>
      <c r="X223" s="11"/>
    </row>
    <row r="224" spans="1:24" x14ac:dyDescent="0.25">
      <c r="A224" t="s">
        <v>381</v>
      </c>
      <c r="B224" s="2">
        <v>44962</v>
      </c>
      <c r="C224" s="2">
        <v>44985</v>
      </c>
      <c r="D224" t="s">
        <v>1413</v>
      </c>
      <c r="E224" s="10">
        <v>23</v>
      </c>
      <c r="F224" t="s">
        <v>1420</v>
      </c>
      <c r="G224" t="s">
        <v>644</v>
      </c>
      <c r="H224" t="s">
        <v>651</v>
      </c>
      <c r="I224" t="s">
        <v>671</v>
      </c>
      <c r="J224" t="s">
        <v>1046</v>
      </c>
      <c r="K224">
        <v>10</v>
      </c>
      <c r="L224" s="3">
        <v>1214.49</v>
      </c>
      <c r="M224" s="3">
        <v>1533.95</v>
      </c>
      <c r="N224" s="3" t="str">
        <f>IF(Table1_1[[#This Row],[UnitPrice]]&lt;=816.08,"low",IF(Table1_1[[#This Row],[UnitPrice]]&lt;=1640.06,"medium","high"))</f>
        <v>medium</v>
      </c>
      <c r="O224" s="4">
        <v>0</v>
      </c>
      <c r="P224" s="3">
        <v>15339.5</v>
      </c>
      <c r="Q224" s="3">
        <v>12144.9</v>
      </c>
      <c r="R224" s="4">
        <v>0.208259721633691</v>
      </c>
      <c r="S224" t="s">
        <v>657</v>
      </c>
      <c r="T224" s="3">
        <v>3194.6000000000004</v>
      </c>
      <c r="U224" t="s">
        <v>1432</v>
      </c>
      <c r="V224" s="13" t="str">
        <f>TEXT(Table1_1[[#This Row],[OrderDate]],"MM YYYY")</f>
        <v>02 2023</v>
      </c>
      <c r="W224" s="11" t="str">
        <f>TEXT(Table1_1[[#This Row],[OrderDate]],"MM")</f>
        <v>02</v>
      </c>
      <c r="X224" s="11"/>
    </row>
    <row r="225" spans="1:24" x14ac:dyDescent="0.25">
      <c r="A225" t="s">
        <v>150</v>
      </c>
      <c r="B225" s="2">
        <v>45336</v>
      </c>
      <c r="C225" s="2">
        <v>45336</v>
      </c>
      <c r="D225" t="s">
        <v>1413</v>
      </c>
      <c r="E225" s="10">
        <v>0</v>
      </c>
      <c r="F225" t="s">
        <v>1411</v>
      </c>
      <c r="G225" t="s">
        <v>642</v>
      </c>
      <c r="H225" t="s">
        <v>651</v>
      </c>
      <c r="I225" t="s">
        <v>674</v>
      </c>
      <c r="J225" t="s">
        <v>814</v>
      </c>
      <c r="K225">
        <v>24</v>
      </c>
      <c r="L225" s="3">
        <v>65.930000000000007</v>
      </c>
      <c r="M225" s="3">
        <v>84.9</v>
      </c>
      <c r="N225" s="3" t="str">
        <f>IF(Table1_1[[#This Row],[UnitPrice]]&lt;=816.08,"low",IF(Table1_1[[#This Row],[UnitPrice]]&lt;=1640.06,"medium","high"))</f>
        <v>low</v>
      </c>
      <c r="O225" s="4">
        <v>0.25900000000000001</v>
      </c>
      <c r="P225" s="3">
        <v>1509.8616000000002</v>
      </c>
      <c r="Q225" s="3">
        <v>1582.3200000000002</v>
      </c>
      <c r="R225" s="4">
        <v>-4.7990093926489702E-2</v>
      </c>
      <c r="S225" t="s">
        <v>657</v>
      </c>
      <c r="T225" s="3">
        <v>-72.458399999999983</v>
      </c>
      <c r="U225" t="s">
        <v>1433</v>
      </c>
      <c r="V225" s="13" t="str">
        <f>TEXT(Table1_1[[#This Row],[OrderDate]],"MM YYYY")</f>
        <v>02 2024</v>
      </c>
      <c r="W225" s="11" t="str">
        <f>TEXT(Table1_1[[#This Row],[OrderDate]],"MM")</f>
        <v>02</v>
      </c>
      <c r="X225" s="11"/>
    </row>
    <row r="226" spans="1:24" x14ac:dyDescent="0.25">
      <c r="A226" t="s">
        <v>508</v>
      </c>
      <c r="B226" s="2">
        <v>45224</v>
      </c>
      <c r="C226" s="2">
        <v>45227</v>
      </c>
      <c r="D226" t="s">
        <v>1413</v>
      </c>
      <c r="E226" s="10">
        <v>3</v>
      </c>
      <c r="F226" t="s">
        <v>1416</v>
      </c>
      <c r="G226" t="s">
        <v>642</v>
      </c>
      <c r="H226" t="s">
        <v>651</v>
      </c>
      <c r="I226" t="s">
        <v>674</v>
      </c>
      <c r="J226" t="s">
        <v>1172</v>
      </c>
      <c r="K226">
        <v>15</v>
      </c>
      <c r="L226" s="3">
        <v>509.31</v>
      </c>
      <c r="M226" s="3">
        <v>1145.9000000000001</v>
      </c>
      <c r="N226" s="3" t="str">
        <f>IF(Table1_1[[#This Row],[UnitPrice]]&lt;=816.08,"low",IF(Table1_1[[#This Row],[UnitPrice]]&lt;=1640.06,"medium","high"))</f>
        <v>medium</v>
      </c>
      <c r="O226" s="4">
        <v>5.7000000000000002E-2</v>
      </c>
      <c r="P226" s="3">
        <v>16208.755499999999</v>
      </c>
      <c r="Q226" s="3">
        <v>7639.65</v>
      </c>
      <c r="R226" s="4">
        <v>0.52867140231709997</v>
      </c>
      <c r="S226" t="s">
        <v>657</v>
      </c>
      <c r="T226" s="3">
        <v>8569.1054999999997</v>
      </c>
      <c r="U226" t="s">
        <v>1439</v>
      </c>
      <c r="V226" s="13" t="str">
        <f>TEXT(Table1_1[[#This Row],[OrderDate]],"MM YYYY")</f>
        <v>10 2023</v>
      </c>
      <c r="W226" s="11" t="str">
        <f>TEXT(Table1_1[[#This Row],[OrderDate]],"MM")</f>
        <v>10</v>
      </c>
      <c r="X226" s="11"/>
    </row>
    <row r="227" spans="1:24" x14ac:dyDescent="0.25">
      <c r="A227" t="s">
        <v>369</v>
      </c>
      <c r="B227" s="2">
        <v>45309</v>
      </c>
      <c r="C227" s="2">
        <v>45325</v>
      </c>
      <c r="D227" t="s">
        <v>1413</v>
      </c>
      <c r="E227" s="10">
        <v>16</v>
      </c>
      <c r="F227" t="s">
        <v>1408</v>
      </c>
      <c r="G227" t="s">
        <v>644</v>
      </c>
      <c r="H227" t="s">
        <v>651</v>
      </c>
      <c r="I227" t="s">
        <v>669</v>
      </c>
      <c r="J227" t="s">
        <v>1034</v>
      </c>
      <c r="K227">
        <v>10</v>
      </c>
      <c r="L227" s="3">
        <v>666.23</v>
      </c>
      <c r="M227" s="3">
        <v>1382.91</v>
      </c>
      <c r="N227" s="3" t="str">
        <f>IF(Table1_1[[#This Row],[UnitPrice]]&lt;=816.08,"low",IF(Table1_1[[#This Row],[UnitPrice]]&lt;=1640.06,"medium","high"))</f>
        <v>medium</v>
      </c>
      <c r="O227" s="4">
        <v>0.17599999999999999</v>
      </c>
      <c r="P227" s="3">
        <v>11395.178400000001</v>
      </c>
      <c r="Q227" s="3">
        <v>6662.3</v>
      </c>
      <c r="R227" s="4">
        <v>0.41534043907552998</v>
      </c>
      <c r="S227" t="s">
        <v>657</v>
      </c>
      <c r="T227" s="3">
        <v>4732.8784000000005</v>
      </c>
      <c r="U227" t="s">
        <v>1433</v>
      </c>
      <c r="V227" s="13" t="str">
        <f>TEXT(Table1_1[[#This Row],[OrderDate]],"MM YYYY")</f>
        <v>01 2024</v>
      </c>
      <c r="W227" s="11" t="str">
        <f>TEXT(Table1_1[[#This Row],[OrderDate]],"MM")</f>
        <v>01</v>
      </c>
      <c r="X227" s="11"/>
    </row>
    <row r="228" spans="1:24" x14ac:dyDescent="0.25">
      <c r="A228" t="s">
        <v>547</v>
      </c>
      <c r="B228" s="2">
        <v>45520</v>
      </c>
      <c r="C228" s="2">
        <v>45530</v>
      </c>
      <c r="D228" t="s">
        <v>1413</v>
      </c>
      <c r="E228" s="10">
        <v>10</v>
      </c>
      <c r="F228" t="s">
        <v>1422</v>
      </c>
      <c r="G228" t="s">
        <v>642</v>
      </c>
      <c r="H228" t="s">
        <v>651</v>
      </c>
      <c r="I228" t="s">
        <v>672</v>
      </c>
      <c r="J228" t="s">
        <v>1062</v>
      </c>
      <c r="K228">
        <v>13</v>
      </c>
      <c r="L228" s="3">
        <v>1291.7</v>
      </c>
      <c r="M228" s="3">
        <v>2657.84</v>
      </c>
      <c r="N228" s="3" t="str">
        <f>IF(Table1_1[[#This Row],[UnitPrice]]&lt;=816.08,"low",IF(Table1_1[[#This Row],[UnitPrice]]&lt;=1640.06,"medium","high"))</f>
        <v>high</v>
      </c>
      <c r="O228" s="4">
        <v>8.6999999999999994E-2</v>
      </c>
      <c r="P228" s="3">
        <v>31545.902959999999</v>
      </c>
      <c r="Q228" s="3">
        <v>16792.100000000002</v>
      </c>
      <c r="R228" s="4">
        <v>0.46769315745083401</v>
      </c>
      <c r="S228" t="s">
        <v>657</v>
      </c>
      <c r="T228" s="3">
        <v>14753.802959999997</v>
      </c>
      <c r="U228" t="s">
        <v>1437</v>
      </c>
      <c r="V228" s="13" t="str">
        <f>TEXT(Table1_1[[#This Row],[OrderDate]],"MM YYYY")</f>
        <v>08 2024</v>
      </c>
      <c r="W228" s="11" t="str">
        <f>TEXT(Table1_1[[#This Row],[OrderDate]],"MM")</f>
        <v>08</v>
      </c>
      <c r="X228" s="11"/>
    </row>
    <row r="229" spans="1:24" x14ac:dyDescent="0.25">
      <c r="A229" t="s">
        <v>522</v>
      </c>
      <c r="B229" s="2">
        <v>45575</v>
      </c>
      <c r="C229" s="2">
        <v>45576</v>
      </c>
      <c r="D229" t="s">
        <v>1413</v>
      </c>
      <c r="E229" s="10">
        <v>1</v>
      </c>
      <c r="F229" t="s">
        <v>1406</v>
      </c>
      <c r="G229" t="s">
        <v>644</v>
      </c>
      <c r="H229" t="s">
        <v>651</v>
      </c>
      <c r="I229" t="s">
        <v>668</v>
      </c>
      <c r="J229" t="s">
        <v>1186</v>
      </c>
      <c r="K229">
        <v>4</v>
      </c>
      <c r="L229" s="3">
        <v>1389.46</v>
      </c>
      <c r="M229" s="3">
        <v>1784.7</v>
      </c>
      <c r="N229" s="3" t="str">
        <f>IF(Table1_1[[#This Row],[UnitPrice]]&lt;=816.08,"low",IF(Table1_1[[#This Row],[UnitPrice]]&lt;=1640.06,"medium","high"))</f>
        <v>high</v>
      </c>
      <c r="O229" s="4">
        <v>0.14599999999999999</v>
      </c>
      <c r="P229" s="3">
        <v>6096.5352000000003</v>
      </c>
      <c r="Q229" s="3">
        <v>5557.84</v>
      </c>
      <c r="R229" s="4">
        <v>8.83608775030119E-2</v>
      </c>
      <c r="S229" t="s">
        <v>657</v>
      </c>
      <c r="T229" s="3">
        <v>538.69520000000011</v>
      </c>
      <c r="U229" t="s">
        <v>1440</v>
      </c>
      <c r="V229" s="13" t="str">
        <f>TEXT(Table1_1[[#This Row],[OrderDate]],"MM YYYY")</f>
        <v>10 2024</v>
      </c>
      <c r="W229" s="11" t="str">
        <f>TEXT(Table1_1[[#This Row],[OrderDate]],"MM")</f>
        <v>10</v>
      </c>
      <c r="X229" s="11"/>
    </row>
    <row r="230" spans="1:24" x14ac:dyDescent="0.25">
      <c r="A230" t="s">
        <v>193</v>
      </c>
      <c r="B230" s="2">
        <v>45690</v>
      </c>
      <c r="C230" s="2">
        <v>45720</v>
      </c>
      <c r="D230" t="s">
        <v>1413</v>
      </c>
      <c r="E230" s="10">
        <v>30</v>
      </c>
      <c r="F230" t="s">
        <v>1387</v>
      </c>
      <c r="G230" t="s">
        <v>643</v>
      </c>
      <c r="H230" t="s">
        <v>651</v>
      </c>
      <c r="I230" t="s">
        <v>674</v>
      </c>
      <c r="J230" t="s">
        <v>857</v>
      </c>
      <c r="K230">
        <v>13</v>
      </c>
      <c r="L230" s="3">
        <v>766.59</v>
      </c>
      <c r="M230" s="3">
        <v>1912.8</v>
      </c>
      <c r="N230" s="3" t="str">
        <f>IF(Table1_1[[#This Row],[UnitPrice]]&lt;=816.08,"low",IF(Table1_1[[#This Row],[UnitPrice]]&lt;=1640.06,"medium","high"))</f>
        <v>high</v>
      </c>
      <c r="O230" s="4">
        <v>0.19600000000000001</v>
      </c>
      <c r="P230" s="3">
        <v>19992.585599999999</v>
      </c>
      <c r="Q230" s="3">
        <v>9965.67</v>
      </c>
      <c r="R230" s="4">
        <v>0.501531707834728</v>
      </c>
      <c r="S230" t="s">
        <v>657</v>
      </c>
      <c r="T230" s="3">
        <v>10026.915599999998</v>
      </c>
      <c r="U230" t="s">
        <v>1434</v>
      </c>
      <c r="V230" s="13" t="str">
        <f>TEXT(Table1_1[[#This Row],[OrderDate]],"MM YYYY")</f>
        <v>02 2025</v>
      </c>
      <c r="W230" s="11" t="str">
        <f>TEXT(Table1_1[[#This Row],[OrderDate]],"MM")</f>
        <v>02</v>
      </c>
      <c r="X230" s="11"/>
    </row>
    <row r="231" spans="1:24" x14ac:dyDescent="0.25">
      <c r="A231" t="s">
        <v>595</v>
      </c>
      <c r="B231" s="2">
        <v>45764</v>
      </c>
      <c r="C231" s="2">
        <v>45764</v>
      </c>
      <c r="D231" t="s">
        <v>1413</v>
      </c>
      <c r="E231" s="10">
        <v>0</v>
      </c>
      <c r="F231" t="s">
        <v>1417</v>
      </c>
      <c r="G231" t="s">
        <v>642</v>
      </c>
      <c r="H231" t="s">
        <v>651</v>
      </c>
      <c r="I231" t="s">
        <v>671</v>
      </c>
      <c r="J231" t="s">
        <v>1258</v>
      </c>
      <c r="K231">
        <v>10</v>
      </c>
      <c r="L231" s="3">
        <v>719.41</v>
      </c>
      <c r="M231" s="3">
        <v>1125.99</v>
      </c>
      <c r="N231" s="3" t="str">
        <f>IF(Table1_1[[#This Row],[UnitPrice]]&lt;=816.08,"low",IF(Table1_1[[#This Row],[UnitPrice]]&lt;=1640.06,"medium","high"))</f>
        <v>medium</v>
      </c>
      <c r="O231" s="4">
        <v>4.1000000000000002E-2</v>
      </c>
      <c r="P231" s="3">
        <v>10798.2441</v>
      </c>
      <c r="Q231" s="3">
        <v>7194.0999999999995</v>
      </c>
      <c r="R231" s="4">
        <v>0.33377131194876403</v>
      </c>
      <c r="S231" t="s">
        <v>657</v>
      </c>
      <c r="T231" s="3">
        <v>3604.1441000000004</v>
      </c>
      <c r="U231" t="s">
        <v>1431</v>
      </c>
      <c r="V231" s="13" t="str">
        <f>TEXT(Table1_1[[#This Row],[OrderDate]],"MM YYYY")</f>
        <v>04 2025</v>
      </c>
      <c r="W231" s="11" t="str">
        <f>TEXT(Table1_1[[#This Row],[OrderDate]],"MM")</f>
        <v>04</v>
      </c>
      <c r="X231" s="11"/>
    </row>
    <row r="232" spans="1:24" x14ac:dyDescent="0.25">
      <c r="A232" t="s">
        <v>318</v>
      </c>
      <c r="B232" s="2">
        <v>45679</v>
      </c>
      <c r="C232" s="2">
        <v>45692</v>
      </c>
      <c r="D232" t="s">
        <v>1413</v>
      </c>
      <c r="E232" s="10">
        <v>13</v>
      </c>
      <c r="F232" t="s">
        <v>1403</v>
      </c>
      <c r="G232" t="s">
        <v>646</v>
      </c>
      <c r="H232" t="s">
        <v>651</v>
      </c>
      <c r="I232" t="s">
        <v>669</v>
      </c>
      <c r="J232" t="s">
        <v>983</v>
      </c>
      <c r="K232">
        <v>16</v>
      </c>
      <c r="L232" s="3">
        <v>122.29</v>
      </c>
      <c r="M232" s="3">
        <v>224.95</v>
      </c>
      <c r="N232" s="3" t="str">
        <f>IF(Table1_1[[#This Row],[UnitPrice]]&lt;=816.08,"low",IF(Table1_1[[#This Row],[UnitPrice]]&lt;=1640.06,"medium","high"))</f>
        <v>low</v>
      </c>
      <c r="O232" s="4">
        <v>0.153</v>
      </c>
      <c r="P232" s="3">
        <v>3048.5223999999998</v>
      </c>
      <c r="Q232" s="3">
        <v>1956.64</v>
      </c>
      <c r="R232" s="4">
        <v>0.35816774710266203</v>
      </c>
      <c r="S232" t="s">
        <v>657</v>
      </c>
      <c r="T232" s="3">
        <v>1091.8823999999997</v>
      </c>
      <c r="U232" t="s">
        <v>1434</v>
      </c>
      <c r="V232" s="13" t="str">
        <f>TEXT(Table1_1[[#This Row],[OrderDate]],"MM YYYY")</f>
        <v>01 2025</v>
      </c>
      <c r="W232" s="11" t="str">
        <f>TEXT(Table1_1[[#This Row],[OrderDate]],"MM")</f>
        <v>01</v>
      </c>
      <c r="X232" s="11"/>
    </row>
    <row r="233" spans="1:24" x14ac:dyDescent="0.25">
      <c r="A233" t="s">
        <v>154</v>
      </c>
      <c r="B233" s="2">
        <v>45458</v>
      </c>
      <c r="C233" s="2">
        <v>45479</v>
      </c>
      <c r="D233" t="s">
        <v>1413</v>
      </c>
      <c r="E233" s="10">
        <v>21</v>
      </c>
      <c r="F233" t="s">
        <v>1414</v>
      </c>
      <c r="G233" t="s">
        <v>647</v>
      </c>
      <c r="H233" t="s">
        <v>651</v>
      </c>
      <c r="I233" t="s">
        <v>669</v>
      </c>
      <c r="J233" t="s">
        <v>818</v>
      </c>
      <c r="K233">
        <v>7</v>
      </c>
      <c r="L233" s="3">
        <v>817.23</v>
      </c>
      <c r="M233" s="3">
        <v>1467.17</v>
      </c>
      <c r="N233" s="3" t="str">
        <f>IF(Table1_1[[#This Row],[UnitPrice]]&lt;=816.08,"low",IF(Table1_1[[#This Row],[UnitPrice]]&lt;=1640.06,"medium","high"))</f>
        <v>medium</v>
      </c>
      <c r="O233" s="4">
        <v>0.245</v>
      </c>
      <c r="P233" s="3">
        <v>7753.9934500000008</v>
      </c>
      <c r="Q233" s="3">
        <v>5720.6100000000006</v>
      </c>
      <c r="R233" s="4">
        <v>0.26223693160328898</v>
      </c>
      <c r="S233" t="s">
        <v>657</v>
      </c>
      <c r="T233" s="3">
        <v>2033.3834500000003</v>
      </c>
      <c r="U233" t="s">
        <v>1436</v>
      </c>
      <c r="V233" s="13" t="str">
        <f>TEXT(Table1_1[[#This Row],[OrderDate]],"MM YYYY")</f>
        <v>06 2024</v>
      </c>
      <c r="W233" s="11" t="str">
        <f>TEXT(Table1_1[[#This Row],[OrderDate]],"MM")</f>
        <v>06</v>
      </c>
      <c r="X233" s="11"/>
    </row>
    <row r="234" spans="1:24" x14ac:dyDescent="0.25">
      <c r="A234" t="s">
        <v>450</v>
      </c>
      <c r="B234" s="2">
        <v>45063</v>
      </c>
      <c r="C234" s="2">
        <v>45080</v>
      </c>
      <c r="D234" t="s">
        <v>1413</v>
      </c>
      <c r="E234" s="10">
        <v>17</v>
      </c>
      <c r="F234" t="s">
        <v>1411</v>
      </c>
      <c r="G234" t="s">
        <v>644</v>
      </c>
      <c r="H234" t="s">
        <v>651</v>
      </c>
      <c r="I234" t="s">
        <v>669</v>
      </c>
      <c r="J234" t="s">
        <v>1114</v>
      </c>
      <c r="K234">
        <v>10</v>
      </c>
      <c r="L234" s="3">
        <v>979.59</v>
      </c>
      <c r="M234" s="3">
        <v>2210.94</v>
      </c>
      <c r="N234" s="3" t="str">
        <f>IF(Table1_1[[#This Row],[UnitPrice]]&lt;=816.08,"low",IF(Table1_1[[#This Row],[UnitPrice]]&lt;=1640.06,"medium","high"))</f>
        <v>high</v>
      </c>
      <c r="O234" s="4">
        <v>0.15</v>
      </c>
      <c r="P234" s="3">
        <v>18792.990000000002</v>
      </c>
      <c r="Q234" s="3">
        <v>9795.9</v>
      </c>
      <c r="R234" s="4">
        <v>0.47874712858358398</v>
      </c>
      <c r="S234" t="s">
        <v>665</v>
      </c>
      <c r="T234" s="3">
        <v>8997.090000000002</v>
      </c>
      <c r="U234" t="s">
        <v>1435</v>
      </c>
      <c r="V234" s="13" t="str">
        <f>TEXT(Table1_1[[#This Row],[OrderDate]],"MM YYYY")</f>
        <v>05 2023</v>
      </c>
      <c r="W234" s="11" t="str">
        <f>TEXT(Table1_1[[#This Row],[OrderDate]],"MM")</f>
        <v>05</v>
      </c>
      <c r="X234" s="11"/>
    </row>
    <row r="235" spans="1:24" x14ac:dyDescent="0.25">
      <c r="A235" t="s">
        <v>171</v>
      </c>
      <c r="B235" s="2">
        <v>44977</v>
      </c>
      <c r="C235" s="2">
        <v>44989</v>
      </c>
      <c r="D235" t="s">
        <v>1413</v>
      </c>
      <c r="E235" s="10">
        <v>12</v>
      </c>
      <c r="F235" t="s">
        <v>1397</v>
      </c>
      <c r="G235" t="s">
        <v>645</v>
      </c>
      <c r="H235" t="s">
        <v>651</v>
      </c>
      <c r="I235" t="s">
        <v>673</v>
      </c>
      <c r="J235" t="s">
        <v>835</v>
      </c>
      <c r="K235">
        <v>16</v>
      </c>
      <c r="L235" s="3">
        <v>299.75</v>
      </c>
      <c r="M235" s="3">
        <v>523.01</v>
      </c>
      <c r="N235" s="3" t="str">
        <f>IF(Table1_1[[#This Row],[UnitPrice]]&lt;=816.08,"low",IF(Table1_1[[#This Row],[UnitPrice]]&lt;=1640.06,"medium","high"))</f>
        <v>low</v>
      </c>
      <c r="O235" s="4">
        <v>0.157</v>
      </c>
      <c r="P235" s="3">
        <v>7054.3588799999998</v>
      </c>
      <c r="Q235" s="3">
        <v>4796</v>
      </c>
      <c r="R235" s="4">
        <v>0.32013665854210099</v>
      </c>
      <c r="S235" t="s">
        <v>665</v>
      </c>
      <c r="T235" s="3">
        <v>2258.3588799999998</v>
      </c>
      <c r="U235" t="s">
        <v>1432</v>
      </c>
      <c r="V235" s="13" t="str">
        <f>TEXT(Table1_1[[#This Row],[OrderDate]],"MM YYYY")</f>
        <v>02 2023</v>
      </c>
      <c r="W235" s="11" t="str">
        <f>TEXT(Table1_1[[#This Row],[OrderDate]],"MM")</f>
        <v>02</v>
      </c>
      <c r="X235" s="11"/>
    </row>
    <row r="236" spans="1:24" x14ac:dyDescent="0.25">
      <c r="A236" t="s">
        <v>102</v>
      </c>
      <c r="B236" s="2">
        <v>45817</v>
      </c>
      <c r="C236" s="2">
        <v>45833</v>
      </c>
      <c r="D236" t="s">
        <v>1413</v>
      </c>
      <c r="E236" s="10">
        <v>16</v>
      </c>
      <c r="F236" t="s">
        <v>1409</v>
      </c>
      <c r="G236" t="s">
        <v>647</v>
      </c>
      <c r="H236" t="s">
        <v>651</v>
      </c>
      <c r="I236" t="s">
        <v>671</v>
      </c>
      <c r="J236" t="s">
        <v>766</v>
      </c>
      <c r="K236">
        <v>10</v>
      </c>
      <c r="L236" s="3">
        <v>527.33000000000004</v>
      </c>
      <c r="M236" s="3">
        <v>911.72</v>
      </c>
      <c r="N236" s="3" t="str">
        <f>IF(Table1_1[[#This Row],[UnitPrice]]&lt;=816.08,"low",IF(Table1_1[[#This Row],[UnitPrice]]&lt;=1640.06,"medium","high"))</f>
        <v>medium</v>
      </c>
      <c r="O236" s="4">
        <v>0.14399999999999999</v>
      </c>
      <c r="P236" s="3">
        <v>7804.3232000000007</v>
      </c>
      <c r="Q236" s="3">
        <v>5273.3</v>
      </c>
      <c r="R236" s="4">
        <v>0.32431040272653</v>
      </c>
      <c r="S236" t="s">
        <v>665</v>
      </c>
      <c r="T236" s="3">
        <v>2531.0232000000005</v>
      </c>
      <c r="U236" t="s">
        <v>1431</v>
      </c>
      <c r="V236" s="13" t="str">
        <f>TEXT(Table1_1[[#This Row],[OrderDate]],"MM YYYY")</f>
        <v>06 2025</v>
      </c>
      <c r="W236" s="11" t="str">
        <f>TEXT(Table1_1[[#This Row],[OrderDate]],"MM")</f>
        <v>06</v>
      </c>
      <c r="X236" s="11"/>
    </row>
    <row r="237" spans="1:24" x14ac:dyDescent="0.25">
      <c r="A237" t="s">
        <v>556</v>
      </c>
      <c r="B237" s="2">
        <v>45355</v>
      </c>
      <c r="C237" s="2">
        <v>45367</v>
      </c>
      <c r="D237" t="s">
        <v>1413</v>
      </c>
      <c r="E237" s="10">
        <v>12</v>
      </c>
      <c r="F237" t="s">
        <v>1398</v>
      </c>
      <c r="G237" t="s">
        <v>647</v>
      </c>
      <c r="H237" t="s">
        <v>651</v>
      </c>
      <c r="I237" t="s">
        <v>673</v>
      </c>
      <c r="J237" t="s">
        <v>1219</v>
      </c>
      <c r="K237">
        <v>13</v>
      </c>
      <c r="L237" s="3">
        <v>441.08</v>
      </c>
      <c r="M237" s="3">
        <v>1054.29</v>
      </c>
      <c r="N237" s="3" t="str">
        <f>IF(Table1_1[[#This Row],[UnitPrice]]&lt;=816.08,"low",IF(Table1_1[[#This Row],[UnitPrice]]&lt;=1640.06,"medium","high"))</f>
        <v>medium</v>
      </c>
      <c r="O237" s="4">
        <v>0.23699999999999999</v>
      </c>
      <c r="P237" s="3">
        <v>10457.50251</v>
      </c>
      <c r="Q237" s="3">
        <v>5734.04</v>
      </c>
      <c r="R237" s="4">
        <v>0.45168169985932899</v>
      </c>
      <c r="S237" t="s">
        <v>665</v>
      </c>
      <c r="T237" s="3">
        <v>4723.4625100000003</v>
      </c>
      <c r="U237" t="s">
        <v>1433</v>
      </c>
      <c r="V237" s="13" t="str">
        <f>TEXT(Table1_1[[#This Row],[OrderDate]],"MM YYYY")</f>
        <v>03 2024</v>
      </c>
      <c r="W237" s="11" t="str">
        <f>TEXT(Table1_1[[#This Row],[OrderDate]],"MM")</f>
        <v>03</v>
      </c>
      <c r="X237" s="11"/>
    </row>
    <row r="238" spans="1:24" x14ac:dyDescent="0.25">
      <c r="A238" t="s">
        <v>350</v>
      </c>
      <c r="B238" s="2">
        <v>45131</v>
      </c>
      <c r="C238" s="2">
        <v>45157</v>
      </c>
      <c r="D238" t="s">
        <v>1413</v>
      </c>
      <c r="E238" s="10">
        <v>26</v>
      </c>
      <c r="F238" t="s">
        <v>1385</v>
      </c>
      <c r="G238" t="s">
        <v>647</v>
      </c>
      <c r="H238" t="s">
        <v>651</v>
      </c>
      <c r="I238" t="s">
        <v>674</v>
      </c>
      <c r="J238" t="s">
        <v>1015</v>
      </c>
      <c r="K238">
        <v>24</v>
      </c>
      <c r="L238" s="3">
        <v>661.45</v>
      </c>
      <c r="M238" s="3">
        <v>1634.86</v>
      </c>
      <c r="N238" s="3" t="str">
        <f>IF(Table1_1[[#This Row],[UnitPrice]]&lt;=816.08,"low",IF(Table1_1[[#This Row],[UnitPrice]]&lt;=1640.06,"medium","high"))</f>
        <v>medium</v>
      </c>
      <c r="O238" s="4">
        <v>0.56499999999999995</v>
      </c>
      <c r="P238" s="3">
        <v>17067.938400000003</v>
      </c>
      <c r="Q238" s="3">
        <v>15874.800000000001</v>
      </c>
      <c r="R238" s="4">
        <v>6.9905244092045807E-2</v>
      </c>
      <c r="S238" t="s">
        <v>665</v>
      </c>
      <c r="T238" s="3">
        <v>1193.1384000000016</v>
      </c>
      <c r="U238" t="s">
        <v>1430</v>
      </c>
      <c r="V238" s="13" t="str">
        <f>TEXT(Table1_1[[#This Row],[OrderDate]],"MM YYYY")</f>
        <v>07 2023</v>
      </c>
      <c r="W238" s="11" t="str">
        <f>TEXT(Table1_1[[#This Row],[OrderDate]],"MM")</f>
        <v>07</v>
      </c>
      <c r="X238" s="11"/>
    </row>
    <row r="239" spans="1:24" x14ac:dyDescent="0.25">
      <c r="A239" t="s">
        <v>352</v>
      </c>
      <c r="B239" s="2">
        <v>45594</v>
      </c>
      <c r="C239" s="2">
        <v>45600</v>
      </c>
      <c r="D239" t="s">
        <v>1413</v>
      </c>
      <c r="E239" s="10">
        <v>6</v>
      </c>
      <c r="F239" t="s">
        <v>1385</v>
      </c>
      <c r="G239" t="s">
        <v>642</v>
      </c>
      <c r="H239" t="s">
        <v>651</v>
      </c>
      <c r="I239" t="s">
        <v>669</v>
      </c>
      <c r="J239" t="s">
        <v>1017</v>
      </c>
      <c r="K239">
        <v>61</v>
      </c>
      <c r="L239" s="3">
        <v>805.81</v>
      </c>
      <c r="M239" s="3">
        <v>1823.04</v>
      </c>
      <c r="N239" s="3" t="str">
        <f>IF(Table1_1[[#This Row],[UnitPrice]]&lt;=816.08,"low",IF(Table1_1[[#This Row],[UnitPrice]]&lt;=1640.06,"medium","high"))</f>
        <v>high</v>
      </c>
      <c r="O239" s="4">
        <v>0</v>
      </c>
      <c r="P239" s="3">
        <v>111205.44</v>
      </c>
      <c r="Q239" s="3">
        <v>49154.409999999996</v>
      </c>
      <c r="R239" s="4">
        <v>0.55798556257679499</v>
      </c>
      <c r="S239" t="s">
        <v>665</v>
      </c>
      <c r="T239" s="3">
        <v>62051.030000000006</v>
      </c>
      <c r="U239" t="s">
        <v>1440</v>
      </c>
      <c r="V239" s="13" t="str">
        <f>TEXT(Table1_1[[#This Row],[OrderDate]],"MM YYYY")</f>
        <v>10 2024</v>
      </c>
      <c r="W239" s="11" t="str">
        <f>TEXT(Table1_1[[#This Row],[OrderDate]],"MM")</f>
        <v>10</v>
      </c>
      <c r="X239" s="11"/>
    </row>
    <row r="240" spans="1:24" x14ac:dyDescent="0.25">
      <c r="A240" t="s">
        <v>195</v>
      </c>
      <c r="B240" s="2">
        <v>45587</v>
      </c>
      <c r="C240" s="2">
        <v>45594</v>
      </c>
      <c r="D240" t="s">
        <v>1413</v>
      </c>
      <c r="E240" s="10">
        <v>7</v>
      </c>
      <c r="F240" t="s">
        <v>1384</v>
      </c>
      <c r="G240" t="s">
        <v>647</v>
      </c>
      <c r="H240" t="s">
        <v>651</v>
      </c>
      <c r="I240" t="s">
        <v>673</v>
      </c>
      <c r="J240" t="s">
        <v>859</v>
      </c>
      <c r="K240">
        <v>10</v>
      </c>
      <c r="L240" s="3">
        <v>1023.06</v>
      </c>
      <c r="M240" s="3">
        <v>1355.61</v>
      </c>
      <c r="N240" s="3" t="str">
        <f>IF(Table1_1[[#This Row],[UnitPrice]]&lt;=816.08,"low",IF(Table1_1[[#This Row],[UnitPrice]]&lt;=1640.06,"medium","high"))</f>
        <v>medium</v>
      </c>
      <c r="O240" s="4">
        <v>0.153</v>
      </c>
      <c r="P240" s="3">
        <v>11482.016699999998</v>
      </c>
      <c r="Q240" s="3">
        <v>10230.599999999999</v>
      </c>
      <c r="R240" s="4">
        <v>0.10898927711888801</v>
      </c>
      <c r="S240" t="s">
        <v>665</v>
      </c>
      <c r="T240" s="3">
        <v>1251.4166999999998</v>
      </c>
      <c r="U240" t="s">
        <v>1440</v>
      </c>
      <c r="V240" s="13" t="str">
        <f>TEXT(Table1_1[[#This Row],[OrderDate]],"MM YYYY")</f>
        <v>10 2024</v>
      </c>
      <c r="W240" s="11" t="str">
        <f>TEXT(Table1_1[[#This Row],[OrderDate]],"MM")</f>
        <v>10</v>
      </c>
      <c r="X240" s="11"/>
    </row>
    <row r="241" spans="1:24" x14ac:dyDescent="0.25">
      <c r="A241" t="s">
        <v>254</v>
      </c>
      <c r="B241" s="2">
        <v>45035</v>
      </c>
      <c r="C241" s="2">
        <v>45044</v>
      </c>
      <c r="D241" t="s">
        <v>1413</v>
      </c>
      <c r="E241" s="10">
        <v>9</v>
      </c>
      <c r="F241" t="s">
        <v>1421</v>
      </c>
      <c r="G241" t="s">
        <v>642</v>
      </c>
      <c r="H241" t="s">
        <v>651</v>
      </c>
      <c r="I241" t="s">
        <v>671</v>
      </c>
      <c r="J241" t="s">
        <v>919</v>
      </c>
      <c r="K241">
        <v>17</v>
      </c>
      <c r="L241" s="3">
        <v>1013.54</v>
      </c>
      <c r="M241" s="3">
        <v>927.93</v>
      </c>
      <c r="N241" s="3" t="str">
        <f>IF(Table1_1[[#This Row],[UnitPrice]]&lt;=816.08,"low",IF(Table1_1[[#This Row],[UnitPrice]]&lt;=1640.06,"medium","high"))</f>
        <v>medium</v>
      </c>
      <c r="O241" s="4">
        <v>0.17499999999999999</v>
      </c>
      <c r="P241" s="3">
        <v>13014.218249999998</v>
      </c>
      <c r="Q241" s="3">
        <v>17230.18</v>
      </c>
      <c r="R241" s="4">
        <v>-0.32395044166406201</v>
      </c>
      <c r="S241" t="s">
        <v>665</v>
      </c>
      <c r="T241" s="3">
        <v>-4215.9617500000022</v>
      </c>
      <c r="U241" t="s">
        <v>1435</v>
      </c>
      <c r="V241" s="13" t="str">
        <f>TEXT(Table1_1[[#This Row],[OrderDate]],"MM YYYY")</f>
        <v>04 2023</v>
      </c>
      <c r="W241" s="11" t="str">
        <f>TEXT(Table1_1[[#This Row],[OrderDate]],"MM")</f>
        <v>04</v>
      </c>
      <c r="X241" s="11"/>
    </row>
    <row r="242" spans="1:24" x14ac:dyDescent="0.25">
      <c r="A242" t="s">
        <v>275</v>
      </c>
      <c r="B242" s="2">
        <v>45902</v>
      </c>
      <c r="C242" s="2">
        <v>45911</v>
      </c>
      <c r="D242" t="s">
        <v>1413</v>
      </c>
      <c r="E242" s="10">
        <v>9</v>
      </c>
      <c r="F242" t="s">
        <v>1414</v>
      </c>
      <c r="G242" t="s">
        <v>642</v>
      </c>
      <c r="H242" t="s">
        <v>651</v>
      </c>
      <c r="I242" t="s">
        <v>669</v>
      </c>
      <c r="J242" t="s">
        <v>940</v>
      </c>
      <c r="K242">
        <v>8</v>
      </c>
      <c r="L242" s="3">
        <v>1207.6300000000001</v>
      </c>
      <c r="M242" s="3">
        <v>921.68</v>
      </c>
      <c r="N242" s="3" t="str">
        <f>IF(Table1_1[[#This Row],[UnitPrice]]&lt;=816.08,"low",IF(Table1_1[[#This Row],[UnitPrice]]&lt;=1640.06,"medium","high"))</f>
        <v>medium</v>
      </c>
      <c r="O242" s="4">
        <v>0.19600000000000001</v>
      </c>
      <c r="P242" s="3">
        <v>5928.2457599999998</v>
      </c>
      <c r="Q242" s="3">
        <v>9661.0400000000009</v>
      </c>
      <c r="R242" s="4">
        <v>-0.62966253274897999</v>
      </c>
      <c r="S242" t="s">
        <v>665</v>
      </c>
      <c r="T242" s="3">
        <v>-3732.7942400000011</v>
      </c>
      <c r="U242" t="s">
        <v>1438</v>
      </c>
      <c r="V242" s="13" t="str">
        <f>TEXT(Table1_1[[#This Row],[OrderDate]],"MM YYYY")</f>
        <v>09 2025</v>
      </c>
      <c r="W242" s="11" t="str">
        <f>TEXT(Table1_1[[#This Row],[OrderDate]],"MM")</f>
        <v>09</v>
      </c>
      <c r="X242" s="11"/>
    </row>
    <row r="243" spans="1:24" x14ac:dyDescent="0.25">
      <c r="A243" t="s">
        <v>273</v>
      </c>
      <c r="B243" s="2">
        <v>45829</v>
      </c>
      <c r="C243" s="2">
        <v>45835</v>
      </c>
      <c r="D243" t="s">
        <v>1413</v>
      </c>
      <c r="E243" s="10">
        <v>6</v>
      </c>
      <c r="F243" t="s">
        <v>1402</v>
      </c>
      <c r="G243" t="s">
        <v>647</v>
      </c>
      <c r="H243" t="s">
        <v>651</v>
      </c>
      <c r="I243" t="s">
        <v>671</v>
      </c>
      <c r="J243" t="s">
        <v>938</v>
      </c>
      <c r="K243">
        <v>8</v>
      </c>
      <c r="L243" s="3">
        <v>93.91</v>
      </c>
      <c r="M243" s="3">
        <v>99.04</v>
      </c>
      <c r="N243" s="3" t="str">
        <f>IF(Table1_1[[#This Row],[UnitPrice]]&lt;=816.08,"low",IF(Table1_1[[#This Row],[UnitPrice]]&lt;=1640.06,"medium","high"))</f>
        <v>low</v>
      </c>
      <c r="O243" s="4">
        <v>5.7000000000000002E-2</v>
      </c>
      <c r="P243" s="3">
        <v>747.15776000000005</v>
      </c>
      <c r="Q243" s="3">
        <v>751.28</v>
      </c>
      <c r="R243" s="4">
        <v>-5.5172283829320297E-3</v>
      </c>
      <c r="S243" t="s">
        <v>666</v>
      </c>
      <c r="T243" s="3">
        <v>-4.1222399999999197</v>
      </c>
      <c r="U243" t="s">
        <v>1431</v>
      </c>
      <c r="V243" s="13" t="str">
        <f>TEXT(Table1_1[[#This Row],[OrderDate]],"MM YYYY")</f>
        <v>06 2025</v>
      </c>
      <c r="W243" s="11" t="str">
        <f>TEXT(Table1_1[[#This Row],[OrderDate]],"MM")</f>
        <v>06</v>
      </c>
      <c r="X243" s="11"/>
    </row>
    <row r="244" spans="1:24" x14ac:dyDescent="0.25">
      <c r="A244" t="s">
        <v>554</v>
      </c>
      <c r="B244" s="2">
        <v>45108</v>
      </c>
      <c r="C244" s="2">
        <v>45115</v>
      </c>
      <c r="D244" t="s">
        <v>1413</v>
      </c>
      <c r="E244" s="10">
        <v>7</v>
      </c>
      <c r="F244" t="s">
        <v>1410</v>
      </c>
      <c r="G244" t="s">
        <v>646</v>
      </c>
      <c r="H244" t="s">
        <v>651</v>
      </c>
      <c r="I244" t="s">
        <v>672</v>
      </c>
      <c r="J244" t="s">
        <v>1217</v>
      </c>
      <c r="K244">
        <v>22</v>
      </c>
      <c r="L244" s="3">
        <v>460.21</v>
      </c>
      <c r="M244" s="3">
        <v>1139.1500000000001</v>
      </c>
      <c r="N244" s="3" t="str">
        <f>IF(Table1_1[[#This Row],[UnitPrice]]&lt;=816.08,"low",IF(Table1_1[[#This Row],[UnitPrice]]&lt;=1640.06,"medium","high"))</f>
        <v>medium</v>
      </c>
      <c r="O244" s="4">
        <v>0.115</v>
      </c>
      <c r="P244" s="3">
        <v>22179.250500000002</v>
      </c>
      <c r="Q244" s="3">
        <v>10124.619999999999</v>
      </c>
      <c r="R244" s="4">
        <v>0.54350937151821299</v>
      </c>
      <c r="S244" t="s">
        <v>666</v>
      </c>
      <c r="T244" s="3">
        <v>12054.630500000003</v>
      </c>
      <c r="U244" t="s">
        <v>1430</v>
      </c>
      <c r="V244" s="13" t="str">
        <f>TEXT(Table1_1[[#This Row],[OrderDate]],"MM YYYY")</f>
        <v>07 2023</v>
      </c>
      <c r="W244" s="11" t="str">
        <f>TEXT(Table1_1[[#This Row],[OrderDate]],"MM")</f>
        <v>07</v>
      </c>
      <c r="X244" s="11"/>
    </row>
    <row r="245" spans="1:24" x14ac:dyDescent="0.25">
      <c r="A245" t="s">
        <v>525</v>
      </c>
      <c r="B245" s="2">
        <v>45874</v>
      </c>
      <c r="C245" s="2">
        <v>45897</v>
      </c>
      <c r="D245" t="s">
        <v>1413</v>
      </c>
      <c r="E245" s="10">
        <v>23</v>
      </c>
      <c r="F245" t="s">
        <v>1405</v>
      </c>
      <c r="G245" t="s">
        <v>644</v>
      </c>
      <c r="H245" t="s">
        <v>651</v>
      </c>
      <c r="I245" t="s">
        <v>672</v>
      </c>
      <c r="J245" t="s">
        <v>1189</v>
      </c>
      <c r="K245">
        <v>8</v>
      </c>
      <c r="L245" s="3">
        <v>638.54</v>
      </c>
      <c r="M245" s="3">
        <v>987.24</v>
      </c>
      <c r="N245" s="3" t="str">
        <f>IF(Table1_1[[#This Row],[UnitPrice]]&lt;=816.08,"low",IF(Table1_1[[#This Row],[UnitPrice]]&lt;=1640.06,"medium","high"))</f>
        <v>medium</v>
      </c>
      <c r="O245" s="4">
        <v>0</v>
      </c>
      <c r="P245" s="3">
        <v>7897.92</v>
      </c>
      <c r="Q245" s="3">
        <v>5108.32</v>
      </c>
      <c r="R245" s="4">
        <v>0.353206920303067</v>
      </c>
      <c r="S245" t="s">
        <v>666</v>
      </c>
      <c r="T245" s="3">
        <v>2789.6000000000004</v>
      </c>
      <c r="U245" t="s">
        <v>1438</v>
      </c>
      <c r="V245" s="13" t="str">
        <f>TEXT(Table1_1[[#This Row],[OrderDate]],"MM YYYY")</f>
        <v>08 2025</v>
      </c>
      <c r="W245" s="11" t="str">
        <f>TEXT(Table1_1[[#This Row],[OrderDate]],"MM")</f>
        <v>08</v>
      </c>
      <c r="X245" s="11"/>
    </row>
    <row r="246" spans="1:24" x14ac:dyDescent="0.25">
      <c r="A246" t="s">
        <v>571</v>
      </c>
      <c r="B246" s="2">
        <v>45590</v>
      </c>
      <c r="C246" s="2">
        <v>45601</v>
      </c>
      <c r="D246" t="s">
        <v>1413</v>
      </c>
      <c r="E246" s="10">
        <v>11</v>
      </c>
      <c r="F246" t="s">
        <v>1428</v>
      </c>
      <c r="G246" t="s">
        <v>642</v>
      </c>
      <c r="H246" t="s">
        <v>651</v>
      </c>
      <c r="I246" t="s">
        <v>668</v>
      </c>
      <c r="J246" t="s">
        <v>1234</v>
      </c>
      <c r="K246">
        <v>16</v>
      </c>
      <c r="L246" s="3">
        <v>446.66</v>
      </c>
      <c r="M246" s="3">
        <v>527.64</v>
      </c>
      <c r="N246" s="3" t="str">
        <f>IF(Table1_1[[#This Row],[UnitPrice]]&lt;=816.08,"low",IF(Table1_1[[#This Row],[UnitPrice]]&lt;=1640.06,"medium","high"))</f>
        <v>low</v>
      </c>
      <c r="O246" s="4">
        <v>0.14499999999999999</v>
      </c>
      <c r="P246" s="3">
        <v>7218.1151999999993</v>
      </c>
      <c r="Q246" s="3">
        <v>7146.56</v>
      </c>
      <c r="R246" s="4">
        <v>9.9132804087137399E-3</v>
      </c>
      <c r="S246" t="s">
        <v>666</v>
      </c>
      <c r="T246" s="3">
        <v>71.555199999998877</v>
      </c>
      <c r="U246" t="s">
        <v>1440</v>
      </c>
      <c r="V246" s="13" t="str">
        <f>TEXT(Table1_1[[#This Row],[OrderDate]],"MM YYYY")</f>
        <v>10 2024</v>
      </c>
      <c r="W246" s="11" t="str">
        <f>TEXT(Table1_1[[#This Row],[OrderDate]],"MM")</f>
        <v>10</v>
      </c>
      <c r="X246" s="11"/>
    </row>
    <row r="247" spans="1:24" x14ac:dyDescent="0.25">
      <c r="A247" t="s">
        <v>641</v>
      </c>
      <c r="B247" s="2">
        <v>45716</v>
      </c>
      <c r="C247" s="2">
        <v>45726</v>
      </c>
      <c r="D247" t="s">
        <v>1413</v>
      </c>
      <c r="E247" s="10">
        <v>10</v>
      </c>
      <c r="F247" t="s">
        <v>1387</v>
      </c>
      <c r="G247" t="s">
        <v>643</v>
      </c>
      <c r="H247" t="s">
        <v>651</v>
      </c>
      <c r="I247" t="s">
        <v>672</v>
      </c>
      <c r="J247" t="s">
        <v>1304</v>
      </c>
      <c r="K247">
        <v>23</v>
      </c>
      <c r="L247" s="3">
        <v>51.86</v>
      </c>
      <c r="M247" s="3">
        <v>45.98</v>
      </c>
      <c r="N247" s="3" t="str">
        <f>IF(Table1_1[[#This Row],[UnitPrice]]&lt;=816.08,"low",IF(Table1_1[[#This Row],[UnitPrice]]&lt;=1640.06,"medium","high"))</f>
        <v>low</v>
      </c>
      <c r="O247" s="4">
        <v>0.17299999999999999</v>
      </c>
      <c r="P247" s="3">
        <v>874.58557999999994</v>
      </c>
      <c r="Q247" s="3">
        <v>1192.78</v>
      </c>
      <c r="R247" s="4">
        <v>-0.36382308064123398</v>
      </c>
      <c r="S247" t="s">
        <v>666</v>
      </c>
      <c r="T247" s="3">
        <v>-318.19442000000004</v>
      </c>
      <c r="U247" t="s">
        <v>1434</v>
      </c>
      <c r="V247" s="13" t="str">
        <f>TEXT(Table1_1[[#This Row],[OrderDate]],"MM YYYY")</f>
        <v>02 2025</v>
      </c>
      <c r="W247" s="11" t="str">
        <f>TEXT(Table1_1[[#This Row],[OrderDate]],"MM")</f>
        <v>02</v>
      </c>
      <c r="X247" s="11"/>
    </row>
    <row r="248" spans="1:24" x14ac:dyDescent="0.25">
      <c r="A248" t="s">
        <v>637</v>
      </c>
      <c r="B248" s="2">
        <v>45141</v>
      </c>
      <c r="C248" s="2">
        <v>45168</v>
      </c>
      <c r="D248" t="s">
        <v>1413</v>
      </c>
      <c r="E248" s="10">
        <v>27</v>
      </c>
      <c r="F248" t="s">
        <v>1401</v>
      </c>
      <c r="G248" t="s">
        <v>645</v>
      </c>
      <c r="H248" t="s">
        <v>651</v>
      </c>
      <c r="I248" t="s">
        <v>673</v>
      </c>
      <c r="J248" t="s">
        <v>1300</v>
      </c>
      <c r="K248">
        <v>6</v>
      </c>
      <c r="L248" s="3">
        <v>226.04</v>
      </c>
      <c r="M248" s="3">
        <v>545.72</v>
      </c>
      <c r="N248" s="3" t="str">
        <f>IF(Table1_1[[#This Row],[UnitPrice]]&lt;=816.08,"low",IF(Table1_1[[#This Row],[UnitPrice]]&lt;=1640.06,"medium","high"))</f>
        <v>low</v>
      </c>
      <c r="O248" s="4">
        <v>0.151</v>
      </c>
      <c r="P248" s="3">
        <v>2779.89768</v>
      </c>
      <c r="Q248" s="3">
        <v>1356.24</v>
      </c>
      <c r="R248" s="4">
        <v>0.51212592831834003</v>
      </c>
      <c r="S248" t="s">
        <v>666</v>
      </c>
      <c r="T248" s="3">
        <v>1423.65768</v>
      </c>
      <c r="U248" t="s">
        <v>1430</v>
      </c>
      <c r="V248" s="13" t="str">
        <f>TEXT(Table1_1[[#This Row],[OrderDate]],"MM YYYY")</f>
        <v>08 2023</v>
      </c>
      <c r="W248" s="11" t="str">
        <f>TEXT(Table1_1[[#This Row],[OrderDate]],"MM")</f>
        <v>08</v>
      </c>
      <c r="X248" s="11"/>
    </row>
    <row r="249" spans="1:24" x14ac:dyDescent="0.25">
      <c r="A249" t="s">
        <v>470</v>
      </c>
      <c r="B249" s="2">
        <v>45116</v>
      </c>
      <c r="C249" s="2">
        <v>45126</v>
      </c>
      <c r="D249" t="s">
        <v>1413</v>
      </c>
      <c r="E249" s="10">
        <v>10</v>
      </c>
      <c r="F249" t="s">
        <v>1403</v>
      </c>
      <c r="G249" t="s">
        <v>647</v>
      </c>
      <c r="H249" t="s">
        <v>651</v>
      </c>
      <c r="I249" t="s">
        <v>668</v>
      </c>
      <c r="J249" t="s">
        <v>1134</v>
      </c>
      <c r="K249">
        <v>18</v>
      </c>
      <c r="L249" s="3">
        <v>141.26</v>
      </c>
      <c r="M249" s="3">
        <v>206.88</v>
      </c>
      <c r="N249" s="3" t="str">
        <f>IF(Table1_1[[#This Row],[UnitPrice]]&lt;=816.08,"low",IF(Table1_1[[#This Row],[UnitPrice]]&lt;=1640.06,"medium","high"))</f>
        <v>low</v>
      </c>
      <c r="O249" s="4">
        <v>0.107</v>
      </c>
      <c r="P249" s="3">
        <v>3325.3891200000003</v>
      </c>
      <c r="Q249" s="3">
        <v>2542.6799999999998</v>
      </c>
      <c r="R249" s="4">
        <v>0.23537369365062499</v>
      </c>
      <c r="S249" t="s">
        <v>666</v>
      </c>
      <c r="T249" s="3">
        <v>782.70912000000044</v>
      </c>
      <c r="U249" t="s">
        <v>1430</v>
      </c>
      <c r="V249" s="13" t="str">
        <f>TEXT(Table1_1[[#This Row],[OrderDate]],"MM YYYY")</f>
        <v>07 2023</v>
      </c>
      <c r="W249" s="11" t="str">
        <f>TEXT(Table1_1[[#This Row],[OrderDate]],"MM")</f>
        <v>07</v>
      </c>
      <c r="X249" s="11"/>
    </row>
    <row r="250" spans="1:24" x14ac:dyDescent="0.25">
      <c r="A250" t="s">
        <v>491</v>
      </c>
      <c r="B250" s="2">
        <v>45538</v>
      </c>
      <c r="C250" s="2">
        <v>45542</v>
      </c>
      <c r="D250" t="s">
        <v>1413</v>
      </c>
      <c r="E250" s="10">
        <v>4</v>
      </c>
      <c r="F250" t="s">
        <v>1403</v>
      </c>
      <c r="G250" t="s">
        <v>646</v>
      </c>
      <c r="H250" t="s">
        <v>651</v>
      </c>
      <c r="I250" t="s">
        <v>669</v>
      </c>
      <c r="J250" t="s">
        <v>1155</v>
      </c>
      <c r="K250">
        <v>4</v>
      </c>
      <c r="L250" s="3">
        <v>43.23</v>
      </c>
      <c r="M250" s="3">
        <v>94.78</v>
      </c>
      <c r="N250" s="3" t="str">
        <f>IF(Table1_1[[#This Row],[UnitPrice]]&lt;=816.08,"low",IF(Table1_1[[#This Row],[UnitPrice]]&lt;=1640.06,"medium","high"))</f>
        <v>low</v>
      </c>
      <c r="O250" s="4">
        <v>9.0999999999999998E-2</v>
      </c>
      <c r="P250" s="3">
        <v>344.62008000000003</v>
      </c>
      <c r="Q250" s="3">
        <v>172.92</v>
      </c>
      <c r="R250" s="4">
        <v>0.49823005090127098</v>
      </c>
      <c r="S250" t="s">
        <v>666</v>
      </c>
      <c r="T250" s="3">
        <v>171.70008000000004</v>
      </c>
      <c r="U250" t="s">
        <v>1437</v>
      </c>
      <c r="V250" s="13" t="str">
        <f>TEXT(Table1_1[[#This Row],[OrderDate]],"MM YYYY")</f>
        <v>09 2024</v>
      </c>
      <c r="W250" s="11" t="str">
        <f>TEXT(Table1_1[[#This Row],[OrderDate]],"MM")</f>
        <v>09</v>
      </c>
      <c r="X250" s="11"/>
    </row>
    <row r="251" spans="1:24" x14ac:dyDescent="0.25">
      <c r="A251" t="s">
        <v>620</v>
      </c>
      <c r="B251" s="2">
        <v>45032</v>
      </c>
      <c r="C251" s="2">
        <v>45039</v>
      </c>
      <c r="D251" t="s">
        <v>1413</v>
      </c>
      <c r="E251" s="10">
        <v>7</v>
      </c>
      <c r="F251" t="s">
        <v>1420</v>
      </c>
      <c r="G251" t="s">
        <v>642</v>
      </c>
      <c r="H251" t="s">
        <v>651</v>
      </c>
      <c r="I251" t="s">
        <v>669</v>
      </c>
      <c r="J251" t="s">
        <v>1283</v>
      </c>
      <c r="K251">
        <v>8</v>
      </c>
      <c r="L251" s="3">
        <v>1099.1500000000001</v>
      </c>
      <c r="M251" s="3">
        <v>1431.37</v>
      </c>
      <c r="N251" s="3" t="str">
        <f>IF(Table1_1[[#This Row],[UnitPrice]]&lt;=816.08,"low",IF(Table1_1[[#This Row],[UnitPrice]]&lt;=1640.06,"medium","high"))</f>
        <v>medium</v>
      </c>
      <c r="O251" s="4">
        <v>0.104</v>
      </c>
      <c r="P251" s="3">
        <v>10260.060159999999</v>
      </c>
      <c r="Q251" s="3">
        <v>8793.2000000000007</v>
      </c>
      <c r="R251" s="4">
        <v>0.14296798821109399</v>
      </c>
      <c r="S251" t="s">
        <v>660</v>
      </c>
      <c r="T251" s="3">
        <v>1466.8601599999984</v>
      </c>
      <c r="U251" t="s">
        <v>1435</v>
      </c>
      <c r="V251" s="13" t="str">
        <f>TEXT(Table1_1[[#This Row],[OrderDate]],"MM YYYY")</f>
        <v>04 2023</v>
      </c>
      <c r="W251" s="11" t="str">
        <f>TEXT(Table1_1[[#This Row],[OrderDate]],"MM")</f>
        <v>04</v>
      </c>
      <c r="X251" s="11"/>
    </row>
    <row r="252" spans="1:24" x14ac:dyDescent="0.25">
      <c r="A252" t="s">
        <v>444</v>
      </c>
      <c r="B252" s="2">
        <v>45542</v>
      </c>
      <c r="C252" s="2">
        <v>45553</v>
      </c>
      <c r="D252" t="s">
        <v>1413</v>
      </c>
      <c r="E252" s="10">
        <v>11</v>
      </c>
      <c r="F252" t="s">
        <v>1411</v>
      </c>
      <c r="G252" t="s">
        <v>645</v>
      </c>
      <c r="H252" t="s">
        <v>651</v>
      </c>
      <c r="I252" t="s">
        <v>670</v>
      </c>
      <c r="J252" t="s">
        <v>1108</v>
      </c>
      <c r="K252">
        <v>14</v>
      </c>
      <c r="L252" s="3">
        <v>181.74</v>
      </c>
      <c r="M252" s="3">
        <v>190.84</v>
      </c>
      <c r="N252" s="3" t="str">
        <f>IF(Table1_1[[#This Row],[UnitPrice]]&lt;=816.08,"low",IF(Table1_1[[#This Row],[UnitPrice]]&lt;=1640.06,"medium","high"))</f>
        <v>low</v>
      </c>
      <c r="O252" s="4">
        <v>0.214</v>
      </c>
      <c r="P252" s="3">
        <v>2100.0033600000002</v>
      </c>
      <c r="Q252" s="3">
        <v>2544.36</v>
      </c>
      <c r="R252" s="4">
        <v>-0.211598061443102</v>
      </c>
      <c r="S252" t="s">
        <v>660</v>
      </c>
      <c r="T252" s="3">
        <v>-444.35663999999997</v>
      </c>
      <c r="U252" t="s">
        <v>1437</v>
      </c>
      <c r="V252" s="13" t="str">
        <f>TEXT(Table1_1[[#This Row],[OrderDate]],"MM YYYY")</f>
        <v>09 2024</v>
      </c>
      <c r="W252" s="11" t="str">
        <f>TEXT(Table1_1[[#This Row],[OrderDate]],"MM")</f>
        <v>09</v>
      </c>
      <c r="X252" s="11"/>
    </row>
    <row r="253" spans="1:24" x14ac:dyDescent="0.25">
      <c r="A253" t="s">
        <v>62</v>
      </c>
      <c r="B253" s="2">
        <v>45582</v>
      </c>
      <c r="C253" s="2">
        <v>45602</v>
      </c>
      <c r="D253" t="s">
        <v>1413</v>
      </c>
      <c r="E253" s="10">
        <v>20</v>
      </c>
      <c r="F253" t="s">
        <v>1388</v>
      </c>
      <c r="G253" t="s">
        <v>647</v>
      </c>
      <c r="H253" t="s">
        <v>651</v>
      </c>
      <c r="I253" t="s">
        <v>673</v>
      </c>
      <c r="J253" t="s">
        <v>726</v>
      </c>
      <c r="K253">
        <v>24</v>
      </c>
      <c r="L253" s="3">
        <v>72.94</v>
      </c>
      <c r="M253" s="3">
        <v>106.3</v>
      </c>
      <c r="N253" s="3" t="str">
        <f>IF(Table1_1[[#This Row],[UnitPrice]]&lt;=816.08,"low",IF(Table1_1[[#This Row],[UnitPrice]]&lt;=1640.06,"medium","high"))</f>
        <v>low</v>
      </c>
      <c r="O253" s="4">
        <v>0.29499999999999998</v>
      </c>
      <c r="P253" s="3">
        <v>1798.596</v>
      </c>
      <c r="Q253" s="3">
        <v>1750.56</v>
      </c>
      <c r="R253" s="4">
        <v>2.6707498515508798E-2</v>
      </c>
      <c r="S253" t="s">
        <v>660</v>
      </c>
      <c r="T253" s="3">
        <v>48.036000000000058</v>
      </c>
      <c r="U253" t="s">
        <v>1440</v>
      </c>
      <c r="V253" s="13" t="str">
        <f>TEXT(Table1_1[[#This Row],[OrderDate]],"MM YYYY")</f>
        <v>10 2024</v>
      </c>
      <c r="W253" s="11" t="str">
        <f>TEXT(Table1_1[[#This Row],[OrderDate]],"MM")</f>
        <v>10</v>
      </c>
      <c r="X253" s="11"/>
    </row>
    <row r="254" spans="1:24" x14ac:dyDescent="0.25">
      <c r="A254" t="s">
        <v>303</v>
      </c>
      <c r="B254" s="2">
        <v>45161</v>
      </c>
      <c r="C254" s="2">
        <v>45191</v>
      </c>
      <c r="D254" t="s">
        <v>1413</v>
      </c>
      <c r="E254" s="10">
        <v>30</v>
      </c>
      <c r="F254" t="s">
        <v>1399</v>
      </c>
      <c r="G254" t="s">
        <v>645</v>
      </c>
      <c r="H254" t="s">
        <v>651</v>
      </c>
      <c r="I254" t="s">
        <v>674</v>
      </c>
      <c r="J254" t="s">
        <v>968</v>
      </c>
      <c r="K254">
        <v>28</v>
      </c>
      <c r="L254" s="3">
        <v>209.81</v>
      </c>
      <c r="M254" s="3">
        <v>523</v>
      </c>
      <c r="N254" s="3" t="str">
        <f>IF(Table1_1[[#This Row],[UnitPrice]]&lt;=816.08,"low",IF(Table1_1[[#This Row],[UnitPrice]]&lt;=1640.06,"medium","high"))</f>
        <v>low</v>
      </c>
      <c r="O254" s="4">
        <v>5.8999999999999997E-2</v>
      </c>
      <c r="P254" s="3">
        <v>13780.004000000001</v>
      </c>
      <c r="Q254" s="3">
        <v>5874.68</v>
      </c>
      <c r="R254" s="4">
        <v>0.57368082041195401</v>
      </c>
      <c r="S254" t="s">
        <v>660</v>
      </c>
      <c r="T254" s="3">
        <v>7905.3240000000005</v>
      </c>
      <c r="U254" t="s">
        <v>1430</v>
      </c>
      <c r="V254" s="13" t="str">
        <f>TEXT(Table1_1[[#This Row],[OrderDate]],"MM YYYY")</f>
        <v>08 2023</v>
      </c>
      <c r="W254" s="11" t="str">
        <f>TEXT(Table1_1[[#This Row],[OrderDate]],"MM")</f>
        <v>08</v>
      </c>
      <c r="X254" s="11"/>
    </row>
    <row r="255" spans="1:24" x14ac:dyDescent="0.25">
      <c r="A255" t="s">
        <v>64</v>
      </c>
      <c r="B255" s="2">
        <v>45678</v>
      </c>
      <c r="C255" s="2">
        <v>45704</v>
      </c>
      <c r="D255" t="s">
        <v>1413</v>
      </c>
      <c r="E255" s="10">
        <v>26</v>
      </c>
      <c r="F255" t="s">
        <v>1396</v>
      </c>
      <c r="G255" t="s">
        <v>642</v>
      </c>
      <c r="H255" t="s">
        <v>651</v>
      </c>
      <c r="I255" t="s">
        <v>672</v>
      </c>
      <c r="J255" t="s">
        <v>728</v>
      </c>
      <c r="K255">
        <v>16</v>
      </c>
      <c r="L255" s="3">
        <v>204.11</v>
      </c>
      <c r="M255" s="3">
        <v>236.87</v>
      </c>
      <c r="N255" s="3" t="str">
        <f>IF(Table1_1[[#This Row],[UnitPrice]]&lt;=816.08,"low",IF(Table1_1[[#This Row],[UnitPrice]]&lt;=1640.06,"medium","high"))</f>
        <v>low</v>
      </c>
      <c r="O255" s="4">
        <v>0.182</v>
      </c>
      <c r="P255" s="3">
        <v>3100.1545600000004</v>
      </c>
      <c r="Q255" s="3">
        <v>3265.76</v>
      </c>
      <c r="R255" s="4">
        <v>-5.3418446337075501E-2</v>
      </c>
      <c r="S255" t="s">
        <v>660</v>
      </c>
      <c r="T255" s="3">
        <v>-165.60543999999982</v>
      </c>
      <c r="U255" t="s">
        <v>1434</v>
      </c>
      <c r="V255" s="13" t="str">
        <f>TEXT(Table1_1[[#This Row],[OrderDate]],"MM YYYY")</f>
        <v>01 2025</v>
      </c>
      <c r="W255" s="11" t="str">
        <f>TEXT(Table1_1[[#This Row],[OrderDate]],"MM")</f>
        <v>01</v>
      </c>
      <c r="X255" s="11"/>
    </row>
    <row r="256" spans="1:24" x14ac:dyDescent="0.25">
      <c r="A256" t="s">
        <v>586</v>
      </c>
      <c r="B256" s="2">
        <v>45872</v>
      </c>
      <c r="C256" s="2">
        <v>45885</v>
      </c>
      <c r="D256" t="s">
        <v>1413</v>
      </c>
      <c r="E256" s="10">
        <v>13</v>
      </c>
      <c r="F256" t="s">
        <v>1418</v>
      </c>
      <c r="G256" t="s">
        <v>647</v>
      </c>
      <c r="H256" t="s">
        <v>651</v>
      </c>
      <c r="I256" t="s">
        <v>670</v>
      </c>
      <c r="J256" t="s">
        <v>1249</v>
      </c>
      <c r="K256">
        <v>9</v>
      </c>
      <c r="L256" s="3">
        <v>698.66</v>
      </c>
      <c r="M256" s="3">
        <v>868.62</v>
      </c>
      <c r="N256" s="3" t="str">
        <f>IF(Table1_1[[#This Row],[UnitPrice]]&lt;=816.08,"low",IF(Table1_1[[#This Row],[UnitPrice]]&lt;=1640.06,"medium","high"))</f>
        <v>medium</v>
      </c>
      <c r="O256" s="4">
        <v>7.1999999999999995E-2</v>
      </c>
      <c r="P256" s="3">
        <v>7254.7142400000002</v>
      </c>
      <c r="Q256" s="3">
        <v>6287.94</v>
      </c>
      <c r="R256" s="4">
        <v>0.13326151906432601</v>
      </c>
      <c r="S256" t="s">
        <v>660</v>
      </c>
      <c r="T256" s="3">
        <v>966.77424000000065</v>
      </c>
      <c r="U256" t="s">
        <v>1438</v>
      </c>
      <c r="V256" s="13" t="str">
        <f>TEXT(Table1_1[[#This Row],[OrderDate]],"MM YYYY")</f>
        <v>08 2025</v>
      </c>
      <c r="W256" s="11" t="str">
        <f>TEXT(Table1_1[[#This Row],[OrderDate]],"MM")</f>
        <v>08</v>
      </c>
      <c r="X256" s="11"/>
    </row>
    <row r="257" spans="1:24" x14ac:dyDescent="0.25">
      <c r="A257" t="s">
        <v>74</v>
      </c>
      <c r="B257" s="2">
        <v>45598</v>
      </c>
      <c r="C257" s="2">
        <v>45614</v>
      </c>
      <c r="D257" t="s">
        <v>1413</v>
      </c>
      <c r="E257" s="10">
        <v>16</v>
      </c>
      <c r="F257" t="s">
        <v>1405</v>
      </c>
      <c r="G257" t="s">
        <v>646</v>
      </c>
      <c r="H257" t="s">
        <v>651</v>
      </c>
      <c r="I257" t="s">
        <v>673</v>
      </c>
      <c r="J257" t="s">
        <v>738</v>
      </c>
      <c r="K257">
        <v>15</v>
      </c>
      <c r="L257" s="3">
        <v>1233.58</v>
      </c>
      <c r="M257" s="3">
        <v>1912.51</v>
      </c>
      <c r="N257" s="3" t="str">
        <f>IF(Table1_1[[#This Row],[UnitPrice]]&lt;=816.08,"low",IF(Table1_1[[#This Row],[UnitPrice]]&lt;=1640.06,"medium","high"))</f>
        <v>high</v>
      </c>
      <c r="O257" s="4">
        <v>0.255</v>
      </c>
      <c r="P257" s="3">
        <v>21372.29925</v>
      </c>
      <c r="Q257" s="3">
        <v>18503.699999999997</v>
      </c>
      <c r="R257" s="4">
        <v>0.134220432553601</v>
      </c>
      <c r="S257" t="s">
        <v>660</v>
      </c>
      <c r="T257" s="3">
        <v>2868.5992500000029</v>
      </c>
      <c r="U257" t="s">
        <v>1440</v>
      </c>
      <c r="V257" s="13" t="str">
        <f>TEXT(Table1_1[[#This Row],[OrderDate]],"MM YYYY")</f>
        <v>11 2024</v>
      </c>
      <c r="W257" s="11" t="str">
        <f>TEXT(Table1_1[[#This Row],[OrderDate]],"MM")</f>
        <v>11</v>
      </c>
      <c r="X257" s="11"/>
    </row>
    <row r="258" spans="1:24" x14ac:dyDescent="0.25">
      <c r="A258" t="s">
        <v>237</v>
      </c>
      <c r="B258" s="2">
        <v>45203</v>
      </c>
      <c r="C258" s="2">
        <v>45228</v>
      </c>
      <c r="D258" t="s">
        <v>1413</v>
      </c>
      <c r="E258" s="10">
        <v>25</v>
      </c>
      <c r="F258" t="s">
        <v>1419</v>
      </c>
      <c r="G258" t="s">
        <v>646</v>
      </c>
      <c r="H258" t="s">
        <v>651</v>
      </c>
      <c r="I258" t="s">
        <v>674</v>
      </c>
      <c r="J258" t="s">
        <v>902</v>
      </c>
      <c r="K258">
        <v>9</v>
      </c>
      <c r="L258" s="3">
        <v>1239.8399999999999</v>
      </c>
      <c r="M258" s="3">
        <v>1482.75</v>
      </c>
      <c r="N258" s="3" t="str">
        <f>IF(Table1_1[[#This Row],[UnitPrice]]&lt;=816.08,"low",IF(Table1_1[[#This Row],[UnitPrice]]&lt;=1640.06,"medium","high"))</f>
        <v>medium</v>
      </c>
      <c r="O258" s="4">
        <v>6.7000000000000004E-2</v>
      </c>
      <c r="P258" s="3">
        <v>12450.651750000001</v>
      </c>
      <c r="Q258" s="3">
        <v>11158.56</v>
      </c>
      <c r="R258" s="4">
        <v>0.103777037214136</v>
      </c>
      <c r="S258" t="s">
        <v>660</v>
      </c>
      <c r="T258" s="3">
        <v>1292.0917500000014</v>
      </c>
      <c r="U258" t="s">
        <v>1439</v>
      </c>
      <c r="V258" s="13" t="str">
        <f>TEXT(Table1_1[[#This Row],[OrderDate]],"MM YYYY")</f>
        <v>10 2023</v>
      </c>
      <c r="W258" s="11" t="str">
        <f>TEXT(Table1_1[[#This Row],[OrderDate]],"MM")</f>
        <v>10</v>
      </c>
      <c r="X258" s="11"/>
    </row>
    <row r="259" spans="1:24" x14ac:dyDescent="0.25">
      <c r="A259" t="s">
        <v>290</v>
      </c>
      <c r="B259" s="2">
        <v>45092</v>
      </c>
      <c r="C259" s="2">
        <v>45100</v>
      </c>
      <c r="D259" t="s">
        <v>1413</v>
      </c>
      <c r="E259" s="10">
        <v>8</v>
      </c>
      <c r="F259" t="s">
        <v>1419</v>
      </c>
      <c r="G259" t="s">
        <v>645</v>
      </c>
      <c r="H259" t="s">
        <v>651</v>
      </c>
      <c r="I259" t="s">
        <v>673</v>
      </c>
      <c r="J259" t="s">
        <v>955</v>
      </c>
      <c r="K259">
        <v>4</v>
      </c>
      <c r="L259" s="3">
        <v>1097.0899999999999</v>
      </c>
      <c r="M259" s="3">
        <v>2182.31</v>
      </c>
      <c r="N259" s="3" t="str">
        <f>IF(Table1_1[[#This Row],[UnitPrice]]&lt;=816.08,"low",IF(Table1_1[[#This Row],[UnitPrice]]&lt;=1640.06,"medium","high"))</f>
        <v>high</v>
      </c>
      <c r="O259" s="4">
        <v>0.112</v>
      </c>
      <c r="P259" s="3">
        <v>7751.5651200000002</v>
      </c>
      <c r="Q259" s="3">
        <v>4388.3599999999997</v>
      </c>
      <c r="R259" s="4">
        <v>0.43387432962699501</v>
      </c>
      <c r="S259" t="s">
        <v>660</v>
      </c>
      <c r="T259" s="3">
        <v>3363.2051200000005</v>
      </c>
      <c r="U259" t="s">
        <v>1435</v>
      </c>
      <c r="V259" s="13" t="str">
        <f>TEXT(Table1_1[[#This Row],[OrderDate]],"MM YYYY")</f>
        <v>06 2023</v>
      </c>
      <c r="W259" s="11" t="str">
        <f>TEXT(Table1_1[[#This Row],[OrderDate]],"MM")</f>
        <v>06</v>
      </c>
      <c r="X259" s="11"/>
    </row>
    <row r="260" spans="1:24" x14ac:dyDescent="0.25">
      <c r="A260" t="s">
        <v>127</v>
      </c>
      <c r="B260" s="2">
        <v>45811</v>
      </c>
      <c r="C260" s="2">
        <v>45818</v>
      </c>
      <c r="D260" t="s">
        <v>1413</v>
      </c>
      <c r="E260" s="10">
        <v>7</v>
      </c>
      <c r="F260" t="s">
        <v>1414</v>
      </c>
      <c r="G260" t="s">
        <v>645</v>
      </c>
      <c r="H260" t="s">
        <v>651</v>
      </c>
      <c r="I260" t="s">
        <v>669</v>
      </c>
      <c r="J260" t="s">
        <v>791</v>
      </c>
      <c r="K260">
        <v>8</v>
      </c>
      <c r="L260" s="3">
        <v>75.180000000000007</v>
      </c>
      <c r="M260" s="3">
        <v>53.45</v>
      </c>
      <c r="N260" s="3" t="str">
        <f>IF(Table1_1[[#This Row],[UnitPrice]]&lt;=816.08,"low",IF(Table1_1[[#This Row],[UnitPrice]]&lt;=1640.06,"medium","high"))</f>
        <v>low</v>
      </c>
      <c r="O260" s="4">
        <v>0.157</v>
      </c>
      <c r="P260" s="3">
        <v>360.46680000000003</v>
      </c>
      <c r="Q260" s="3">
        <v>601.44000000000005</v>
      </c>
      <c r="R260" s="4">
        <v>-0.668503174217431</v>
      </c>
      <c r="S260" t="s">
        <v>660</v>
      </c>
      <c r="T260" s="3">
        <v>-240.97320000000002</v>
      </c>
      <c r="U260" t="s">
        <v>1431</v>
      </c>
      <c r="V260" s="13" t="str">
        <f>TEXT(Table1_1[[#This Row],[OrderDate]],"MM YYYY")</f>
        <v>06 2025</v>
      </c>
      <c r="W260" s="11" t="str">
        <f>TEXT(Table1_1[[#This Row],[OrderDate]],"MM")</f>
        <v>06</v>
      </c>
      <c r="X260" s="11"/>
    </row>
    <row r="261" spans="1:24" x14ac:dyDescent="0.25">
      <c r="A261" t="s">
        <v>269</v>
      </c>
      <c r="B261" s="2">
        <v>45210</v>
      </c>
      <c r="C261" s="2">
        <v>45212</v>
      </c>
      <c r="D261" t="s">
        <v>1413</v>
      </c>
      <c r="E261" s="10">
        <v>2</v>
      </c>
      <c r="F261" t="s">
        <v>1416</v>
      </c>
      <c r="G261" t="s">
        <v>645</v>
      </c>
      <c r="H261" t="s">
        <v>651</v>
      </c>
      <c r="I261" t="s">
        <v>674</v>
      </c>
      <c r="J261" t="s">
        <v>934</v>
      </c>
      <c r="K261">
        <v>16</v>
      </c>
      <c r="L261" s="3">
        <v>715.94</v>
      </c>
      <c r="M261" s="3">
        <v>550.07000000000005</v>
      </c>
      <c r="N261" s="3" t="str">
        <f>IF(Table1_1[[#This Row],[UnitPrice]]&lt;=816.08,"low",IF(Table1_1[[#This Row],[UnitPrice]]&lt;=1640.06,"medium","high"))</f>
        <v>low</v>
      </c>
      <c r="O261" s="4">
        <v>0.14000000000000001</v>
      </c>
      <c r="P261" s="3">
        <v>7568.9632000000001</v>
      </c>
      <c r="Q261" s="3">
        <v>11455.04</v>
      </c>
      <c r="R261" s="4">
        <v>-0.51342260456491595</v>
      </c>
      <c r="S261" t="s">
        <v>1366</v>
      </c>
      <c r="T261" s="3">
        <v>-3886.0768000000007</v>
      </c>
      <c r="U261" t="s">
        <v>1439</v>
      </c>
      <c r="V261" s="13" t="str">
        <f>TEXT(Table1_1[[#This Row],[OrderDate]],"MM YYYY")</f>
        <v>10 2023</v>
      </c>
      <c r="W261" s="11" t="str">
        <f>TEXT(Table1_1[[#This Row],[OrderDate]],"MM")</f>
        <v>10</v>
      </c>
      <c r="X261" s="11"/>
    </row>
    <row r="262" spans="1:24" x14ac:dyDescent="0.25">
      <c r="A262" t="s">
        <v>591</v>
      </c>
      <c r="B262" s="2">
        <v>45080</v>
      </c>
      <c r="C262" s="2">
        <v>45108</v>
      </c>
      <c r="D262" t="s">
        <v>1413</v>
      </c>
      <c r="E262" s="10">
        <v>28</v>
      </c>
      <c r="F262" t="s">
        <v>1416</v>
      </c>
      <c r="G262" t="s">
        <v>646</v>
      </c>
      <c r="H262" t="s">
        <v>650</v>
      </c>
      <c r="I262" t="s">
        <v>668</v>
      </c>
      <c r="J262" t="s">
        <v>1254</v>
      </c>
      <c r="K262">
        <v>12</v>
      </c>
      <c r="L262" s="3">
        <v>860.4</v>
      </c>
      <c r="M262" s="3">
        <v>2066.6</v>
      </c>
      <c r="N262" s="3" t="str">
        <f>IF(Table1_1[[#This Row],[UnitPrice]]&lt;=816.08,"low",IF(Table1_1[[#This Row],[UnitPrice]]&lt;=1640.06,"medium","high"))</f>
        <v>high</v>
      </c>
      <c r="O262" s="4">
        <v>0.01</v>
      </c>
      <c r="P262" s="3">
        <v>24551.207999999995</v>
      </c>
      <c r="Q262" s="3">
        <v>10324.799999999999</v>
      </c>
      <c r="R262" s="4">
        <v>0.57945857491004105</v>
      </c>
      <c r="S262" t="s">
        <v>661</v>
      </c>
      <c r="T262" s="3">
        <v>14226.407999999996</v>
      </c>
      <c r="U262" t="s">
        <v>1435</v>
      </c>
      <c r="V262" s="13" t="str">
        <f>TEXT(Table1_1[[#This Row],[OrderDate]],"MM YYYY")</f>
        <v>06 2023</v>
      </c>
      <c r="W262" s="11" t="str">
        <f>TEXT(Table1_1[[#This Row],[OrderDate]],"MM")</f>
        <v>06</v>
      </c>
      <c r="X262" s="11"/>
    </row>
    <row r="263" spans="1:24" x14ac:dyDescent="0.25">
      <c r="A263" t="s">
        <v>220</v>
      </c>
      <c r="B263" s="2">
        <v>45567</v>
      </c>
      <c r="C263" s="2">
        <v>45588</v>
      </c>
      <c r="D263" t="s">
        <v>1413</v>
      </c>
      <c r="E263" s="10">
        <v>21</v>
      </c>
      <c r="F263" t="s">
        <v>1402</v>
      </c>
      <c r="G263" t="s">
        <v>642</v>
      </c>
      <c r="H263" t="s">
        <v>650</v>
      </c>
      <c r="I263" t="s">
        <v>668</v>
      </c>
      <c r="J263" t="s">
        <v>885</v>
      </c>
      <c r="K263">
        <v>7</v>
      </c>
      <c r="L263" s="3">
        <v>1095.6099999999999</v>
      </c>
      <c r="M263" s="3">
        <v>2366.5100000000002</v>
      </c>
      <c r="N263" s="3" t="str">
        <f>IF(Table1_1[[#This Row],[UnitPrice]]&lt;=816.08,"low",IF(Table1_1[[#This Row],[UnitPrice]]&lt;=1640.06,"medium","high"))</f>
        <v>high</v>
      </c>
      <c r="O263" s="4">
        <v>0.152</v>
      </c>
      <c r="P263" s="3">
        <v>14047.603359999999</v>
      </c>
      <c r="Q263" s="3">
        <v>7669.2699999999995</v>
      </c>
      <c r="R263" s="4">
        <v>0.45405135641585997</v>
      </c>
      <c r="S263" t="s">
        <v>661</v>
      </c>
      <c r="T263" s="3">
        <v>6378.3333599999996</v>
      </c>
      <c r="U263" t="s">
        <v>1440</v>
      </c>
      <c r="V263" s="13" t="str">
        <f>TEXT(Table1_1[[#This Row],[OrderDate]],"MM YYYY")</f>
        <v>10 2024</v>
      </c>
      <c r="W263" s="11" t="str">
        <f>TEXT(Table1_1[[#This Row],[OrderDate]],"MM")</f>
        <v>10</v>
      </c>
      <c r="X263" s="11"/>
    </row>
    <row r="264" spans="1:24" x14ac:dyDescent="0.25">
      <c r="A264" t="s">
        <v>120</v>
      </c>
      <c r="B264" s="2">
        <v>45445</v>
      </c>
      <c r="C264" s="2">
        <v>45451</v>
      </c>
      <c r="D264" t="s">
        <v>1413</v>
      </c>
      <c r="E264" s="10">
        <v>6</v>
      </c>
      <c r="F264" t="s">
        <v>1383</v>
      </c>
      <c r="G264" t="s">
        <v>645</v>
      </c>
      <c r="H264" t="s">
        <v>650</v>
      </c>
      <c r="I264" t="s">
        <v>674</v>
      </c>
      <c r="J264" t="s">
        <v>784</v>
      </c>
      <c r="K264">
        <v>10</v>
      </c>
      <c r="L264" s="3">
        <v>292.94</v>
      </c>
      <c r="M264" s="3">
        <v>356.55</v>
      </c>
      <c r="N264" s="3" t="str">
        <f>IF(Table1_1[[#This Row],[UnitPrice]]&lt;=816.08,"low",IF(Table1_1[[#This Row],[UnitPrice]]&lt;=1640.06,"medium","high"))</f>
        <v>low</v>
      </c>
      <c r="O264" s="4">
        <v>0.22900000000000001</v>
      </c>
      <c r="P264" s="3">
        <v>2749.0005000000001</v>
      </c>
      <c r="Q264" s="3">
        <v>2929.4</v>
      </c>
      <c r="R264" s="4">
        <v>-6.5623669402751994E-2</v>
      </c>
      <c r="S264" t="s">
        <v>661</v>
      </c>
      <c r="T264" s="3">
        <v>-180.39949999999999</v>
      </c>
      <c r="U264" t="s">
        <v>1436</v>
      </c>
      <c r="V264" s="13" t="str">
        <f>TEXT(Table1_1[[#This Row],[OrderDate]],"MM YYYY")</f>
        <v>06 2024</v>
      </c>
      <c r="W264" s="11" t="str">
        <f>TEXT(Table1_1[[#This Row],[OrderDate]],"MM")</f>
        <v>06</v>
      </c>
      <c r="X264" s="11"/>
    </row>
    <row r="265" spans="1:24" x14ac:dyDescent="0.25">
      <c r="A265" t="s">
        <v>469</v>
      </c>
      <c r="B265" s="2">
        <v>45417</v>
      </c>
      <c r="C265" s="2">
        <v>45430</v>
      </c>
      <c r="D265" t="s">
        <v>1413</v>
      </c>
      <c r="E265" s="10">
        <v>13</v>
      </c>
      <c r="F265" t="s">
        <v>1391</v>
      </c>
      <c r="G265" t="s">
        <v>642</v>
      </c>
      <c r="H265" t="s">
        <v>650</v>
      </c>
      <c r="I265" t="s">
        <v>668</v>
      </c>
      <c r="J265" t="s">
        <v>1133</v>
      </c>
      <c r="K265">
        <v>6</v>
      </c>
      <c r="L265" s="3">
        <v>1264.04</v>
      </c>
      <c r="M265" s="3">
        <v>1870.89</v>
      </c>
      <c r="N265" s="3" t="str">
        <f>IF(Table1_1[[#This Row],[UnitPrice]]&lt;=816.08,"low",IF(Table1_1[[#This Row],[UnitPrice]]&lt;=1640.06,"medium","high"))</f>
        <v>high</v>
      </c>
      <c r="O265" s="4">
        <v>0</v>
      </c>
      <c r="P265" s="3">
        <v>11225.34</v>
      </c>
      <c r="Q265" s="3">
        <v>7584.24</v>
      </c>
      <c r="R265" s="4">
        <v>0.32436433996654002</v>
      </c>
      <c r="S265" t="s">
        <v>661</v>
      </c>
      <c r="T265" s="3">
        <v>3641.1000000000004</v>
      </c>
      <c r="U265" t="s">
        <v>1436</v>
      </c>
      <c r="V265" s="13" t="str">
        <f>TEXT(Table1_1[[#This Row],[OrderDate]],"MM YYYY")</f>
        <v>05 2024</v>
      </c>
      <c r="W265" s="11" t="str">
        <f>TEXT(Table1_1[[#This Row],[OrderDate]],"MM")</f>
        <v>05</v>
      </c>
      <c r="X265" s="11"/>
    </row>
    <row r="266" spans="1:24" x14ac:dyDescent="0.25">
      <c r="A266" t="s">
        <v>236</v>
      </c>
      <c r="B266" s="2">
        <v>45137</v>
      </c>
      <c r="C266" s="2">
        <v>45145</v>
      </c>
      <c r="D266" t="s">
        <v>1413</v>
      </c>
      <c r="E266" s="10">
        <v>8</v>
      </c>
      <c r="F266" t="s">
        <v>1407</v>
      </c>
      <c r="G266" t="s">
        <v>643</v>
      </c>
      <c r="H266" t="s">
        <v>650</v>
      </c>
      <c r="I266" t="s">
        <v>670</v>
      </c>
      <c r="J266" t="s">
        <v>901</v>
      </c>
      <c r="K266">
        <v>23</v>
      </c>
      <c r="L266" s="3">
        <v>1352.44</v>
      </c>
      <c r="M266" s="3">
        <v>2698.01</v>
      </c>
      <c r="N266" s="3" t="str">
        <f>IF(Table1_1[[#This Row],[UnitPrice]]&lt;=816.08,"low",IF(Table1_1[[#This Row],[UnitPrice]]&lt;=1640.06,"medium","high"))</f>
        <v>high</v>
      </c>
      <c r="O266" s="4">
        <v>0.13100000000000001</v>
      </c>
      <c r="P266" s="3">
        <v>53925.125870000003</v>
      </c>
      <c r="Q266" s="3">
        <v>31106.120000000003</v>
      </c>
      <c r="R266" s="4">
        <v>0.42316091992090898</v>
      </c>
      <c r="S266" t="s">
        <v>661</v>
      </c>
      <c r="T266" s="3">
        <v>22819.005870000001</v>
      </c>
      <c r="U266" t="s">
        <v>1430</v>
      </c>
      <c r="V266" s="13" t="str">
        <f>TEXT(Table1_1[[#This Row],[OrderDate]],"MM YYYY")</f>
        <v>07 2023</v>
      </c>
      <c r="W266" s="11" t="str">
        <f>TEXT(Table1_1[[#This Row],[OrderDate]],"MM")</f>
        <v>07</v>
      </c>
      <c r="X266" s="11"/>
    </row>
    <row r="267" spans="1:24" x14ac:dyDescent="0.25">
      <c r="A267" t="s">
        <v>167</v>
      </c>
      <c r="B267" s="2">
        <v>45323</v>
      </c>
      <c r="C267" s="2">
        <v>45343</v>
      </c>
      <c r="D267" t="s">
        <v>1413</v>
      </c>
      <c r="E267" s="10">
        <v>20</v>
      </c>
      <c r="F267" t="s">
        <v>1404</v>
      </c>
      <c r="G267" t="s">
        <v>646</v>
      </c>
      <c r="H267" t="s">
        <v>650</v>
      </c>
      <c r="I267" t="s">
        <v>670</v>
      </c>
      <c r="J267" t="s">
        <v>831</v>
      </c>
      <c r="K267">
        <v>17</v>
      </c>
      <c r="L267" s="3">
        <v>656.2</v>
      </c>
      <c r="M267" s="3">
        <v>1467.17</v>
      </c>
      <c r="N267" s="3" t="str">
        <f>IF(Table1_1[[#This Row],[UnitPrice]]&lt;=816.08,"low",IF(Table1_1[[#This Row],[UnitPrice]]&lt;=1640.06,"medium","high"))</f>
        <v>medium</v>
      </c>
      <c r="O267" s="4">
        <v>1.7999999999999999E-2</v>
      </c>
      <c r="P267" s="3">
        <v>24492.935979999998</v>
      </c>
      <c r="Q267" s="3">
        <v>11155.400000000001</v>
      </c>
      <c r="R267" s="4">
        <v>0.54454623124360901</v>
      </c>
      <c r="S267" t="s">
        <v>661</v>
      </c>
      <c r="T267" s="3">
        <v>13337.535979999997</v>
      </c>
      <c r="U267" t="s">
        <v>1433</v>
      </c>
      <c r="V267" s="13" t="str">
        <f>TEXT(Table1_1[[#This Row],[OrderDate]],"MM YYYY")</f>
        <v>02 2024</v>
      </c>
      <c r="W267" s="11" t="str">
        <f>TEXT(Table1_1[[#This Row],[OrderDate]],"MM")</f>
        <v>02</v>
      </c>
      <c r="X267" s="11"/>
    </row>
    <row r="268" spans="1:24" x14ac:dyDescent="0.25">
      <c r="A268" t="s">
        <v>548</v>
      </c>
      <c r="B268" s="2">
        <v>45114</v>
      </c>
      <c r="C268" s="2">
        <v>45120</v>
      </c>
      <c r="D268" t="s">
        <v>1413</v>
      </c>
      <c r="E268" s="10">
        <v>6</v>
      </c>
      <c r="F268" t="s">
        <v>1408</v>
      </c>
      <c r="G268" t="s">
        <v>646</v>
      </c>
      <c r="H268" t="s">
        <v>650</v>
      </c>
      <c r="I268" t="s">
        <v>674</v>
      </c>
      <c r="J268" t="s">
        <v>1211</v>
      </c>
      <c r="K268">
        <v>19</v>
      </c>
      <c r="L268" s="3">
        <v>612.59</v>
      </c>
      <c r="M268" s="3">
        <v>1424.74</v>
      </c>
      <c r="N268" s="3" t="str">
        <f>IF(Table1_1[[#This Row],[UnitPrice]]&lt;=816.08,"low",IF(Table1_1[[#This Row],[UnitPrice]]&lt;=1640.06,"medium","high"))</f>
        <v>medium</v>
      </c>
      <c r="O268" s="4">
        <v>4.3999999999999997E-2</v>
      </c>
      <c r="P268" s="3">
        <v>25878.977360000001</v>
      </c>
      <c r="Q268" s="3">
        <v>11639.210000000001</v>
      </c>
      <c r="R268" s="4">
        <v>0.55024459281802196</v>
      </c>
      <c r="S268" t="s">
        <v>658</v>
      </c>
      <c r="T268" s="3">
        <v>14239.76736</v>
      </c>
      <c r="U268" t="s">
        <v>1430</v>
      </c>
      <c r="V268" s="13" t="str">
        <f>TEXT(Table1_1[[#This Row],[OrderDate]],"MM YYYY")</f>
        <v>07 2023</v>
      </c>
      <c r="W268" s="11" t="str">
        <f>TEXT(Table1_1[[#This Row],[OrderDate]],"MM")</f>
        <v>07</v>
      </c>
      <c r="X268" s="11"/>
    </row>
    <row r="269" spans="1:24" x14ac:dyDescent="0.25">
      <c r="A269" t="s">
        <v>253</v>
      </c>
      <c r="B269" s="2">
        <v>45630</v>
      </c>
      <c r="C269" s="2">
        <v>45638</v>
      </c>
      <c r="D269" t="s">
        <v>1413</v>
      </c>
      <c r="E269" s="10">
        <v>8</v>
      </c>
      <c r="F269" t="s">
        <v>1410</v>
      </c>
      <c r="G269" t="s">
        <v>647</v>
      </c>
      <c r="H269" t="s">
        <v>650</v>
      </c>
      <c r="I269" t="s">
        <v>669</v>
      </c>
      <c r="J269" t="s">
        <v>918</v>
      </c>
      <c r="K269">
        <v>8</v>
      </c>
      <c r="L269" s="3">
        <v>72.06</v>
      </c>
      <c r="M269" s="3">
        <v>122.74</v>
      </c>
      <c r="N269" s="3" t="str">
        <f>IF(Table1_1[[#This Row],[UnitPrice]]&lt;=816.08,"low",IF(Table1_1[[#This Row],[UnitPrice]]&lt;=1640.06,"medium","high"))</f>
        <v>low</v>
      </c>
      <c r="O269" s="4">
        <v>0.23799999999999999</v>
      </c>
      <c r="P269" s="3">
        <v>748.22303999999997</v>
      </c>
      <c r="Q269" s="3">
        <v>576.48</v>
      </c>
      <c r="R269" s="4">
        <v>0.229534551622468</v>
      </c>
      <c r="S269" t="s">
        <v>658</v>
      </c>
      <c r="T269" s="3">
        <v>171.74303999999995</v>
      </c>
      <c r="U269" t="s">
        <v>1440</v>
      </c>
      <c r="V269" s="13" t="str">
        <f>TEXT(Table1_1[[#This Row],[OrderDate]],"MM YYYY")</f>
        <v>12 2024</v>
      </c>
      <c r="W269" s="11" t="str">
        <f>TEXT(Table1_1[[#This Row],[OrderDate]],"MM")</f>
        <v>12</v>
      </c>
      <c r="X269" s="11"/>
    </row>
    <row r="270" spans="1:24" x14ac:dyDescent="0.25">
      <c r="A270" t="s">
        <v>60</v>
      </c>
      <c r="B270" s="2">
        <v>45117</v>
      </c>
      <c r="C270" s="2">
        <v>45139</v>
      </c>
      <c r="D270" t="s">
        <v>1413</v>
      </c>
      <c r="E270" s="10">
        <v>22</v>
      </c>
      <c r="F270" t="s">
        <v>1391</v>
      </c>
      <c r="G270" t="s">
        <v>645</v>
      </c>
      <c r="H270" t="s">
        <v>650</v>
      </c>
      <c r="I270" t="s">
        <v>669</v>
      </c>
      <c r="J270" t="s">
        <v>724</v>
      </c>
      <c r="K270">
        <v>14</v>
      </c>
      <c r="L270" s="3">
        <v>1303.56</v>
      </c>
      <c r="M270" s="3">
        <v>1791.37</v>
      </c>
      <c r="N270" s="3" t="str">
        <f>IF(Table1_1[[#This Row],[UnitPrice]]&lt;=816.08,"low",IF(Table1_1[[#This Row],[UnitPrice]]&lt;=1640.06,"medium","high"))</f>
        <v>high</v>
      </c>
      <c r="O270" s="4">
        <v>0.126</v>
      </c>
      <c r="P270" s="3">
        <v>21919.203320000001</v>
      </c>
      <c r="Q270" s="3">
        <v>18249.84</v>
      </c>
      <c r="R270" s="4">
        <v>0.167404045960554</v>
      </c>
      <c r="S270" t="s">
        <v>658</v>
      </c>
      <c r="T270" s="3">
        <v>3669.3633200000004</v>
      </c>
      <c r="U270" t="s">
        <v>1430</v>
      </c>
      <c r="V270" s="13" t="str">
        <f>TEXT(Table1_1[[#This Row],[OrderDate]],"MM YYYY")</f>
        <v>07 2023</v>
      </c>
      <c r="W270" s="11" t="str">
        <f>TEXT(Table1_1[[#This Row],[OrderDate]],"MM")</f>
        <v>07</v>
      </c>
      <c r="X270" s="11"/>
    </row>
    <row r="271" spans="1:24" x14ac:dyDescent="0.25">
      <c r="A271" t="s">
        <v>502</v>
      </c>
      <c r="B271" s="2">
        <v>45861</v>
      </c>
      <c r="C271" s="2">
        <v>45888</v>
      </c>
      <c r="D271" t="s">
        <v>1413</v>
      </c>
      <c r="E271" s="10">
        <v>27</v>
      </c>
      <c r="F271" t="s">
        <v>1407</v>
      </c>
      <c r="G271" t="s">
        <v>645</v>
      </c>
      <c r="H271" t="s">
        <v>650</v>
      </c>
      <c r="I271" t="s">
        <v>674</v>
      </c>
      <c r="J271" t="s">
        <v>1166</v>
      </c>
      <c r="K271">
        <v>10</v>
      </c>
      <c r="L271" s="3">
        <v>896.09</v>
      </c>
      <c r="M271" s="3">
        <v>744.27</v>
      </c>
      <c r="N271" s="3" t="str">
        <f>IF(Table1_1[[#This Row],[UnitPrice]]&lt;=816.08,"low",IF(Table1_1[[#This Row],[UnitPrice]]&lt;=1640.06,"medium","high"))</f>
        <v>low</v>
      </c>
      <c r="O271" s="4">
        <v>8.3000000000000004E-2</v>
      </c>
      <c r="P271" s="3">
        <v>6824.9558999999999</v>
      </c>
      <c r="Q271" s="3">
        <v>8960.9</v>
      </c>
      <c r="R271" s="4">
        <v>-0.31296086469950701</v>
      </c>
      <c r="S271" t="s">
        <v>658</v>
      </c>
      <c r="T271" s="3">
        <v>-2135.9440999999997</v>
      </c>
      <c r="U271" t="s">
        <v>1438</v>
      </c>
      <c r="V271" s="13" t="str">
        <f>TEXT(Table1_1[[#This Row],[OrderDate]],"MM YYYY")</f>
        <v>07 2025</v>
      </c>
      <c r="W271" s="11" t="str">
        <f>TEXT(Table1_1[[#This Row],[OrderDate]],"MM")</f>
        <v>07</v>
      </c>
      <c r="X271" s="11"/>
    </row>
    <row r="272" spans="1:24" x14ac:dyDescent="0.25">
      <c r="A272" t="s">
        <v>63</v>
      </c>
      <c r="B272" s="2">
        <v>45016</v>
      </c>
      <c r="C272" s="2">
        <v>45021</v>
      </c>
      <c r="D272" t="s">
        <v>1413</v>
      </c>
      <c r="E272" s="10">
        <v>5</v>
      </c>
      <c r="F272" t="s">
        <v>1395</v>
      </c>
      <c r="G272" t="s">
        <v>643</v>
      </c>
      <c r="H272" t="s">
        <v>650</v>
      </c>
      <c r="I272" t="s">
        <v>672</v>
      </c>
      <c r="J272" t="s">
        <v>727</v>
      </c>
      <c r="K272">
        <v>25</v>
      </c>
      <c r="L272" s="3">
        <v>533.26</v>
      </c>
      <c r="M272" s="3">
        <v>385.72</v>
      </c>
      <c r="N272" s="3" t="str">
        <f>IF(Table1_1[[#This Row],[UnitPrice]]&lt;=816.08,"low",IF(Table1_1[[#This Row],[UnitPrice]]&lt;=1640.06,"medium","high"))</f>
        <v>low</v>
      </c>
      <c r="O272" s="4">
        <v>0</v>
      </c>
      <c r="P272" s="3">
        <v>9643</v>
      </c>
      <c r="Q272" s="3">
        <v>13331.5</v>
      </c>
      <c r="R272" s="4">
        <v>-0.38250544436378697</v>
      </c>
      <c r="S272" t="s">
        <v>658</v>
      </c>
      <c r="T272" s="3">
        <v>-3688.5</v>
      </c>
      <c r="U272" t="s">
        <v>1432</v>
      </c>
      <c r="V272" s="13" t="str">
        <f>TEXT(Table1_1[[#This Row],[OrderDate]],"MM YYYY")</f>
        <v>03 2023</v>
      </c>
      <c r="W272" s="11" t="str">
        <f>TEXT(Table1_1[[#This Row],[OrderDate]],"MM")</f>
        <v>03</v>
      </c>
      <c r="X272" s="11"/>
    </row>
    <row r="273" spans="1:24" x14ac:dyDescent="0.25">
      <c r="A273" t="s">
        <v>326</v>
      </c>
      <c r="B273" s="2">
        <v>45052</v>
      </c>
      <c r="C273" s="2">
        <v>45060</v>
      </c>
      <c r="D273" t="s">
        <v>1413</v>
      </c>
      <c r="E273" s="10">
        <v>8</v>
      </c>
      <c r="F273" t="s">
        <v>1387</v>
      </c>
      <c r="G273" t="s">
        <v>647</v>
      </c>
      <c r="H273" t="s">
        <v>650</v>
      </c>
      <c r="I273" t="s">
        <v>671</v>
      </c>
      <c r="J273" t="s">
        <v>991</v>
      </c>
      <c r="K273">
        <v>16</v>
      </c>
      <c r="L273" s="3">
        <v>291.18</v>
      </c>
      <c r="M273" s="3">
        <v>479.54</v>
      </c>
      <c r="N273" s="3" t="str">
        <f>IF(Table1_1[[#This Row],[UnitPrice]]&lt;=816.08,"low",IF(Table1_1[[#This Row],[UnitPrice]]&lt;=1640.06,"medium","high"))</f>
        <v>low</v>
      </c>
      <c r="O273" s="4">
        <v>0.14099999999999999</v>
      </c>
      <c r="P273" s="3">
        <v>6590.7977600000004</v>
      </c>
      <c r="Q273" s="3">
        <v>4658.88</v>
      </c>
      <c r="R273" s="4">
        <v>0.29312350801066001</v>
      </c>
      <c r="S273" t="s">
        <v>658</v>
      </c>
      <c r="T273" s="3">
        <v>1931.9177600000003</v>
      </c>
      <c r="U273" t="s">
        <v>1435</v>
      </c>
      <c r="V273" s="13" t="str">
        <f>TEXT(Table1_1[[#This Row],[OrderDate]],"MM YYYY")</f>
        <v>05 2023</v>
      </c>
      <c r="W273" s="11" t="str">
        <f>TEXT(Table1_1[[#This Row],[OrderDate]],"MM")</f>
        <v>05</v>
      </c>
      <c r="X273" s="11"/>
    </row>
    <row r="274" spans="1:24" x14ac:dyDescent="0.25">
      <c r="A274" t="s">
        <v>257</v>
      </c>
      <c r="B274" s="2">
        <v>45769</v>
      </c>
      <c r="C274" s="2">
        <v>45779</v>
      </c>
      <c r="D274" t="s">
        <v>1413</v>
      </c>
      <c r="E274" s="10">
        <v>10</v>
      </c>
      <c r="F274" t="s">
        <v>1390</v>
      </c>
      <c r="G274" t="s">
        <v>642</v>
      </c>
      <c r="H274" t="s">
        <v>650</v>
      </c>
      <c r="I274" t="s">
        <v>673</v>
      </c>
      <c r="J274" t="s">
        <v>922</v>
      </c>
      <c r="K274">
        <v>28</v>
      </c>
      <c r="L274" s="3">
        <v>20.149999999999999</v>
      </c>
      <c r="M274" s="3">
        <v>39.74</v>
      </c>
      <c r="N274" s="3" t="str">
        <f>IF(Table1_1[[#This Row],[UnitPrice]]&lt;=816.08,"low",IF(Table1_1[[#This Row],[UnitPrice]]&lt;=1640.06,"medium","high"))</f>
        <v>low</v>
      </c>
      <c r="O274" s="4">
        <v>0.151</v>
      </c>
      <c r="P274" s="3">
        <v>944.69928000000004</v>
      </c>
      <c r="Q274" s="3">
        <v>564.19999999999993</v>
      </c>
      <c r="R274" s="4">
        <v>0.402772912031859</v>
      </c>
      <c r="S274" t="s">
        <v>653</v>
      </c>
      <c r="T274" s="3">
        <v>380.49928000000011</v>
      </c>
      <c r="U274" t="s">
        <v>1431</v>
      </c>
      <c r="V274" s="13" t="str">
        <f>TEXT(Table1_1[[#This Row],[OrderDate]],"MM YYYY")</f>
        <v>04 2025</v>
      </c>
      <c r="W274" s="11" t="str">
        <f>TEXT(Table1_1[[#This Row],[OrderDate]],"MM")</f>
        <v>04</v>
      </c>
      <c r="X274" s="11"/>
    </row>
    <row r="275" spans="1:24" x14ac:dyDescent="0.25">
      <c r="A275" t="s">
        <v>265</v>
      </c>
      <c r="B275" s="2">
        <v>45411</v>
      </c>
      <c r="C275" s="2">
        <v>45431</v>
      </c>
      <c r="D275" t="s">
        <v>1413</v>
      </c>
      <c r="E275" s="10">
        <v>20</v>
      </c>
      <c r="F275" t="s">
        <v>1410</v>
      </c>
      <c r="G275" t="s">
        <v>647</v>
      </c>
      <c r="H275" t="s">
        <v>650</v>
      </c>
      <c r="I275" t="s">
        <v>672</v>
      </c>
      <c r="J275" t="s">
        <v>930</v>
      </c>
      <c r="K275">
        <v>20</v>
      </c>
      <c r="L275" s="3">
        <v>668.97</v>
      </c>
      <c r="M275" s="3">
        <v>1667.44</v>
      </c>
      <c r="N275" s="3" t="str">
        <f>IF(Table1_1[[#This Row],[UnitPrice]]&lt;=816.08,"low",IF(Table1_1[[#This Row],[UnitPrice]]&lt;=1640.06,"medium","high"))</f>
        <v>high</v>
      </c>
      <c r="O275" s="4">
        <v>3.4000000000000002E-2</v>
      </c>
      <c r="P275" s="3">
        <v>32214.9408</v>
      </c>
      <c r="Q275" s="3">
        <v>13379.400000000001</v>
      </c>
      <c r="R275" s="4">
        <v>0.58468339013679005</v>
      </c>
      <c r="S275" t="s">
        <v>653</v>
      </c>
      <c r="T275" s="3">
        <v>18835.540799999999</v>
      </c>
      <c r="U275" t="s">
        <v>1436</v>
      </c>
      <c r="V275" s="13" t="str">
        <f>TEXT(Table1_1[[#This Row],[OrderDate]],"MM YYYY")</f>
        <v>04 2024</v>
      </c>
      <c r="W275" s="11" t="str">
        <f>TEXT(Table1_1[[#This Row],[OrderDate]],"MM")</f>
        <v>04</v>
      </c>
      <c r="X275" s="11"/>
    </row>
    <row r="276" spans="1:24" x14ac:dyDescent="0.25">
      <c r="A276" t="s">
        <v>437</v>
      </c>
      <c r="B276" s="2">
        <v>45522</v>
      </c>
      <c r="C276" s="2">
        <v>45547</v>
      </c>
      <c r="D276" t="s">
        <v>1413</v>
      </c>
      <c r="E276" s="10">
        <v>25</v>
      </c>
      <c r="F276" t="s">
        <v>1405</v>
      </c>
      <c r="G276" t="s">
        <v>645</v>
      </c>
      <c r="H276" t="s">
        <v>650</v>
      </c>
      <c r="I276" t="s">
        <v>671</v>
      </c>
      <c r="J276" t="s">
        <v>1101</v>
      </c>
      <c r="K276">
        <v>21</v>
      </c>
      <c r="L276" s="3">
        <v>1154.03</v>
      </c>
      <c r="M276" s="3">
        <v>1590.36</v>
      </c>
      <c r="N276" s="3" t="str">
        <f>IF(Table1_1[[#This Row],[UnitPrice]]&lt;=816.08,"low",IF(Table1_1[[#This Row],[UnitPrice]]&lt;=1640.06,"medium","high"))</f>
        <v>medium</v>
      </c>
      <c r="O276" s="4">
        <v>0.314</v>
      </c>
      <c r="P276" s="3">
        <v>22910.726159999995</v>
      </c>
      <c r="Q276" s="3">
        <v>24234.63</v>
      </c>
      <c r="R276" s="4">
        <v>-5.7785328616577002E-2</v>
      </c>
      <c r="S276" t="s">
        <v>653</v>
      </c>
      <c r="T276" s="3">
        <v>-1323.9038400000063</v>
      </c>
      <c r="U276" t="s">
        <v>1437</v>
      </c>
      <c r="V276" s="13" t="str">
        <f>TEXT(Table1_1[[#This Row],[OrderDate]],"MM YYYY")</f>
        <v>08 2024</v>
      </c>
      <c r="W276" s="11" t="str">
        <f>TEXT(Table1_1[[#This Row],[OrderDate]],"MM")</f>
        <v>08</v>
      </c>
      <c r="X276" s="11"/>
    </row>
    <row r="277" spans="1:24" x14ac:dyDescent="0.25">
      <c r="A277" t="s">
        <v>402</v>
      </c>
      <c r="B277" s="2">
        <v>45208</v>
      </c>
      <c r="C277" s="2">
        <v>45225</v>
      </c>
      <c r="D277" t="s">
        <v>1413</v>
      </c>
      <c r="E277" s="10">
        <v>17</v>
      </c>
      <c r="F277" t="s">
        <v>1401</v>
      </c>
      <c r="G277" t="s">
        <v>645</v>
      </c>
      <c r="H277" t="s">
        <v>650</v>
      </c>
      <c r="I277" t="s">
        <v>668</v>
      </c>
      <c r="J277" t="s">
        <v>1066</v>
      </c>
      <c r="K277">
        <v>6</v>
      </c>
      <c r="L277" s="3">
        <v>1132.03</v>
      </c>
      <c r="M277" s="3">
        <v>2137.21</v>
      </c>
      <c r="N277" s="3" t="str">
        <f>IF(Table1_1[[#This Row],[UnitPrice]]&lt;=816.08,"low",IF(Table1_1[[#This Row],[UnitPrice]]&lt;=1640.06,"medium","high"))</f>
        <v>high</v>
      </c>
      <c r="O277" s="4">
        <v>0.35699999999999998</v>
      </c>
      <c r="P277" s="3">
        <v>8245.3561800000007</v>
      </c>
      <c r="Q277" s="3">
        <v>6792.18</v>
      </c>
      <c r="R277" s="4">
        <v>0.17624177152284001</v>
      </c>
      <c r="S277" t="s">
        <v>653</v>
      </c>
      <c r="T277" s="3">
        <v>1453.1761800000004</v>
      </c>
      <c r="U277" t="s">
        <v>1439</v>
      </c>
      <c r="V277" s="13" t="str">
        <f>TEXT(Table1_1[[#This Row],[OrderDate]],"MM YYYY")</f>
        <v>10 2023</v>
      </c>
      <c r="W277" s="11" t="str">
        <f>TEXT(Table1_1[[#This Row],[OrderDate]],"MM")</f>
        <v>10</v>
      </c>
      <c r="X277" s="11"/>
    </row>
    <row r="278" spans="1:24" x14ac:dyDescent="0.25">
      <c r="A278" t="s">
        <v>465</v>
      </c>
      <c r="B278" s="2">
        <v>45653</v>
      </c>
      <c r="C278" s="2">
        <v>45655</v>
      </c>
      <c r="D278" t="s">
        <v>1413</v>
      </c>
      <c r="E278" s="10">
        <v>2</v>
      </c>
      <c r="F278" t="s">
        <v>1415</v>
      </c>
      <c r="G278" t="s">
        <v>647</v>
      </c>
      <c r="H278" t="s">
        <v>650</v>
      </c>
      <c r="I278" t="s">
        <v>674</v>
      </c>
      <c r="J278" t="s">
        <v>1129</v>
      </c>
      <c r="K278">
        <v>40</v>
      </c>
      <c r="L278" s="3">
        <v>1146.72</v>
      </c>
      <c r="M278" s="3">
        <v>2074.34</v>
      </c>
      <c r="N278" s="3" t="str">
        <f>IF(Table1_1[[#This Row],[UnitPrice]]&lt;=816.08,"low",IF(Table1_1[[#This Row],[UnitPrice]]&lt;=1640.06,"medium","high"))</f>
        <v>high</v>
      </c>
      <c r="O278" s="4">
        <v>0.111</v>
      </c>
      <c r="P278" s="3">
        <v>73763.530400000003</v>
      </c>
      <c r="Q278" s="3">
        <v>45868.800000000003</v>
      </c>
      <c r="R278" s="4">
        <v>0.37816425337472698</v>
      </c>
      <c r="S278" t="s">
        <v>653</v>
      </c>
      <c r="T278" s="3">
        <v>27894.7304</v>
      </c>
      <c r="U278" t="s">
        <v>1440</v>
      </c>
      <c r="V278" s="13" t="str">
        <f>TEXT(Table1_1[[#This Row],[OrderDate]],"MM YYYY")</f>
        <v>12 2024</v>
      </c>
      <c r="W278" s="11" t="str">
        <f>TEXT(Table1_1[[#This Row],[OrderDate]],"MM")</f>
        <v>12</v>
      </c>
      <c r="X278" s="11"/>
    </row>
    <row r="279" spans="1:24" x14ac:dyDescent="0.25">
      <c r="A279" t="s">
        <v>446</v>
      </c>
      <c r="B279" s="2">
        <v>45650</v>
      </c>
      <c r="C279" s="2">
        <v>45670</v>
      </c>
      <c r="D279" t="s">
        <v>1413</v>
      </c>
      <c r="E279" s="10">
        <v>20</v>
      </c>
      <c r="F279" t="s">
        <v>1388</v>
      </c>
      <c r="G279" t="s">
        <v>642</v>
      </c>
      <c r="H279" t="s">
        <v>650</v>
      </c>
      <c r="I279" t="s">
        <v>670</v>
      </c>
      <c r="J279" t="s">
        <v>1110</v>
      </c>
      <c r="K279">
        <v>8</v>
      </c>
      <c r="L279" s="3">
        <v>126.15</v>
      </c>
      <c r="M279" s="3">
        <v>284.23</v>
      </c>
      <c r="N279" s="3" t="str">
        <f>IF(Table1_1[[#This Row],[UnitPrice]]&lt;=816.08,"low",IF(Table1_1[[#This Row],[UnitPrice]]&lt;=1640.06,"medium","high"))</f>
        <v>low</v>
      </c>
      <c r="O279" s="4">
        <v>0.113</v>
      </c>
      <c r="P279" s="3">
        <v>2016.8960800000002</v>
      </c>
      <c r="Q279" s="3">
        <v>1009.2</v>
      </c>
      <c r="R279" s="4">
        <v>0.49962716968541099</v>
      </c>
      <c r="S279" t="s">
        <v>667</v>
      </c>
      <c r="T279" s="3">
        <v>1007.6960800000002</v>
      </c>
      <c r="U279" t="s">
        <v>1440</v>
      </c>
      <c r="V279" s="13" t="str">
        <f>TEXT(Table1_1[[#This Row],[OrderDate]],"MM YYYY")</f>
        <v>12 2024</v>
      </c>
      <c r="W279" s="11" t="str">
        <f>TEXT(Table1_1[[#This Row],[OrderDate]],"MM")</f>
        <v>12</v>
      </c>
      <c r="X279" s="11"/>
    </row>
    <row r="280" spans="1:24" x14ac:dyDescent="0.25">
      <c r="A280" t="s">
        <v>371</v>
      </c>
      <c r="B280" s="2">
        <v>45833</v>
      </c>
      <c r="C280" s="2">
        <v>45848</v>
      </c>
      <c r="D280" t="s">
        <v>1413</v>
      </c>
      <c r="E280" s="10">
        <v>15</v>
      </c>
      <c r="F280" t="s">
        <v>1392</v>
      </c>
      <c r="G280" t="s">
        <v>644</v>
      </c>
      <c r="H280" t="s">
        <v>650</v>
      </c>
      <c r="I280" t="s">
        <v>671</v>
      </c>
      <c r="J280" t="s">
        <v>1036</v>
      </c>
      <c r="K280">
        <v>17</v>
      </c>
      <c r="L280" s="3">
        <v>546.83000000000004</v>
      </c>
      <c r="M280" s="3">
        <v>400.84</v>
      </c>
      <c r="N280" s="3" t="str">
        <f>IF(Table1_1[[#This Row],[UnitPrice]]&lt;=816.08,"low",IF(Table1_1[[#This Row],[UnitPrice]]&lt;=1640.06,"medium","high"))</f>
        <v>low</v>
      </c>
      <c r="O280" s="4">
        <v>7.8E-2</v>
      </c>
      <c r="P280" s="3">
        <v>6282.7661600000001</v>
      </c>
      <c r="Q280" s="3">
        <v>9296.11</v>
      </c>
      <c r="R280" s="4">
        <v>-0.47962056254533603</v>
      </c>
      <c r="S280" t="s">
        <v>667</v>
      </c>
      <c r="T280" s="3">
        <v>-3013.3438400000005</v>
      </c>
      <c r="U280" t="s">
        <v>1431</v>
      </c>
      <c r="V280" s="13" t="str">
        <f>TEXT(Table1_1[[#This Row],[OrderDate]],"MM YYYY")</f>
        <v>06 2025</v>
      </c>
      <c r="W280" s="11" t="str">
        <f>TEXT(Table1_1[[#This Row],[OrderDate]],"MM")</f>
        <v>06</v>
      </c>
      <c r="X280" s="11"/>
    </row>
    <row r="281" spans="1:24" x14ac:dyDescent="0.25">
      <c r="A281" t="s">
        <v>214</v>
      </c>
      <c r="B281" s="2">
        <v>45692</v>
      </c>
      <c r="C281" s="2">
        <v>45713</v>
      </c>
      <c r="D281" t="s">
        <v>1413</v>
      </c>
      <c r="E281" s="10">
        <v>21</v>
      </c>
      <c r="F281" t="s">
        <v>1392</v>
      </c>
      <c r="G281" t="s">
        <v>642</v>
      </c>
      <c r="H281" t="s">
        <v>650</v>
      </c>
      <c r="I281" t="s">
        <v>673</v>
      </c>
      <c r="J281" t="s">
        <v>879</v>
      </c>
      <c r="K281">
        <v>5</v>
      </c>
      <c r="L281" s="3">
        <v>1016.32</v>
      </c>
      <c r="M281" s="3">
        <v>2253.42</v>
      </c>
      <c r="N281" s="3" t="str">
        <f>IF(Table1_1[[#This Row],[UnitPrice]]&lt;=816.08,"low",IF(Table1_1[[#This Row],[UnitPrice]]&lt;=1640.06,"medium","high"))</f>
        <v>high</v>
      </c>
      <c r="O281" s="4">
        <v>5.5E-2</v>
      </c>
      <c r="P281" s="3">
        <v>10647.4095</v>
      </c>
      <c r="Q281" s="3">
        <v>5081.6000000000004</v>
      </c>
      <c r="R281" s="4">
        <v>0.52273837124419797</v>
      </c>
      <c r="S281" t="s">
        <v>667</v>
      </c>
      <c r="T281" s="3">
        <v>5565.8094999999994</v>
      </c>
      <c r="U281" t="s">
        <v>1434</v>
      </c>
      <c r="V281" s="13" t="str">
        <f>TEXT(Table1_1[[#This Row],[OrderDate]],"MM YYYY")</f>
        <v>02 2025</v>
      </c>
      <c r="W281" s="11" t="str">
        <f>TEXT(Table1_1[[#This Row],[OrderDate]],"MM")</f>
        <v>02</v>
      </c>
      <c r="X281" s="11"/>
    </row>
    <row r="282" spans="1:24" x14ac:dyDescent="0.25">
      <c r="A282" t="s">
        <v>592</v>
      </c>
      <c r="B282" s="2">
        <v>44955</v>
      </c>
      <c r="C282" s="2">
        <v>44963</v>
      </c>
      <c r="D282" t="s">
        <v>1413</v>
      </c>
      <c r="E282" s="10">
        <v>8</v>
      </c>
      <c r="F282" t="s">
        <v>1416</v>
      </c>
      <c r="G282" t="s">
        <v>642</v>
      </c>
      <c r="H282" t="s">
        <v>650</v>
      </c>
      <c r="I282" t="s">
        <v>673</v>
      </c>
      <c r="J282" t="s">
        <v>1255</v>
      </c>
      <c r="K282">
        <v>9</v>
      </c>
      <c r="L282" s="3">
        <v>41.84</v>
      </c>
      <c r="M282" s="3">
        <v>86.2</v>
      </c>
      <c r="N282" s="3" t="str">
        <f>IF(Table1_1[[#This Row],[UnitPrice]]&lt;=816.08,"low",IF(Table1_1[[#This Row],[UnitPrice]]&lt;=1640.06,"medium","high"))</f>
        <v>low</v>
      </c>
      <c r="O282" s="4">
        <v>0.22600000000000001</v>
      </c>
      <c r="P282" s="3">
        <v>600.46920000000011</v>
      </c>
      <c r="Q282" s="3">
        <v>376.56000000000006</v>
      </c>
      <c r="R282" s="4">
        <v>0.37289039970742899</v>
      </c>
      <c r="S282" t="s">
        <v>667</v>
      </c>
      <c r="T282" s="3">
        <v>223.90920000000006</v>
      </c>
      <c r="U282" t="s">
        <v>1432</v>
      </c>
      <c r="V282" s="13" t="str">
        <f>TEXT(Table1_1[[#This Row],[OrderDate]],"MM YYYY")</f>
        <v>01 2023</v>
      </c>
      <c r="W282" s="11" t="str">
        <f>TEXT(Table1_1[[#This Row],[OrderDate]],"MM")</f>
        <v>01</v>
      </c>
      <c r="X282" s="11"/>
    </row>
    <row r="283" spans="1:24" x14ac:dyDescent="0.25">
      <c r="A283" t="s">
        <v>96</v>
      </c>
      <c r="B283" s="2">
        <v>45282</v>
      </c>
      <c r="C283" s="2">
        <v>45283</v>
      </c>
      <c r="D283" t="s">
        <v>1413</v>
      </c>
      <c r="E283" s="10">
        <v>1</v>
      </c>
      <c r="F283" t="s">
        <v>1408</v>
      </c>
      <c r="G283" t="s">
        <v>644</v>
      </c>
      <c r="H283" t="s">
        <v>650</v>
      </c>
      <c r="I283" t="s">
        <v>668</v>
      </c>
      <c r="J283" t="s">
        <v>760</v>
      </c>
      <c r="K283">
        <v>7</v>
      </c>
      <c r="L283" s="3">
        <v>1186.18</v>
      </c>
      <c r="M283" s="3">
        <v>1285.0899999999999</v>
      </c>
      <c r="N283" s="3" t="str">
        <f>IF(Table1_1[[#This Row],[UnitPrice]]&lt;=816.08,"low",IF(Table1_1[[#This Row],[UnitPrice]]&lt;=1640.06,"medium","high"))</f>
        <v>medium</v>
      </c>
      <c r="O283" s="4">
        <v>7.0000000000000007E-2</v>
      </c>
      <c r="P283" s="3">
        <v>8365.9358999999986</v>
      </c>
      <c r="Q283" s="3">
        <v>8303.26</v>
      </c>
      <c r="R283" s="4">
        <v>7.4917977796122503E-3</v>
      </c>
      <c r="S283" t="s">
        <v>667</v>
      </c>
      <c r="T283" s="3">
        <v>62.675899999998364</v>
      </c>
      <c r="U283" t="s">
        <v>1439</v>
      </c>
      <c r="V283" s="13" t="str">
        <f>TEXT(Table1_1[[#This Row],[OrderDate]],"MM YYYY")</f>
        <v>12 2023</v>
      </c>
      <c r="W283" s="11" t="str">
        <f>TEXT(Table1_1[[#This Row],[OrderDate]],"MM")</f>
        <v>12</v>
      </c>
      <c r="X283" s="11"/>
    </row>
    <row r="284" spans="1:24" x14ac:dyDescent="0.25">
      <c r="A284" t="s">
        <v>409</v>
      </c>
      <c r="B284" s="2">
        <v>45541</v>
      </c>
      <c r="C284" s="2">
        <v>45569</v>
      </c>
      <c r="D284" t="s">
        <v>1413</v>
      </c>
      <c r="E284" s="10">
        <v>28</v>
      </c>
      <c r="F284" t="s">
        <v>1408</v>
      </c>
      <c r="G284" t="s">
        <v>642</v>
      </c>
      <c r="H284" t="s">
        <v>650</v>
      </c>
      <c r="I284" t="s">
        <v>673</v>
      </c>
      <c r="J284" t="s">
        <v>1073</v>
      </c>
      <c r="K284">
        <v>6</v>
      </c>
      <c r="L284" s="3">
        <v>1174.17</v>
      </c>
      <c r="M284" s="3">
        <v>1641.61</v>
      </c>
      <c r="N284" s="3" t="str">
        <f>IF(Table1_1[[#This Row],[UnitPrice]]&lt;=816.08,"low",IF(Table1_1[[#This Row],[UnitPrice]]&lt;=1640.06,"medium","high"))</f>
        <v>high</v>
      </c>
      <c r="O284" s="4">
        <v>0.122</v>
      </c>
      <c r="P284" s="3">
        <v>8648.001479999999</v>
      </c>
      <c r="Q284" s="3">
        <v>7045.02</v>
      </c>
      <c r="R284" s="4">
        <v>0.185358603800794</v>
      </c>
      <c r="S284" t="s">
        <v>667</v>
      </c>
      <c r="T284" s="3">
        <v>1602.9814799999986</v>
      </c>
      <c r="U284" t="s">
        <v>1437</v>
      </c>
      <c r="V284" s="13" t="str">
        <f>TEXT(Table1_1[[#This Row],[OrderDate]],"MM YYYY")</f>
        <v>09 2024</v>
      </c>
      <c r="W284" s="11" t="str">
        <f>TEXT(Table1_1[[#This Row],[OrderDate]],"MM")</f>
        <v>09</v>
      </c>
      <c r="X284" s="11"/>
    </row>
    <row r="285" spans="1:24" x14ac:dyDescent="0.25">
      <c r="A285" t="s">
        <v>411</v>
      </c>
      <c r="B285" s="2">
        <v>45516</v>
      </c>
      <c r="C285" s="2">
        <v>45519</v>
      </c>
      <c r="D285" t="s">
        <v>1413</v>
      </c>
      <c r="E285" s="10">
        <v>3</v>
      </c>
      <c r="F285" t="s">
        <v>1422</v>
      </c>
      <c r="G285" t="s">
        <v>642</v>
      </c>
      <c r="H285" t="s">
        <v>650</v>
      </c>
      <c r="I285" t="s">
        <v>669</v>
      </c>
      <c r="J285" t="s">
        <v>1075</v>
      </c>
      <c r="K285">
        <v>12</v>
      </c>
      <c r="L285" s="3">
        <v>850.7</v>
      </c>
      <c r="M285" s="3">
        <v>1118.56</v>
      </c>
      <c r="N285" s="3" t="str">
        <f>IF(Table1_1[[#This Row],[UnitPrice]]&lt;=816.08,"low",IF(Table1_1[[#This Row],[UnitPrice]]&lt;=1640.06,"medium","high"))</f>
        <v>medium</v>
      </c>
      <c r="O285" s="4">
        <v>0.18</v>
      </c>
      <c r="P285" s="3">
        <v>11006.6304</v>
      </c>
      <c r="Q285" s="3">
        <v>10208.400000000001</v>
      </c>
      <c r="R285" s="4">
        <v>7.2522685962090494E-2</v>
      </c>
      <c r="S285" t="s">
        <v>667</v>
      </c>
      <c r="T285" s="3">
        <v>798.23039999999855</v>
      </c>
      <c r="U285" t="s">
        <v>1437</v>
      </c>
      <c r="V285" s="13" t="str">
        <f>TEXT(Table1_1[[#This Row],[OrderDate]],"MM YYYY")</f>
        <v>08 2024</v>
      </c>
      <c r="W285" s="11" t="str">
        <f>TEXT(Table1_1[[#This Row],[OrderDate]],"MM")</f>
        <v>08</v>
      </c>
      <c r="X285" s="11"/>
    </row>
    <row r="286" spans="1:24" x14ac:dyDescent="0.25">
      <c r="A286" t="s">
        <v>558</v>
      </c>
      <c r="B286" s="2">
        <v>44985</v>
      </c>
      <c r="C286" s="2">
        <v>44991</v>
      </c>
      <c r="D286" t="s">
        <v>1413</v>
      </c>
      <c r="E286" s="10">
        <v>6</v>
      </c>
      <c r="F286" t="s">
        <v>1410</v>
      </c>
      <c r="G286" t="s">
        <v>646</v>
      </c>
      <c r="H286" t="s">
        <v>650</v>
      </c>
      <c r="I286" t="s">
        <v>669</v>
      </c>
      <c r="J286" t="s">
        <v>1221</v>
      </c>
      <c r="K286">
        <v>12</v>
      </c>
      <c r="L286" s="3">
        <v>880.02</v>
      </c>
      <c r="M286" s="3">
        <v>1251.21</v>
      </c>
      <c r="N286" s="3" t="str">
        <f>IF(Table1_1[[#This Row],[UnitPrice]]&lt;=816.08,"low",IF(Table1_1[[#This Row],[UnitPrice]]&lt;=1640.06,"medium","high"))</f>
        <v>medium</v>
      </c>
      <c r="O286" s="4">
        <v>0.123</v>
      </c>
      <c r="P286" s="3">
        <v>13167.734040000001</v>
      </c>
      <c r="Q286" s="3">
        <v>10560.24</v>
      </c>
      <c r="R286" s="4">
        <v>0.198021469151727</v>
      </c>
      <c r="S286" t="s">
        <v>667</v>
      </c>
      <c r="T286" s="3">
        <v>2607.4940400000014</v>
      </c>
      <c r="U286" t="s">
        <v>1432</v>
      </c>
      <c r="V286" s="13" t="str">
        <f>TEXT(Table1_1[[#This Row],[OrderDate]],"MM YYYY")</f>
        <v>02 2023</v>
      </c>
      <c r="W286" s="11" t="str">
        <f>TEXT(Table1_1[[#This Row],[OrderDate]],"MM")</f>
        <v>02</v>
      </c>
      <c r="X286" s="11"/>
    </row>
    <row r="287" spans="1:24" x14ac:dyDescent="0.25">
      <c r="A287" t="s">
        <v>43</v>
      </c>
      <c r="B287" s="2">
        <v>45862</v>
      </c>
      <c r="C287" s="2">
        <v>45875</v>
      </c>
      <c r="D287" t="s">
        <v>1413</v>
      </c>
      <c r="E287" s="10">
        <v>13</v>
      </c>
      <c r="F287" t="s">
        <v>1398</v>
      </c>
      <c r="G287" t="s">
        <v>643</v>
      </c>
      <c r="H287" t="s">
        <v>650</v>
      </c>
      <c r="I287" t="s">
        <v>670</v>
      </c>
      <c r="J287" t="s">
        <v>707</v>
      </c>
      <c r="K287">
        <v>7</v>
      </c>
      <c r="L287" s="3">
        <v>1463.9</v>
      </c>
      <c r="M287" s="3">
        <v>2633.02</v>
      </c>
      <c r="N287" s="3" t="str">
        <f>IF(Table1_1[[#This Row],[UnitPrice]]&lt;=816.08,"low",IF(Table1_1[[#This Row],[UnitPrice]]&lt;=1640.06,"medium","high"))</f>
        <v>high</v>
      </c>
      <c r="O287" s="4">
        <v>8.4000000000000005E-2</v>
      </c>
      <c r="P287" s="3">
        <v>16882.92424</v>
      </c>
      <c r="Q287" s="3">
        <v>10247.300000000001</v>
      </c>
      <c r="R287" s="4">
        <v>0.39303761277791499</v>
      </c>
      <c r="S287" t="s">
        <v>667</v>
      </c>
      <c r="T287" s="3">
        <v>6635.6242399999992</v>
      </c>
      <c r="U287" t="s">
        <v>1438</v>
      </c>
      <c r="V287" s="13" t="str">
        <f>TEXT(Table1_1[[#This Row],[OrderDate]],"MM YYYY")</f>
        <v>07 2025</v>
      </c>
      <c r="W287" s="11" t="str">
        <f>TEXT(Table1_1[[#This Row],[OrderDate]],"MM")</f>
        <v>07</v>
      </c>
      <c r="X287" s="11"/>
    </row>
    <row r="288" spans="1:24" x14ac:dyDescent="0.25">
      <c r="A288" t="s">
        <v>421</v>
      </c>
      <c r="B288" s="2">
        <v>45430</v>
      </c>
      <c r="C288" s="2">
        <v>45433</v>
      </c>
      <c r="D288" t="s">
        <v>1413</v>
      </c>
      <c r="E288" s="10">
        <v>3</v>
      </c>
      <c r="F288" t="s">
        <v>1391</v>
      </c>
      <c r="G288" t="s">
        <v>644</v>
      </c>
      <c r="H288" t="s">
        <v>650</v>
      </c>
      <c r="I288" t="s">
        <v>669</v>
      </c>
      <c r="J288" t="s">
        <v>1085</v>
      </c>
      <c r="K288">
        <v>14</v>
      </c>
      <c r="L288" s="3">
        <v>663.66</v>
      </c>
      <c r="M288" s="3">
        <v>824.26</v>
      </c>
      <c r="N288" s="3" t="str">
        <f>IF(Table1_1[[#This Row],[UnitPrice]]&lt;=816.08,"low",IF(Table1_1[[#This Row],[UnitPrice]]&lt;=1640.06,"medium","high"))</f>
        <v>medium</v>
      </c>
      <c r="O288" s="4">
        <v>0.23899999999999999</v>
      </c>
      <c r="P288" s="3">
        <v>8781.6660400000001</v>
      </c>
      <c r="Q288" s="3">
        <v>9291.24</v>
      </c>
      <c r="R288" s="4">
        <v>-5.8027025587049003E-2</v>
      </c>
      <c r="S288" t="s">
        <v>667</v>
      </c>
      <c r="T288" s="3">
        <v>-509.57395999999972</v>
      </c>
      <c r="U288" t="s">
        <v>1436</v>
      </c>
      <c r="V288" s="13" t="str">
        <f>TEXT(Table1_1[[#This Row],[OrderDate]],"MM YYYY")</f>
        <v>05 2024</v>
      </c>
      <c r="W288" s="11" t="str">
        <f>TEXT(Table1_1[[#This Row],[OrderDate]],"MM")</f>
        <v>05</v>
      </c>
      <c r="X288" s="11"/>
    </row>
    <row r="289" spans="1:24" x14ac:dyDescent="0.25">
      <c r="A289" t="s">
        <v>239</v>
      </c>
      <c r="B289" s="2">
        <v>44992</v>
      </c>
      <c r="C289" s="2">
        <v>45017</v>
      </c>
      <c r="D289" t="s">
        <v>1413</v>
      </c>
      <c r="E289" s="10">
        <v>25</v>
      </c>
      <c r="F289" t="s">
        <v>1385</v>
      </c>
      <c r="G289" t="s">
        <v>645</v>
      </c>
      <c r="H289" t="s">
        <v>650</v>
      </c>
      <c r="I289" t="s">
        <v>669</v>
      </c>
      <c r="J289" t="s">
        <v>904</v>
      </c>
      <c r="K289">
        <v>9</v>
      </c>
      <c r="L289" s="3">
        <v>1024.0999999999999</v>
      </c>
      <c r="M289" s="3">
        <v>918.19</v>
      </c>
      <c r="N289" s="3" t="str">
        <f>IF(Table1_1[[#This Row],[UnitPrice]]&lt;=816.08,"low",IF(Table1_1[[#This Row],[UnitPrice]]&lt;=1640.06,"medium","high"))</f>
        <v>medium</v>
      </c>
      <c r="O289" s="4">
        <v>0.189</v>
      </c>
      <c r="P289" s="3">
        <v>6701.8688099999999</v>
      </c>
      <c r="Q289" s="3">
        <v>9216.9</v>
      </c>
      <c r="R289" s="4">
        <v>-0.37527311579827799</v>
      </c>
      <c r="S289" t="s">
        <v>667</v>
      </c>
      <c r="T289" s="3">
        <v>-2515.0311899999997</v>
      </c>
      <c r="U289" t="s">
        <v>1432</v>
      </c>
      <c r="V289" s="13" t="str">
        <f>TEXT(Table1_1[[#This Row],[OrderDate]],"MM YYYY")</f>
        <v>03 2023</v>
      </c>
      <c r="W289" s="11" t="str">
        <f>TEXT(Table1_1[[#This Row],[OrderDate]],"MM")</f>
        <v>03</v>
      </c>
      <c r="X289" s="11"/>
    </row>
    <row r="290" spans="1:24" x14ac:dyDescent="0.25">
      <c r="A290" t="s">
        <v>17</v>
      </c>
      <c r="B290" s="2">
        <v>45653</v>
      </c>
      <c r="C290" s="2">
        <v>45671</v>
      </c>
      <c r="D290" t="s">
        <v>1413</v>
      </c>
      <c r="E290" s="10">
        <v>18</v>
      </c>
      <c r="F290" t="s">
        <v>1388</v>
      </c>
      <c r="G290" t="s">
        <v>646</v>
      </c>
      <c r="H290" t="s">
        <v>650</v>
      </c>
      <c r="I290" t="s">
        <v>673</v>
      </c>
      <c r="J290" t="s">
        <v>681</v>
      </c>
      <c r="K290">
        <v>18</v>
      </c>
      <c r="L290" s="3">
        <v>586.07000000000005</v>
      </c>
      <c r="M290" s="3">
        <v>845.97</v>
      </c>
      <c r="N290" s="3" t="str">
        <f>IF(Table1_1[[#This Row],[UnitPrice]]&lt;=816.08,"low",IF(Table1_1[[#This Row],[UnitPrice]]&lt;=1640.06,"medium","high"))</f>
        <v>medium</v>
      </c>
      <c r="O290" s="4">
        <v>0.14699999999999999</v>
      </c>
      <c r="P290" s="3">
        <v>12989.023380000001</v>
      </c>
      <c r="Q290" s="3">
        <v>10549.26</v>
      </c>
      <c r="R290" s="4">
        <v>0.18783270370862901</v>
      </c>
      <c r="S290" t="s">
        <v>659</v>
      </c>
      <c r="T290" s="3">
        <v>2439.7633800000003</v>
      </c>
      <c r="U290" t="s">
        <v>1440</v>
      </c>
      <c r="V290" s="13" t="str">
        <f>TEXT(Table1_1[[#This Row],[OrderDate]],"MM YYYY")</f>
        <v>12 2024</v>
      </c>
      <c r="W290" s="11" t="str">
        <f>TEXT(Table1_1[[#This Row],[OrderDate]],"MM")</f>
        <v>12</v>
      </c>
      <c r="X290" s="11"/>
    </row>
    <row r="291" spans="1:24" x14ac:dyDescent="0.25">
      <c r="A291" t="s">
        <v>436</v>
      </c>
      <c r="B291" s="2">
        <v>45897</v>
      </c>
      <c r="C291" s="2">
        <v>45905</v>
      </c>
      <c r="D291" t="s">
        <v>1413</v>
      </c>
      <c r="E291" s="10">
        <v>8</v>
      </c>
      <c r="F291" t="s">
        <v>1384</v>
      </c>
      <c r="G291" t="s">
        <v>646</v>
      </c>
      <c r="H291" t="s">
        <v>650</v>
      </c>
      <c r="I291" t="s">
        <v>672</v>
      </c>
      <c r="J291" t="s">
        <v>1100</v>
      </c>
      <c r="K291">
        <v>13</v>
      </c>
      <c r="L291" s="3">
        <v>1271.0999999999999</v>
      </c>
      <c r="M291" s="3">
        <v>1932.42</v>
      </c>
      <c r="N291" s="3" t="str">
        <f>IF(Table1_1[[#This Row],[UnitPrice]]&lt;=816.08,"low",IF(Table1_1[[#This Row],[UnitPrice]]&lt;=1640.06,"medium","high"))</f>
        <v>high</v>
      </c>
      <c r="O291" s="4">
        <v>0.25</v>
      </c>
      <c r="P291" s="3">
        <v>18841.095000000001</v>
      </c>
      <c r="Q291" s="3">
        <v>16524.3</v>
      </c>
      <c r="R291" s="4">
        <v>0.122964986907608</v>
      </c>
      <c r="S291" t="s">
        <v>659</v>
      </c>
      <c r="T291" s="3">
        <v>2316.7950000000019</v>
      </c>
      <c r="U291" t="s">
        <v>1438</v>
      </c>
      <c r="V291" s="13" t="str">
        <f>TEXT(Table1_1[[#This Row],[OrderDate]],"MM YYYY")</f>
        <v>08 2025</v>
      </c>
      <c r="W291" s="11" t="str">
        <f>TEXT(Table1_1[[#This Row],[OrderDate]],"MM")</f>
        <v>08</v>
      </c>
      <c r="X291" s="11"/>
    </row>
    <row r="292" spans="1:24" x14ac:dyDescent="0.25">
      <c r="A292" t="s">
        <v>32</v>
      </c>
      <c r="B292" s="2">
        <v>45057</v>
      </c>
      <c r="C292" s="2">
        <v>45074</v>
      </c>
      <c r="D292" t="s">
        <v>1413</v>
      </c>
      <c r="E292" s="10">
        <v>17</v>
      </c>
      <c r="F292" t="s">
        <v>1394</v>
      </c>
      <c r="G292" t="s">
        <v>647</v>
      </c>
      <c r="H292" t="s">
        <v>650</v>
      </c>
      <c r="I292" t="s">
        <v>670</v>
      </c>
      <c r="J292" t="s">
        <v>696</v>
      </c>
      <c r="K292">
        <v>18</v>
      </c>
      <c r="L292" s="3">
        <v>1331.19</v>
      </c>
      <c r="M292" s="3">
        <v>2903.09</v>
      </c>
      <c r="N292" s="3" t="str">
        <f>IF(Table1_1[[#This Row],[UnitPrice]]&lt;=816.08,"low",IF(Table1_1[[#This Row],[UnitPrice]]&lt;=1640.06,"medium","high"))</f>
        <v>high</v>
      </c>
      <c r="O292" s="4">
        <v>0.14299999999999999</v>
      </c>
      <c r="P292" s="3">
        <v>44783.066340000005</v>
      </c>
      <c r="Q292" s="3">
        <v>23961.420000000002</v>
      </c>
      <c r="R292" s="4">
        <v>0.46494463290920801</v>
      </c>
      <c r="S292" t="s">
        <v>659</v>
      </c>
      <c r="T292" s="3">
        <v>20821.646340000003</v>
      </c>
      <c r="U292" t="s">
        <v>1435</v>
      </c>
      <c r="V292" s="13" t="str">
        <f>TEXT(Table1_1[[#This Row],[OrderDate]],"MM YYYY")</f>
        <v>05 2023</v>
      </c>
      <c r="W292" s="11" t="str">
        <f>TEXT(Table1_1[[#This Row],[OrderDate]],"MM")</f>
        <v>05</v>
      </c>
      <c r="X292" s="11"/>
    </row>
    <row r="293" spans="1:24" x14ac:dyDescent="0.25">
      <c r="A293" t="s">
        <v>82</v>
      </c>
      <c r="B293" s="2">
        <v>45756</v>
      </c>
      <c r="C293" s="2">
        <v>45783</v>
      </c>
      <c r="D293" t="s">
        <v>1413</v>
      </c>
      <c r="E293" s="10">
        <v>27</v>
      </c>
      <c r="F293" t="s">
        <v>1416</v>
      </c>
      <c r="G293" t="s">
        <v>647</v>
      </c>
      <c r="H293" t="s">
        <v>650</v>
      </c>
      <c r="I293" t="s">
        <v>672</v>
      </c>
      <c r="J293" t="s">
        <v>746</v>
      </c>
      <c r="K293">
        <v>11</v>
      </c>
      <c r="L293" s="3">
        <v>264.19</v>
      </c>
      <c r="M293" s="3">
        <v>620.92999999999995</v>
      </c>
      <c r="N293" s="3" t="str">
        <f>IF(Table1_1[[#This Row],[UnitPrice]]&lt;=816.08,"low",IF(Table1_1[[#This Row],[UnitPrice]]&lt;=1640.06,"medium","high"))</f>
        <v>low</v>
      </c>
      <c r="O293" s="4">
        <v>0.14199999999999999</v>
      </c>
      <c r="P293" s="3">
        <v>5860.3373399999991</v>
      </c>
      <c r="Q293" s="3">
        <v>2906.09</v>
      </c>
      <c r="R293" s="4">
        <v>0.50410875152794499</v>
      </c>
      <c r="S293" t="s">
        <v>662</v>
      </c>
      <c r="T293" s="3">
        <v>2954.247339999999</v>
      </c>
      <c r="U293" t="s">
        <v>1431</v>
      </c>
      <c r="V293" s="13" t="str">
        <f>TEXT(Table1_1[[#This Row],[OrderDate]],"MM YYYY")</f>
        <v>04 2025</v>
      </c>
      <c r="W293" s="11" t="str">
        <f>TEXT(Table1_1[[#This Row],[OrderDate]],"MM")</f>
        <v>04</v>
      </c>
      <c r="X293" s="11"/>
    </row>
    <row r="294" spans="1:24" x14ac:dyDescent="0.25">
      <c r="A294" t="s">
        <v>414</v>
      </c>
      <c r="B294" s="2">
        <v>45677</v>
      </c>
      <c r="C294" s="2">
        <v>45691</v>
      </c>
      <c r="D294" t="s">
        <v>1413</v>
      </c>
      <c r="E294" s="10">
        <v>14</v>
      </c>
      <c r="F294" t="s">
        <v>1416</v>
      </c>
      <c r="G294" t="s">
        <v>647</v>
      </c>
      <c r="H294" t="s">
        <v>650</v>
      </c>
      <c r="I294" t="s">
        <v>668</v>
      </c>
      <c r="J294" t="s">
        <v>1078</v>
      </c>
      <c r="K294">
        <v>14</v>
      </c>
      <c r="L294" s="3">
        <v>974.11</v>
      </c>
      <c r="M294" s="3">
        <v>880.99</v>
      </c>
      <c r="N294" s="3" t="str">
        <f>IF(Table1_1[[#This Row],[UnitPrice]]&lt;=816.08,"low",IF(Table1_1[[#This Row],[UnitPrice]]&lt;=1640.06,"medium","high"))</f>
        <v>medium</v>
      </c>
      <c r="O294" s="4">
        <v>0.111</v>
      </c>
      <c r="P294" s="3">
        <v>10964.80154</v>
      </c>
      <c r="Q294" s="3">
        <v>13637.54</v>
      </c>
      <c r="R294" s="4">
        <v>-0.24375620938051201</v>
      </c>
      <c r="S294" t="s">
        <v>662</v>
      </c>
      <c r="T294" s="3">
        <v>-2672.7384600000005</v>
      </c>
      <c r="U294" t="s">
        <v>1434</v>
      </c>
      <c r="V294" s="13" t="str">
        <f>TEXT(Table1_1[[#This Row],[OrderDate]],"MM YYYY")</f>
        <v>01 2025</v>
      </c>
      <c r="W294" s="11" t="str">
        <f>TEXT(Table1_1[[#This Row],[OrderDate]],"MM")</f>
        <v>01</v>
      </c>
      <c r="X294" s="11"/>
    </row>
    <row r="295" spans="1:24" x14ac:dyDescent="0.25">
      <c r="A295" t="s">
        <v>353</v>
      </c>
      <c r="B295" s="2">
        <v>45339</v>
      </c>
      <c r="C295" s="2">
        <v>45355</v>
      </c>
      <c r="D295" t="s">
        <v>1413</v>
      </c>
      <c r="E295" s="10">
        <v>16</v>
      </c>
      <c r="F295" t="s">
        <v>1397</v>
      </c>
      <c r="G295" t="s">
        <v>646</v>
      </c>
      <c r="H295" t="s">
        <v>650</v>
      </c>
      <c r="I295" t="s">
        <v>671</v>
      </c>
      <c r="J295" t="s">
        <v>1018</v>
      </c>
      <c r="K295">
        <v>15</v>
      </c>
      <c r="L295" s="3">
        <v>1231.8</v>
      </c>
      <c r="M295" s="3">
        <v>2015.99</v>
      </c>
      <c r="N295" s="3" t="str">
        <f>IF(Table1_1[[#This Row],[UnitPrice]]&lt;=816.08,"low",IF(Table1_1[[#This Row],[UnitPrice]]&lt;=1640.06,"medium","high"))</f>
        <v>high</v>
      </c>
      <c r="O295" s="4">
        <v>0.26100000000000001</v>
      </c>
      <c r="P295" s="3">
        <v>22347.24915</v>
      </c>
      <c r="Q295" s="3">
        <v>18477</v>
      </c>
      <c r="R295" s="4">
        <v>0.17318682599464399</v>
      </c>
      <c r="S295" t="s">
        <v>662</v>
      </c>
      <c r="T295" s="3">
        <v>3870.2491499999996</v>
      </c>
      <c r="U295" t="s">
        <v>1433</v>
      </c>
      <c r="V295" s="13" t="str">
        <f>TEXT(Table1_1[[#This Row],[OrderDate]],"MM YYYY")</f>
        <v>02 2024</v>
      </c>
      <c r="W295" s="11" t="str">
        <f>TEXT(Table1_1[[#This Row],[OrderDate]],"MM")</f>
        <v>02</v>
      </c>
      <c r="X295" s="11"/>
    </row>
    <row r="296" spans="1:24" x14ac:dyDescent="0.25">
      <c r="A296" t="s">
        <v>288</v>
      </c>
      <c r="B296" s="2">
        <v>45459</v>
      </c>
      <c r="C296" s="2">
        <v>45476</v>
      </c>
      <c r="D296" t="s">
        <v>1413</v>
      </c>
      <c r="E296" s="10">
        <v>17</v>
      </c>
      <c r="F296" t="s">
        <v>1398</v>
      </c>
      <c r="G296" t="s">
        <v>647</v>
      </c>
      <c r="H296" t="s">
        <v>650</v>
      </c>
      <c r="I296" t="s">
        <v>671</v>
      </c>
      <c r="J296" t="s">
        <v>953</v>
      </c>
      <c r="K296">
        <v>9</v>
      </c>
      <c r="L296" s="3">
        <v>1173.83</v>
      </c>
      <c r="M296" s="3">
        <v>2328.9</v>
      </c>
      <c r="N296" s="3" t="str">
        <f>IF(Table1_1[[#This Row],[UnitPrice]]&lt;=816.08,"low",IF(Table1_1[[#This Row],[UnitPrice]]&lt;=1640.06,"medium","high"))</f>
        <v>high</v>
      </c>
      <c r="O296" s="4">
        <v>0.12</v>
      </c>
      <c r="P296" s="3">
        <v>18444.888000000003</v>
      </c>
      <c r="Q296" s="3">
        <v>10564.47</v>
      </c>
      <c r="R296" s="4">
        <v>0.42724130393201598</v>
      </c>
      <c r="S296" t="s">
        <v>662</v>
      </c>
      <c r="T296" s="3">
        <v>7880.4180000000033</v>
      </c>
      <c r="U296" t="s">
        <v>1436</v>
      </c>
      <c r="V296" s="13" t="str">
        <f>TEXT(Table1_1[[#This Row],[OrderDate]],"MM YYYY")</f>
        <v>06 2024</v>
      </c>
      <c r="W296" s="11" t="str">
        <f>TEXT(Table1_1[[#This Row],[OrderDate]],"MM")</f>
        <v>06</v>
      </c>
      <c r="X296" s="11"/>
    </row>
    <row r="297" spans="1:24" x14ac:dyDescent="0.25">
      <c r="A297" t="s">
        <v>410</v>
      </c>
      <c r="B297" s="2">
        <v>45759</v>
      </c>
      <c r="C297" s="2">
        <v>45777</v>
      </c>
      <c r="D297" t="s">
        <v>1413</v>
      </c>
      <c r="E297" s="10">
        <v>18</v>
      </c>
      <c r="F297" t="s">
        <v>1383</v>
      </c>
      <c r="G297" t="s">
        <v>642</v>
      </c>
      <c r="H297" t="s">
        <v>650</v>
      </c>
      <c r="I297" t="s">
        <v>670</v>
      </c>
      <c r="J297" t="s">
        <v>1074</v>
      </c>
      <c r="K297">
        <v>7</v>
      </c>
      <c r="L297" s="3">
        <v>1119.04</v>
      </c>
      <c r="M297" s="3">
        <v>1299.02</v>
      </c>
      <c r="N297" s="3" t="str">
        <f>IF(Table1_1[[#This Row],[UnitPrice]]&lt;=816.08,"low",IF(Table1_1[[#This Row],[UnitPrice]]&lt;=1640.06,"medium","high"))</f>
        <v>medium</v>
      </c>
      <c r="O297" s="4">
        <v>2.5000000000000001E-2</v>
      </c>
      <c r="P297" s="3">
        <v>8865.8114999999998</v>
      </c>
      <c r="Q297" s="3">
        <v>7833.28</v>
      </c>
      <c r="R297" s="4">
        <v>0.11646215352085899</v>
      </c>
      <c r="S297" t="s">
        <v>662</v>
      </c>
      <c r="T297" s="3">
        <v>1032.5315000000001</v>
      </c>
      <c r="U297" t="s">
        <v>1431</v>
      </c>
      <c r="V297" s="13" t="str">
        <f>TEXT(Table1_1[[#This Row],[OrderDate]],"MM YYYY")</f>
        <v>04 2025</v>
      </c>
      <c r="W297" s="11" t="str">
        <f>TEXT(Table1_1[[#This Row],[OrderDate]],"MM")</f>
        <v>04</v>
      </c>
      <c r="X297" s="11"/>
    </row>
    <row r="298" spans="1:24" x14ac:dyDescent="0.25">
      <c r="A298" t="s">
        <v>507</v>
      </c>
      <c r="B298" s="2">
        <v>45544</v>
      </c>
      <c r="C298" s="2">
        <v>45548</v>
      </c>
      <c r="D298" t="s">
        <v>1413</v>
      </c>
      <c r="E298" s="10">
        <v>4</v>
      </c>
      <c r="F298" t="s">
        <v>1399</v>
      </c>
      <c r="G298" t="s">
        <v>645</v>
      </c>
      <c r="H298" t="s">
        <v>650</v>
      </c>
      <c r="I298" t="s">
        <v>670</v>
      </c>
      <c r="J298" t="s">
        <v>1171</v>
      </c>
      <c r="K298">
        <v>11</v>
      </c>
      <c r="L298" s="3">
        <v>1133.08</v>
      </c>
      <c r="M298" s="3">
        <v>976.17</v>
      </c>
      <c r="N298" s="3" t="str">
        <f>IF(Table1_1[[#This Row],[UnitPrice]]&lt;=816.08,"low",IF(Table1_1[[#This Row],[UnitPrice]]&lt;=1640.06,"medium","high"))</f>
        <v>medium</v>
      </c>
      <c r="O298" s="4">
        <v>4.2000000000000003E-2</v>
      </c>
      <c r="P298" s="3">
        <v>10286.879459999998</v>
      </c>
      <c r="Q298" s="3">
        <v>12463.88</v>
      </c>
      <c r="R298" s="4">
        <v>-0.21162885678452401</v>
      </c>
      <c r="S298" t="s">
        <v>662</v>
      </c>
      <c r="T298" s="3">
        <v>-2177.0005400000009</v>
      </c>
      <c r="U298" t="s">
        <v>1437</v>
      </c>
      <c r="V298" s="13" t="str">
        <f>TEXT(Table1_1[[#This Row],[OrderDate]],"MM YYYY")</f>
        <v>09 2024</v>
      </c>
      <c r="W298" s="11" t="str">
        <f>TEXT(Table1_1[[#This Row],[OrderDate]],"MM")</f>
        <v>09</v>
      </c>
      <c r="X298" s="11"/>
    </row>
    <row r="299" spans="1:24" x14ac:dyDescent="0.25">
      <c r="A299" t="s">
        <v>37</v>
      </c>
      <c r="B299" s="2">
        <v>45626</v>
      </c>
      <c r="C299" s="2">
        <v>45656</v>
      </c>
      <c r="D299" t="s">
        <v>1413</v>
      </c>
      <c r="E299" s="10">
        <v>30</v>
      </c>
      <c r="F299" t="s">
        <v>1391</v>
      </c>
      <c r="G299" t="s">
        <v>645</v>
      </c>
      <c r="H299" t="s">
        <v>650</v>
      </c>
      <c r="I299" t="s">
        <v>669</v>
      </c>
      <c r="J299" t="s">
        <v>701</v>
      </c>
      <c r="K299">
        <v>7</v>
      </c>
      <c r="L299" s="3">
        <v>117.64</v>
      </c>
      <c r="M299" s="3">
        <v>175.67</v>
      </c>
      <c r="N299" s="3" t="str">
        <f>IF(Table1_1[[#This Row],[UnitPrice]]&lt;=816.08,"low",IF(Table1_1[[#This Row],[UnitPrice]]&lt;=1640.06,"medium","high"))</f>
        <v>low</v>
      </c>
      <c r="O299" s="4">
        <v>0</v>
      </c>
      <c r="P299" s="3">
        <v>1229.6899999999998</v>
      </c>
      <c r="Q299" s="3">
        <v>823.48</v>
      </c>
      <c r="R299" s="4">
        <v>0.33033528775545001</v>
      </c>
      <c r="S299" t="s">
        <v>662</v>
      </c>
      <c r="T299" s="3">
        <v>406.20999999999981</v>
      </c>
      <c r="U299" t="s">
        <v>1440</v>
      </c>
      <c r="V299" s="13" t="str">
        <f>TEXT(Table1_1[[#This Row],[OrderDate]],"MM YYYY")</f>
        <v>11 2024</v>
      </c>
      <c r="W299" s="11" t="str">
        <f>TEXT(Table1_1[[#This Row],[OrderDate]],"MM")</f>
        <v>11</v>
      </c>
      <c r="X299" s="11"/>
    </row>
    <row r="300" spans="1:24" x14ac:dyDescent="0.25">
      <c r="A300" t="s">
        <v>296</v>
      </c>
      <c r="B300" s="2">
        <v>45751</v>
      </c>
      <c r="C300" s="2">
        <v>45760</v>
      </c>
      <c r="D300" t="s">
        <v>1413</v>
      </c>
      <c r="E300" s="10">
        <v>9</v>
      </c>
      <c r="F300" t="s">
        <v>1400</v>
      </c>
      <c r="G300" t="s">
        <v>645</v>
      </c>
      <c r="H300" t="s">
        <v>650</v>
      </c>
      <c r="I300" t="s">
        <v>671</v>
      </c>
      <c r="J300" t="s">
        <v>961</v>
      </c>
      <c r="K300">
        <v>18</v>
      </c>
      <c r="L300" s="3">
        <v>7.02</v>
      </c>
      <c r="M300" s="3">
        <v>6.28</v>
      </c>
      <c r="N300" s="3" t="str">
        <f>IF(Table1_1[[#This Row],[UnitPrice]]&lt;=816.08,"low",IF(Table1_1[[#This Row],[UnitPrice]]&lt;=1640.06,"medium","high"))</f>
        <v>low</v>
      </c>
      <c r="O300" s="4">
        <v>0.13400000000000001</v>
      </c>
      <c r="P300" s="3">
        <v>97.89264</v>
      </c>
      <c r="Q300" s="3">
        <v>126.35999999999999</v>
      </c>
      <c r="R300" s="4">
        <v>-0.29080184169106099</v>
      </c>
      <c r="S300" t="s">
        <v>662</v>
      </c>
      <c r="T300" s="3">
        <v>-28.467359999999985</v>
      </c>
      <c r="U300" t="s">
        <v>1431</v>
      </c>
      <c r="V300" s="13" t="str">
        <f>TEXT(Table1_1[[#This Row],[OrderDate]],"MM YYYY")</f>
        <v>04 2025</v>
      </c>
      <c r="W300" s="11" t="str">
        <f>TEXT(Table1_1[[#This Row],[OrderDate]],"MM")</f>
        <v>04</v>
      </c>
      <c r="X300" s="11"/>
    </row>
    <row r="301" spans="1:24" x14ac:dyDescent="0.25">
      <c r="A301" t="s">
        <v>100</v>
      </c>
      <c r="B301" s="2">
        <v>45106</v>
      </c>
      <c r="C301" s="2">
        <v>45109</v>
      </c>
      <c r="D301" t="s">
        <v>1413</v>
      </c>
      <c r="E301" s="10">
        <v>3</v>
      </c>
      <c r="F301" t="s">
        <v>1407</v>
      </c>
      <c r="G301" t="s">
        <v>643</v>
      </c>
      <c r="H301" t="s">
        <v>650</v>
      </c>
      <c r="I301" t="s">
        <v>673</v>
      </c>
      <c r="J301" t="s">
        <v>764</v>
      </c>
      <c r="K301">
        <v>22</v>
      </c>
      <c r="L301" s="3">
        <v>55.65</v>
      </c>
      <c r="M301" s="3">
        <v>83.57</v>
      </c>
      <c r="N301" s="3" t="str">
        <f>IF(Table1_1[[#This Row],[UnitPrice]]&lt;=816.08,"low",IF(Table1_1[[#This Row],[UnitPrice]]&lt;=1640.06,"medium","high"))</f>
        <v>low</v>
      </c>
      <c r="O301" s="4">
        <v>6.6000000000000003E-2</v>
      </c>
      <c r="P301" s="3">
        <v>1717.1963599999999</v>
      </c>
      <c r="Q301" s="3">
        <v>1224.3</v>
      </c>
      <c r="R301" s="4">
        <v>0.28703552574500002</v>
      </c>
      <c r="S301" t="s">
        <v>662</v>
      </c>
      <c r="T301" s="3">
        <v>492.89635999999996</v>
      </c>
      <c r="U301" t="s">
        <v>1435</v>
      </c>
      <c r="V301" s="13" t="str">
        <f>TEXT(Table1_1[[#This Row],[OrderDate]],"MM YYYY")</f>
        <v>06 2023</v>
      </c>
      <c r="W301" s="11" t="str">
        <f>TEXT(Table1_1[[#This Row],[OrderDate]],"MM")</f>
        <v>06</v>
      </c>
      <c r="X301" s="11"/>
    </row>
    <row r="302" spans="1:24" x14ac:dyDescent="0.25">
      <c r="A302" t="s">
        <v>259</v>
      </c>
      <c r="B302" s="2">
        <v>45912</v>
      </c>
      <c r="C302" s="2">
        <v>45930</v>
      </c>
      <c r="D302" t="s">
        <v>1413</v>
      </c>
      <c r="E302" s="10">
        <v>18</v>
      </c>
      <c r="F302" t="s">
        <v>1407</v>
      </c>
      <c r="G302" t="s">
        <v>644</v>
      </c>
      <c r="H302" t="s">
        <v>650</v>
      </c>
      <c r="I302" t="s">
        <v>673</v>
      </c>
      <c r="J302" t="s">
        <v>924</v>
      </c>
      <c r="K302">
        <v>19</v>
      </c>
      <c r="L302" s="3">
        <v>1212.99</v>
      </c>
      <c r="M302" s="3">
        <v>1653.64</v>
      </c>
      <c r="N302" s="3" t="str">
        <f>IF(Table1_1[[#This Row],[UnitPrice]]&lt;=816.08,"low",IF(Table1_1[[#This Row],[UnitPrice]]&lt;=1640.06,"medium","high"))</f>
        <v>high</v>
      </c>
      <c r="O302" s="4">
        <v>0.107</v>
      </c>
      <c r="P302" s="3">
        <v>28057.309880000004</v>
      </c>
      <c r="Q302" s="3">
        <v>23046.81</v>
      </c>
      <c r="R302" s="4">
        <v>0.17858090819931499</v>
      </c>
      <c r="S302" t="s">
        <v>662</v>
      </c>
      <c r="T302" s="3">
        <v>5010.499880000003</v>
      </c>
      <c r="U302" t="s">
        <v>1438</v>
      </c>
      <c r="V302" s="13" t="str">
        <f>TEXT(Table1_1[[#This Row],[OrderDate]],"MM YYYY")</f>
        <v>09 2025</v>
      </c>
      <c r="W302" s="11" t="str">
        <f>TEXT(Table1_1[[#This Row],[OrderDate]],"MM")</f>
        <v>09</v>
      </c>
      <c r="X302" s="11"/>
    </row>
    <row r="303" spans="1:24" x14ac:dyDescent="0.25">
      <c r="A303" t="s">
        <v>274</v>
      </c>
      <c r="B303" s="2">
        <v>45763</v>
      </c>
      <c r="C303" s="2">
        <v>45773</v>
      </c>
      <c r="D303" t="s">
        <v>1413</v>
      </c>
      <c r="E303" s="10">
        <v>10</v>
      </c>
      <c r="F303" t="s">
        <v>1384</v>
      </c>
      <c r="G303" t="s">
        <v>647</v>
      </c>
      <c r="H303" t="s">
        <v>650</v>
      </c>
      <c r="I303" t="s">
        <v>672</v>
      </c>
      <c r="J303" t="s">
        <v>939</v>
      </c>
      <c r="K303">
        <v>9</v>
      </c>
      <c r="L303" s="3">
        <v>1457.44</v>
      </c>
      <c r="M303" s="3">
        <v>1996.81</v>
      </c>
      <c r="N303" s="3" t="str">
        <f>IF(Table1_1[[#This Row],[UnitPrice]]&lt;=816.08,"low",IF(Table1_1[[#This Row],[UnitPrice]]&lt;=1640.06,"medium","high"))</f>
        <v>high</v>
      </c>
      <c r="O303" s="4">
        <v>0.126</v>
      </c>
      <c r="P303" s="3">
        <v>15706.90746</v>
      </c>
      <c r="Q303" s="3">
        <v>13116.960000000001</v>
      </c>
      <c r="R303" s="4">
        <v>0.164892259446724</v>
      </c>
      <c r="S303" t="s">
        <v>662</v>
      </c>
      <c r="T303" s="3">
        <v>2589.9474599999994</v>
      </c>
      <c r="U303" t="s">
        <v>1431</v>
      </c>
      <c r="V303" s="13" t="str">
        <f>TEXT(Table1_1[[#This Row],[OrderDate]],"MM YYYY")</f>
        <v>04 2025</v>
      </c>
      <c r="W303" s="11" t="str">
        <f>TEXT(Table1_1[[#This Row],[OrderDate]],"MM")</f>
        <v>04</v>
      </c>
      <c r="X303" s="11"/>
    </row>
    <row r="304" spans="1:24" x14ac:dyDescent="0.25">
      <c r="A304" t="s">
        <v>603</v>
      </c>
      <c r="B304" s="2">
        <v>45504</v>
      </c>
      <c r="C304" s="2">
        <v>45519</v>
      </c>
      <c r="D304" t="s">
        <v>1413</v>
      </c>
      <c r="E304" s="10">
        <v>15</v>
      </c>
      <c r="F304" t="s">
        <v>1403</v>
      </c>
      <c r="G304" t="s">
        <v>642</v>
      </c>
      <c r="H304" t="s">
        <v>650</v>
      </c>
      <c r="I304" t="s">
        <v>673</v>
      </c>
      <c r="J304" t="s">
        <v>1266</v>
      </c>
      <c r="K304">
        <v>22</v>
      </c>
      <c r="L304" s="3">
        <v>1252.52</v>
      </c>
      <c r="M304" s="3">
        <v>1417.24</v>
      </c>
      <c r="N304" s="3" t="str">
        <f>IF(Table1_1[[#This Row],[UnitPrice]]&lt;=816.08,"low",IF(Table1_1[[#This Row],[UnitPrice]]&lt;=1640.06,"medium","high"))</f>
        <v>medium</v>
      </c>
      <c r="O304" s="4">
        <v>0.192</v>
      </c>
      <c r="P304" s="3">
        <v>25192.858240000001</v>
      </c>
      <c r="Q304" s="3">
        <v>27555.439999999999</v>
      </c>
      <c r="R304" s="4">
        <v>-9.3779821943696898E-2</v>
      </c>
      <c r="S304" t="s">
        <v>662</v>
      </c>
      <c r="T304" s="3">
        <v>-2362.5817599999973</v>
      </c>
      <c r="U304" t="s">
        <v>1437</v>
      </c>
      <c r="V304" s="13" t="str">
        <f>TEXT(Table1_1[[#This Row],[OrderDate]],"MM YYYY")</f>
        <v>07 2024</v>
      </c>
      <c r="W304" s="11" t="str">
        <f>TEXT(Table1_1[[#This Row],[OrderDate]],"MM")</f>
        <v>07</v>
      </c>
      <c r="X304" s="11"/>
    </row>
    <row r="305" spans="1:24" x14ac:dyDescent="0.25">
      <c r="A305" t="s">
        <v>464</v>
      </c>
      <c r="B305" s="2">
        <v>45070</v>
      </c>
      <c r="C305" s="2">
        <v>45098</v>
      </c>
      <c r="D305" t="s">
        <v>1413</v>
      </c>
      <c r="E305" s="10">
        <v>28</v>
      </c>
      <c r="F305" t="s">
        <v>1420</v>
      </c>
      <c r="G305" t="s">
        <v>646</v>
      </c>
      <c r="H305" t="s">
        <v>650</v>
      </c>
      <c r="I305" t="s">
        <v>673</v>
      </c>
      <c r="J305" t="s">
        <v>1128</v>
      </c>
      <c r="K305">
        <v>10</v>
      </c>
      <c r="L305" s="3">
        <v>813.97</v>
      </c>
      <c r="M305" s="3">
        <v>1568.83</v>
      </c>
      <c r="N305" s="3" t="str">
        <f>IF(Table1_1[[#This Row],[UnitPrice]]&lt;=816.08,"low",IF(Table1_1[[#This Row],[UnitPrice]]&lt;=1640.06,"medium","high"))</f>
        <v>medium</v>
      </c>
      <c r="O305" s="4">
        <v>1.7000000000000001E-2</v>
      </c>
      <c r="P305" s="3">
        <v>15421.598899999999</v>
      </c>
      <c r="Q305" s="3">
        <v>8139.7000000000007</v>
      </c>
      <c r="R305" s="4">
        <v>0.47218832153649098</v>
      </c>
      <c r="S305" t="s">
        <v>656</v>
      </c>
      <c r="T305" s="3">
        <v>7281.8988999999983</v>
      </c>
      <c r="U305" t="s">
        <v>1435</v>
      </c>
      <c r="V305" s="13" t="str">
        <f>TEXT(Table1_1[[#This Row],[OrderDate]],"MM YYYY")</f>
        <v>05 2023</v>
      </c>
      <c r="W305" s="11" t="str">
        <f>TEXT(Table1_1[[#This Row],[OrderDate]],"MM")</f>
        <v>05</v>
      </c>
      <c r="X305" s="11"/>
    </row>
    <row r="306" spans="1:24" x14ac:dyDescent="0.25">
      <c r="A306" t="s">
        <v>29</v>
      </c>
      <c r="B306" s="2">
        <v>45858</v>
      </c>
      <c r="C306" s="2">
        <v>45874</v>
      </c>
      <c r="D306" t="s">
        <v>1413</v>
      </c>
      <c r="E306" s="10">
        <v>16</v>
      </c>
      <c r="F306" t="s">
        <v>1416</v>
      </c>
      <c r="G306" t="s">
        <v>647</v>
      </c>
      <c r="H306" t="s">
        <v>650</v>
      </c>
      <c r="I306" t="s">
        <v>674</v>
      </c>
      <c r="J306" t="s">
        <v>693</v>
      </c>
      <c r="K306">
        <v>12</v>
      </c>
      <c r="L306" s="3">
        <v>1068.17</v>
      </c>
      <c r="M306" s="3">
        <v>2375.37</v>
      </c>
      <c r="N306" s="3" t="str">
        <f>IF(Table1_1[[#This Row],[UnitPrice]]&lt;=816.08,"low",IF(Table1_1[[#This Row],[UnitPrice]]&lt;=1640.06,"medium","high"))</f>
        <v>high</v>
      </c>
      <c r="O306" s="4">
        <v>0.109</v>
      </c>
      <c r="P306" s="3">
        <v>25397.456040000001</v>
      </c>
      <c r="Q306" s="3">
        <v>12818.04</v>
      </c>
      <c r="R306" s="4">
        <v>0.49530220744108799</v>
      </c>
      <c r="S306" t="s">
        <v>656</v>
      </c>
      <c r="T306" s="3">
        <v>12579.41604</v>
      </c>
      <c r="U306" t="s">
        <v>1438</v>
      </c>
      <c r="V306" s="13" t="str">
        <f>TEXT(Table1_1[[#This Row],[OrderDate]],"MM YYYY")</f>
        <v>07 2025</v>
      </c>
      <c r="W306" s="11" t="str">
        <f>TEXT(Table1_1[[#This Row],[OrderDate]],"MM")</f>
        <v>07</v>
      </c>
      <c r="X306" s="11"/>
    </row>
    <row r="307" spans="1:24" x14ac:dyDescent="0.25">
      <c r="A307" t="s">
        <v>396</v>
      </c>
      <c r="B307" s="2">
        <v>45789</v>
      </c>
      <c r="C307" s="2">
        <v>45803</v>
      </c>
      <c r="D307" t="s">
        <v>1413</v>
      </c>
      <c r="E307" s="10">
        <v>14</v>
      </c>
      <c r="F307" t="s">
        <v>1409</v>
      </c>
      <c r="G307" t="s">
        <v>642</v>
      </c>
      <c r="H307" t="s">
        <v>650</v>
      </c>
      <c r="I307" t="s">
        <v>669</v>
      </c>
      <c r="J307" t="s">
        <v>1060</v>
      </c>
      <c r="K307">
        <v>8</v>
      </c>
      <c r="L307" s="3">
        <v>320.12</v>
      </c>
      <c r="M307" s="3">
        <v>594.41999999999996</v>
      </c>
      <c r="N307" s="3" t="str">
        <f>IF(Table1_1[[#This Row],[UnitPrice]]&lt;=816.08,"low",IF(Table1_1[[#This Row],[UnitPrice]]&lt;=1640.06,"medium","high"))</f>
        <v>low</v>
      </c>
      <c r="O307" s="4">
        <v>0.104</v>
      </c>
      <c r="P307" s="3">
        <v>4260.8025600000001</v>
      </c>
      <c r="Q307" s="3">
        <v>2560.96</v>
      </c>
      <c r="R307" s="4">
        <v>0.39894891538931099</v>
      </c>
      <c r="S307" t="s">
        <v>656</v>
      </c>
      <c r="T307" s="3">
        <v>1699.84256</v>
      </c>
      <c r="U307" t="s">
        <v>1431</v>
      </c>
      <c r="V307" s="13" t="str">
        <f>TEXT(Table1_1[[#This Row],[OrderDate]],"MM YYYY")</f>
        <v>05 2025</v>
      </c>
      <c r="W307" s="11" t="str">
        <f>TEXT(Table1_1[[#This Row],[OrderDate]],"MM")</f>
        <v>05</v>
      </c>
      <c r="X307" s="11"/>
    </row>
    <row r="308" spans="1:24" x14ac:dyDescent="0.25">
      <c r="A308" t="s">
        <v>14</v>
      </c>
      <c r="B308" s="2">
        <v>45745</v>
      </c>
      <c r="C308" s="2">
        <v>45749</v>
      </c>
      <c r="D308" t="s">
        <v>1413</v>
      </c>
      <c r="E308" s="10">
        <v>4</v>
      </c>
      <c r="F308" t="s">
        <v>1386</v>
      </c>
      <c r="G308" t="s">
        <v>644</v>
      </c>
      <c r="H308" t="s">
        <v>650</v>
      </c>
      <c r="I308" t="s">
        <v>671</v>
      </c>
      <c r="J308" t="s">
        <v>678</v>
      </c>
      <c r="K308">
        <v>24</v>
      </c>
      <c r="L308" s="3">
        <v>259.93</v>
      </c>
      <c r="M308" s="3">
        <v>255.94</v>
      </c>
      <c r="N308" s="3" t="str">
        <f>IF(Table1_1[[#This Row],[UnitPrice]]&lt;=816.08,"low",IF(Table1_1[[#This Row],[UnitPrice]]&lt;=1640.06,"medium","high"))</f>
        <v>low</v>
      </c>
      <c r="O308" s="4">
        <v>7.1999999999999995E-2</v>
      </c>
      <c r="P308" s="3">
        <v>5700.2956800000002</v>
      </c>
      <c r="Q308" s="3">
        <v>6238.32</v>
      </c>
      <c r="R308" s="4">
        <v>-9.4385335463861297E-2</v>
      </c>
      <c r="S308" t="s">
        <v>656</v>
      </c>
      <c r="T308" s="3">
        <v>-538.02431999999953</v>
      </c>
      <c r="U308" t="s">
        <v>1434</v>
      </c>
      <c r="V308" s="13" t="str">
        <f>TEXT(Table1_1[[#This Row],[OrderDate]],"MM YYYY")</f>
        <v>03 2025</v>
      </c>
      <c r="W308" s="11" t="str">
        <f>TEXT(Table1_1[[#This Row],[OrderDate]],"MM")</f>
        <v>03</v>
      </c>
      <c r="X308" s="11"/>
    </row>
    <row r="309" spans="1:24" x14ac:dyDescent="0.25">
      <c r="A309" t="s">
        <v>435</v>
      </c>
      <c r="B309" s="2">
        <v>45349</v>
      </c>
      <c r="C309" s="2">
        <v>45377</v>
      </c>
      <c r="D309" t="s">
        <v>1413</v>
      </c>
      <c r="E309" s="10">
        <v>28</v>
      </c>
      <c r="F309" t="s">
        <v>1405</v>
      </c>
      <c r="G309" t="s">
        <v>643</v>
      </c>
      <c r="H309" t="s">
        <v>650</v>
      </c>
      <c r="I309" t="s">
        <v>672</v>
      </c>
      <c r="J309" t="s">
        <v>1099</v>
      </c>
      <c r="K309">
        <v>8</v>
      </c>
      <c r="L309" s="3">
        <v>1035.19</v>
      </c>
      <c r="M309" s="3">
        <v>2322.6999999999998</v>
      </c>
      <c r="N309" s="3" t="str">
        <f>IF(Table1_1[[#This Row],[UnitPrice]]&lt;=816.08,"low",IF(Table1_1[[#This Row],[UnitPrice]]&lt;=1640.06,"medium","high"))</f>
        <v>high</v>
      </c>
      <c r="O309" s="4">
        <v>0.17299999999999999</v>
      </c>
      <c r="P309" s="3">
        <v>15366.983199999999</v>
      </c>
      <c r="Q309" s="3">
        <v>8281.52</v>
      </c>
      <c r="R309" s="4">
        <v>0.46108355217047398</v>
      </c>
      <c r="S309" t="s">
        <v>656</v>
      </c>
      <c r="T309" s="3">
        <v>7085.4631999999983</v>
      </c>
      <c r="U309" t="s">
        <v>1433</v>
      </c>
      <c r="V309" s="13" t="str">
        <f>TEXT(Table1_1[[#This Row],[OrderDate]],"MM YYYY")</f>
        <v>02 2024</v>
      </c>
      <c r="W309" s="11" t="str">
        <f>TEXT(Table1_1[[#This Row],[OrderDate]],"MM")</f>
        <v>02</v>
      </c>
      <c r="X309" s="11"/>
    </row>
    <row r="310" spans="1:24" x14ac:dyDescent="0.25">
      <c r="A310" t="s">
        <v>208</v>
      </c>
      <c r="B310" s="2">
        <v>44956</v>
      </c>
      <c r="C310" s="2">
        <v>44978</v>
      </c>
      <c r="D310" t="s">
        <v>1413</v>
      </c>
      <c r="E310" s="10">
        <v>22</v>
      </c>
      <c r="F310" t="s">
        <v>1400</v>
      </c>
      <c r="G310" t="s">
        <v>646</v>
      </c>
      <c r="H310" t="s">
        <v>650</v>
      </c>
      <c r="I310" t="s">
        <v>670</v>
      </c>
      <c r="J310" t="s">
        <v>873</v>
      </c>
      <c r="K310">
        <v>28</v>
      </c>
      <c r="L310" s="3">
        <v>1142.8800000000001</v>
      </c>
      <c r="M310" s="3">
        <v>1465.29</v>
      </c>
      <c r="N310" s="3" t="str">
        <f>IF(Table1_1[[#This Row],[UnitPrice]]&lt;=816.08,"low",IF(Table1_1[[#This Row],[UnitPrice]]&lt;=1640.06,"medium","high"))</f>
        <v>medium</v>
      </c>
      <c r="O310" s="4">
        <v>0.186</v>
      </c>
      <c r="P310" s="3">
        <v>33396.88968</v>
      </c>
      <c r="Q310" s="3">
        <v>32000.640000000003</v>
      </c>
      <c r="R310" s="4">
        <v>4.1807775915017401E-2</v>
      </c>
      <c r="S310" t="s">
        <v>656</v>
      </c>
      <c r="T310" s="3">
        <v>1396.2496799999972</v>
      </c>
      <c r="U310" t="s">
        <v>1432</v>
      </c>
      <c r="V310" s="13" t="str">
        <f>TEXT(Table1_1[[#This Row],[OrderDate]],"MM YYYY")</f>
        <v>01 2023</v>
      </c>
      <c r="W310" s="11" t="str">
        <f>TEXT(Table1_1[[#This Row],[OrderDate]],"MM")</f>
        <v>01</v>
      </c>
      <c r="X310" s="11"/>
    </row>
    <row r="311" spans="1:24" x14ac:dyDescent="0.25">
      <c r="A311" t="s">
        <v>490</v>
      </c>
      <c r="B311" s="2">
        <v>45293</v>
      </c>
      <c r="C311" s="2">
        <v>45306</v>
      </c>
      <c r="D311" t="s">
        <v>1413</v>
      </c>
      <c r="E311" s="10">
        <v>13</v>
      </c>
      <c r="F311" t="s">
        <v>1407</v>
      </c>
      <c r="G311" t="s">
        <v>646</v>
      </c>
      <c r="H311" t="s">
        <v>650</v>
      </c>
      <c r="I311" t="s">
        <v>670</v>
      </c>
      <c r="J311" t="s">
        <v>1154</v>
      </c>
      <c r="K311">
        <v>14</v>
      </c>
      <c r="L311" s="3">
        <v>1219.06</v>
      </c>
      <c r="M311" s="3">
        <v>2738.69</v>
      </c>
      <c r="N311" s="3" t="str">
        <f>IF(Table1_1[[#This Row],[UnitPrice]]&lt;=816.08,"low",IF(Table1_1[[#This Row],[UnitPrice]]&lt;=1640.06,"medium","high"))</f>
        <v>high</v>
      </c>
      <c r="O311" s="4">
        <v>7.5999999999999998E-2</v>
      </c>
      <c r="P311" s="3">
        <v>35427.693840000007</v>
      </c>
      <c r="Q311" s="3">
        <v>17066.84</v>
      </c>
      <c r="R311" s="4">
        <v>0.51826274447673704</v>
      </c>
      <c r="S311" t="s">
        <v>656</v>
      </c>
      <c r="T311" s="3">
        <v>18360.853840000007</v>
      </c>
      <c r="U311" t="s">
        <v>1433</v>
      </c>
      <c r="V311" s="13" t="str">
        <f>TEXT(Table1_1[[#This Row],[OrderDate]],"MM YYYY")</f>
        <v>01 2024</v>
      </c>
      <c r="W311" s="11" t="str">
        <f>TEXT(Table1_1[[#This Row],[OrderDate]],"MM")</f>
        <v>01</v>
      </c>
      <c r="X311" s="11"/>
    </row>
    <row r="312" spans="1:24" x14ac:dyDescent="0.25">
      <c r="A312" t="s">
        <v>624</v>
      </c>
      <c r="B312" s="2">
        <v>45137</v>
      </c>
      <c r="C312" s="2">
        <v>45157</v>
      </c>
      <c r="D312" t="s">
        <v>1413</v>
      </c>
      <c r="E312" s="10">
        <v>20</v>
      </c>
      <c r="F312" t="s">
        <v>1404</v>
      </c>
      <c r="G312" t="s">
        <v>647</v>
      </c>
      <c r="H312" t="s">
        <v>650</v>
      </c>
      <c r="I312" t="s">
        <v>670</v>
      </c>
      <c r="J312" t="s">
        <v>1287</v>
      </c>
      <c r="K312">
        <v>12</v>
      </c>
      <c r="L312" s="3">
        <v>1418.51</v>
      </c>
      <c r="M312" s="3">
        <v>2789.61</v>
      </c>
      <c r="N312" s="3" t="str">
        <f>IF(Table1_1[[#This Row],[UnitPrice]]&lt;=816.08,"low",IF(Table1_1[[#This Row],[UnitPrice]]&lt;=1640.06,"medium","high"))</f>
        <v>high</v>
      </c>
      <c r="O312" s="4">
        <v>0.17100000000000001</v>
      </c>
      <c r="P312" s="3">
        <v>27751.040279999997</v>
      </c>
      <c r="Q312" s="3">
        <v>17022.12</v>
      </c>
      <c r="R312" s="4">
        <v>0.386613264646957</v>
      </c>
      <c r="S312" t="s">
        <v>656</v>
      </c>
      <c r="T312" s="3">
        <v>10728.920279999998</v>
      </c>
      <c r="U312" t="s">
        <v>1430</v>
      </c>
      <c r="V312" s="13" t="str">
        <f>TEXT(Table1_1[[#This Row],[OrderDate]],"MM YYYY")</f>
        <v>07 2023</v>
      </c>
      <c r="W312" s="11" t="str">
        <f>TEXT(Table1_1[[#This Row],[OrderDate]],"MM")</f>
        <v>07</v>
      </c>
      <c r="X312" s="11"/>
    </row>
    <row r="313" spans="1:24" x14ac:dyDescent="0.25">
      <c r="A313" t="s">
        <v>181</v>
      </c>
      <c r="B313" s="2">
        <v>45488</v>
      </c>
      <c r="C313" s="2">
        <v>45488</v>
      </c>
      <c r="D313" t="s">
        <v>1413</v>
      </c>
      <c r="E313" s="10">
        <v>0</v>
      </c>
      <c r="F313" t="s">
        <v>1403</v>
      </c>
      <c r="G313" t="s">
        <v>646</v>
      </c>
      <c r="H313" t="s">
        <v>650</v>
      </c>
      <c r="I313" t="s">
        <v>674</v>
      </c>
      <c r="J313" t="s">
        <v>845</v>
      </c>
      <c r="K313">
        <v>16</v>
      </c>
      <c r="L313" s="3">
        <v>801.77</v>
      </c>
      <c r="M313" s="3">
        <v>1218.92</v>
      </c>
      <c r="N313" s="3" t="str">
        <f>IF(Table1_1[[#This Row],[UnitPrice]]&lt;=816.08,"low",IF(Table1_1[[#This Row],[UnitPrice]]&lt;=1640.06,"medium","high"))</f>
        <v>medium</v>
      </c>
      <c r="O313" s="4">
        <v>0.254</v>
      </c>
      <c r="P313" s="3">
        <v>14549.029120000001</v>
      </c>
      <c r="Q313" s="3">
        <v>12828.32</v>
      </c>
      <c r="R313" s="4">
        <v>0.118269686987883</v>
      </c>
      <c r="S313" t="s">
        <v>656</v>
      </c>
      <c r="T313" s="3">
        <v>1720.7091200000013</v>
      </c>
      <c r="U313" t="s">
        <v>1437</v>
      </c>
      <c r="V313" s="13" t="str">
        <f>TEXT(Table1_1[[#This Row],[OrderDate]],"MM YYYY")</f>
        <v>07 2024</v>
      </c>
      <c r="W313" s="11" t="str">
        <f>TEXT(Table1_1[[#This Row],[OrderDate]],"MM")</f>
        <v>07</v>
      </c>
      <c r="X313" s="11"/>
    </row>
    <row r="314" spans="1:24" x14ac:dyDescent="0.25">
      <c r="A314" t="s">
        <v>395</v>
      </c>
      <c r="B314" s="2">
        <v>45066</v>
      </c>
      <c r="C314" s="2">
        <v>45096</v>
      </c>
      <c r="D314" t="s">
        <v>1413</v>
      </c>
      <c r="E314" s="10">
        <v>30</v>
      </c>
      <c r="F314" t="s">
        <v>1397</v>
      </c>
      <c r="G314" t="s">
        <v>644</v>
      </c>
      <c r="H314" t="s">
        <v>650</v>
      </c>
      <c r="I314" t="s">
        <v>672</v>
      </c>
      <c r="J314" t="s">
        <v>1059</v>
      </c>
      <c r="K314">
        <v>15</v>
      </c>
      <c r="L314" s="3">
        <v>1161.2</v>
      </c>
      <c r="M314" s="3">
        <v>878.73</v>
      </c>
      <c r="N314" s="3" t="str">
        <f>IF(Table1_1[[#This Row],[UnitPrice]]&lt;=816.08,"low",IF(Table1_1[[#This Row],[UnitPrice]]&lt;=1640.06,"medium","high"))</f>
        <v>medium</v>
      </c>
      <c r="O314" s="4">
        <v>0.19</v>
      </c>
      <c r="P314" s="3">
        <v>10676.569500000001</v>
      </c>
      <c r="Q314" s="3">
        <v>17418</v>
      </c>
      <c r="R314" s="4">
        <v>-0.63142290227211995</v>
      </c>
      <c r="S314" t="s">
        <v>663</v>
      </c>
      <c r="T314" s="3">
        <v>-6741.4304999999986</v>
      </c>
      <c r="U314" t="s">
        <v>1435</v>
      </c>
      <c r="V314" s="13" t="str">
        <f>TEXT(Table1_1[[#This Row],[OrderDate]],"MM YYYY")</f>
        <v>05 2023</v>
      </c>
      <c r="W314" s="11" t="str">
        <f>TEXT(Table1_1[[#This Row],[OrderDate]],"MM")</f>
        <v>05</v>
      </c>
      <c r="X314" s="11"/>
    </row>
    <row r="315" spans="1:24" x14ac:dyDescent="0.25">
      <c r="A315" t="s">
        <v>413</v>
      </c>
      <c r="B315" s="2">
        <v>45497</v>
      </c>
      <c r="C315" s="2">
        <v>45512</v>
      </c>
      <c r="D315" t="s">
        <v>1413</v>
      </c>
      <c r="E315" s="10">
        <v>15</v>
      </c>
      <c r="F315" t="s">
        <v>1391</v>
      </c>
      <c r="G315" t="s">
        <v>647</v>
      </c>
      <c r="H315" t="s">
        <v>650</v>
      </c>
      <c r="I315" t="s">
        <v>672</v>
      </c>
      <c r="J315" t="s">
        <v>1077</v>
      </c>
      <c r="K315">
        <v>27</v>
      </c>
      <c r="L315" s="3">
        <v>501.5</v>
      </c>
      <c r="M315" s="3">
        <v>1201.47</v>
      </c>
      <c r="N315" s="3" t="str">
        <f>IF(Table1_1[[#This Row],[UnitPrice]]&lt;=816.08,"low",IF(Table1_1[[#This Row],[UnitPrice]]&lt;=1640.06,"medium","high"))</f>
        <v>medium</v>
      </c>
      <c r="O315" s="4">
        <v>0.126</v>
      </c>
      <c r="P315" s="3">
        <v>28352.289060000003</v>
      </c>
      <c r="Q315" s="3">
        <v>13540.5</v>
      </c>
      <c r="R315" s="4">
        <v>0.52241951359394101</v>
      </c>
      <c r="S315" t="s">
        <v>663</v>
      </c>
      <c r="T315" s="3">
        <v>14811.789060000003</v>
      </c>
      <c r="U315" t="s">
        <v>1437</v>
      </c>
      <c r="V315" s="13" t="str">
        <f>TEXT(Table1_1[[#This Row],[OrderDate]],"MM YYYY")</f>
        <v>07 2024</v>
      </c>
      <c r="W315" s="11" t="str">
        <f>TEXT(Table1_1[[#This Row],[OrderDate]],"MM")</f>
        <v>07</v>
      </c>
      <c r="X315" s="11"/>
    </row>
    <row r="316" spans="1:24" x14ac:dyDescent="0.25">
      <c r="A316" t="s">
        <v>69</v>
      </c>
      <c r="B316" s="2">
        <v>45817</v>
      </c>
      <c r="C316" s="2">
        <v>45826</v>
      </c>
      <c r="D316" t="s">
        <v>1413</v>
      </c>
      <c r="E316" s="10">
        <v>9</v>
      </c>
      <c r="F316" t="s">
        <v>1391</v>
      </c>
      <c r="G316" t="s">
        <v>646</v>
      </c>
      <c r="H316" t="s">
        <v>650</v>
      </c>
      <c r="I316" t="s">
        <v>674</v>
      </c>
      <c r="J316" t="s">
        <v>733</v>
      </c>
      <c r="K316">
        <v>7</v>
      </c>
      <c r="L316" s="3">
        <v>1225.5</v>
      </c>
      <c r="M316" s="3">
        <v>5.27</v>
      </c>
      <c r="N316" s="3" t="str">
        <f>IF(Table1_1[[#This Row],[UnitPrice]]&lt;=816.08,"low",IF(Table1_1[[#This Row],[UnitPrice]]&lt;=1640.06,"medium","high"))</f>
        <v>low</v>
      </c>
      <c r="O316" s="4">
        <v>7.4999999999999997E-2</v>
      </c>
      <c r="P316" s="3">
        <v>34.123249999999999</v>
      </c>
      <c r="Q316" s="3">
        <v>8578.5</v>
      </c>
      <c r="R316" s="4">
        <v>-250.39750756449001</v>
      </c>
      <c r="S316" t="s">
        <v>663</v>
      </c>
      <c r="T316" s="3">
        <v>-8544.3767499999994</v>
      </c>
      <c r="U316" t="s">
        <v>1431</v>
      </c>
      <c r="V316" s="13" t="str">
        <f>TEXT(Table1_1[[#This Row],[OrderDate]],"MM YYYY")</f>
        <v>06 2025</v>
      </c>
      <c r="W316" s="11" t="str">
        <f>TEXT(Table1_1[[#This Row],[OrderDate]],"MM")</f>
        <v>06</v>
      </c>
      <c r="X316" s="11"/>
    </row>
    <row r="317" spans="1:24" x14ac:dyDescent="0.25">
      <c r="A317" t="s">
        <v>594</v>
      </c>
      <c r="B317" s="2">
        <v>45507</v>
      </c>
      <c r="C317" s="2">
        <v>45513</v>
      </c>
      <c r="D317" t="s">
        <v>1413</v>
      </c>
      <c r="E317" s="10">
        <v>6</v>
      </c>
      <c r="F317" t="s">
        <v>1393</v>
      </c>
      <c r="G317" t="s">
        <v>645</v>
      </c>
      <c r="H317" t="s">
        <v>650</v>
      </c>
      <c r="I317" t="s">
        <v>672</v>
      </c>
      <c r="J317" t="s">
        <v>1257</v>
      </c>
      <c r="K317">
        <v>13</v>
      </c>
      <c r="L317" s="3">
        <v>643.21</v>
      </c>
      <c r="M317" s="3">
        <v>1112.81</v>
      </c>
      <c r="N317" s="3" t="str">
        <f>IF(Table1_1[[#This Row],[UnitPrice]]&lt;=816.08,"low",IF(Table1_1[[#This Row],[UnitPrice]]&lt;=1640.06,"medium","high"))</f>
        <v>medium</v>
      </c>
      <c r="O317" s="4">
        <v>0.14099999999999999</v>
      </c>
      <c r="P317" s="3">
        <v>12426.749269999998</v>
      </c>
      <c r="Q317" s="3">
        <v>8361.73</v>
      </c>
      <c r="R317" s="4">
        <v>0.32711847496702601</v>
      </c>
      <c r="S317" t="s">
        <v>663</v>
      </c>
      <c r="T317" s="3">
        <v>4065.0192699999989</v>
      </c>
      <c r="U317" t="s">
        <v>1437</v>
      </c>
      <c r="V317" s="13" t="str">
        <f>TEXT(Table1_1[[#This Row],[OrderDate]],"MM YYYY")</f>
        <v>08 2024</v>
      </c>
      <c r="W317" s="11" t="str">
        <f>TEXT(Table1_1[[#This Row],[OrderDate]],"MM")</f>
        <v>08</v>
      </c>
      <c r="X317" s="11"/>
    </row>
    <row r="318" spans="1:24" x14ac:dyDescent="0.25">
      <c r="A318" t="s">
        <v>431</v>
      </c>
      <c r="B318" s="2">
        <v>45713</v>
      </c>
      <c r="C318" s="2">
        <v>45733</v>
      </c>
      <c r="D318" t="s">
        <v>1413</v>
      </c>
      <c r="E318" s="10">
        <v>20</v>
      </c>
      <c r="F318" t="s">
        <v>1419</v>
      </c>
      <c r="G318" t="s">
        <v>644</v>
      </c>
      <c r="H318" t="s">
        <v>650</v>
      </c>
      <c r="I318" t="s">
        <v>671</v>
      </c>
      <c r="J318" t="s">
        <v>1095</v>
      </c>
      <c r="K318">
        <v>22</v>
      </c>
      <c r="L318" s="3">
        <v>1205.26</v>
      </c>
      <c r="M318" s="3">
        <v>1696.35</v>
      </c>
      <c r="N318" s="3" t="str">
        <f>IF(Table1_1[[#This Row],[UnitPrice]]&lt;=816.08,"low",IF(Table1_1[[#This Row],[UnitPrice]]&lt;=1640.06,"medium","high"))</f>
        <v>high</v>
      </c>
      <c r="O318" s="4">
        <v>1.9E-2</v>
      </c>
      <c r="P318" s="3">
        <v>36610.625699999997</v>
      </c>
      <c r="Q318" s="3">
        <v>26515.72</v>
      </c>
      <c r="R318" s="4">
        <v>0.27573704374028202</v>
      </c>
      <c r="S318" t="s">
        <v>663</v>
      </c>
      <c r="T318" s="3">
        <v>10094.905699999996</v>
      </c>
      <c r="U318" t="s">
        <v>1434</v>
      </c>
      <c r="V318" s="13" t="str">
        <f>TEXT(Table1_1[[#This Row],[OrderDate]],"MM YYYY")</f>
        <v>02 2025</v>
      </c>
      <c r="W318" s="11" t="str">
        <f>TEXT(Table1_1[[#This Row],[OrderDate]],"MM")</f>
        <v>02</v>
      </c>
      <c r="X318" s="11"/>
    </row>
    <row r="319" spans="1:24" x14ac:dyDescent="0.25">
      <c r="A319" t="s">
        <v>344</v>
      </c>
      <c r="B319" s="2">
        <v>45774</v>
      </c>
      <c r="C319" s="2">
        <v>45804</v>
      </c>
      <c r="D319" t="s">
        <v>1413</v>
      </c>
      <c r="E319" s="10">
        <v>30</v>
      </c>
      <c r="F319" t="s">
        <v>1423</v>
      </c>
      <c r="G319" t="s">
        <v>647</v>
      </c>
      <c r="H319" t="s">
        <v>650</v>
      </c>
      <c r="I319" t="s">
        <v>671</v>
      </c>
      <c r="J319" t="s">
        <v>1009</v>
      </c>
      <c r="K319">
        <v>15</v>
      </c>
      <c r="L319" s="3">
        <v>481.32</v>
      </c>
      <c r="M319" s="3">
        <v>1135.99</v>
      </c>
      <c r="N319" s="3" t="str">
        <f>IF(Table1_1[[#This Row],[UnitPrice]]&lt;=816.08,"low",IF(Table1_1[[#This Row],[UnitPrice]]&lt;=1640.06,"medium","high"))</f>
        <v>medium</v>
      </c>
      <c r="O319" s="4">
        <v>0.14499999999999999</v>
      </c>
      <c r="P319" s="3">
        <v>14569.071749999999</v>
      </c>
      <c r="Q319" s="3">
        <v>7219.8</v>
      </c>
      <c r="R319" s="4">
        <v>0.50444337677175599</v>
      </c>
      <c r="S319" t="s">
        <v>663</v>
      </c>
      <c r="T319" s="3">
        <v>7349.271749999999</v>
      </c>
      <c r="U319" t="s">
        <v>1431</v>
      </c>
      <c r="V319" s="13" t="str">
        <f>TEXT(Table1_1[[#This Row],[OrderDate]],"MM YYYY")</f>
        <v>04 2025</v>
      </c>
      <c r="W319" s="11" t="str">
        <f>TEXT(Table1_1[[#This Row],[OrderDate]],"MM")</f>
        <v>04</v>
      </c>
      <c r="X319" s="11"/>
    </row>
    <row r="320" spans="1:24" x14ac:dyDescent="0.25">
      <c r="A320" t="s">
        <v>417</v>
      </c>
      <c r="B320" s="2">
        <v>45709</v>
      </c>
      <c r="C320" s="2">
        <v>45737</v>
      </c>
      <c r="D320" t="s">
        <v>1413</v>
      </c>
      <c r="E320" s="10">
        <v>28</v>
      </c>
      <c r="F320" t="s">
        <v>1389</v>
      </c>
      <c r="G320" t="s">
        <v>647</v>
      </c>
      <c r="H320" t="s">
        <v>650</v>
      </c>
      <c r="I320" t="s">
        <v>671</v>
      </c>
      <c r="J320" t="s">
        <v>1081</v>
      </c>
      <c r="K320">
        <v>13</v>
      </c>
      <c r="L320" s="3">
        <v>1437.39</v>
      </c>
      <c r="M320" s="3">
        <v>1388.31</v>
      </c>
      <c r="N320" s="3" t="str">
        <f>IF(Table1_1[[#This Row],[UnitPrice]]&lt;=816.08,"low",IF(Table1_1[[#This Row],[UnitPrice]]&lt;=1640.06,"medium","high"))</f>
        <v>medium</v>
      </c>
      <c r="O320" s="4">
        <v>0.13800000000000001</v>
      </c>
      <c r="P320" s="3">
        <v>15557.401859999998</v>
      </c>
      <c r="Q320" s="3">
        <v>18686.07</v>
      </c>
      <c r="R320" s="4">
        <v>-0.201104796813419</v>
      </c>
      <c r="S320" t="s">
        <v>655</v>
      </c>
      <c r="T320" s="3">
        <v>-3128.6681400000016</v>
      </c>
      <c r="U320" t="s">
        <v>1434</v>
      </c>
      <c r="V320" s="13" t="str">
        <f>TEXT(Table1_1[[#This Row],[OrderDate]],"MM YYYY")</f>
        <v>02 2025</v>
      </c>
      <c r="W320" s="11" t="str">
        <f>TEXT(Table1_1[[#This Row],[OrderDate]],"MM")</f>
        <v>02</v>
      </c>
      <c r="X320" s="11"/>
    </row>
    <row r="321" spans="1:24" x14ac:dyDescent="0.25">
      <c r="A321" t="s">
        <v>231</v>
      </c>
      <c r="B321" s="2">
        <v>45194</v>
      </c>
      <c r="C321" s="2">
        <v>45201</v>
      </c>
      <c r="D321" t="s">
        <v>1413</v>
      </c>
      <c r="E321" s="10">
        <v>7</v>
      </c>
      <c r="F321" t="s">
        <v>1428</v>
      </c>
      <c r="G321" t="s">
        <v>643</v>
      </c>
      <c r="H321" t="s">
        <v>650</v>
      </c>
      <c r="I321" t="s">
        <v>674</v>
      </c>
      <c r="J321" t="s">
        <v>896</v>
      </c>
      <c r="K321">
        <v>53</v>
      </c>
      <c r="L321" s="3">
        <v>145.58000000000001</v>
      </c>
      <c r="M321" s="3">
        <v>228.15</v>
      </c>
      <c r="N321" s="3" t="str">
        <f>IF(Table1_1[[#This Row],[UnitPrice]]&lt;=816.08,"low",IF(Table1_1[[#This Row],[UnitPrice]]&lt;=1640.06,"medium","high"))</f>
        <v>low</v>
      </c>
      <c r="O321" s="4">
        <v>0.20399999999999999</v>
      </c>
      <c r="P321" s="3">
        <v>9625.1922000000013</v>
      </c>
      <c r="Q321" s="3">
        <v>7715.7400000000007</v>
      </c>
      <c r="R321" s="4">
        <v>0.19838068272548401</v>
      </c>
      <c r="S321" t="s">
        <v>655</v>
      </c>
      <c r="T321" s="3">
        <v>1909.4522000000006</v>
      </c>
      <c r="U321" t="s">
        <v>1430</v>
      </c>
      <c r="V321" s="13" t="str">
        <f>TEXT(Table1_1[[#This Row],[OrderDate]],"MM YYYY")</f>
        <v>09 2023</v>
      </c>
      <c r="W321" s="11" t="str">
        <f>TEXT(Table1_1[[#This Row],[OrderDate]],"MM")</f>
        <v>09</v>
      </c>
      <c r="X321" s="11"/>
    </row>
    <row r="322" spans="1:24" x14ac:dyDescent="0.25">
      <c r="A322" t="s">
        <v>263</v>
      </c>
      <c r="B322" s="2">
        <v>45502</v>
      </c>
      <c r="C322" s="2">
        <v>45504</v>
      </c>
      <c r="D322" t="s">
        <v>1413</v>
      </c>
      <c r="E322" s="10">
        <v>2</v>
      </c>
      <c r="F322" t="s">
        <v>1428</v>
      </c>
      <c r="G322" t="s">
        <v>643</v>
      </c>
      <c r="H322" t="s">
        <v>650</v>
      </c>
      <c r="I322" t="s">
        <v>669</v>
      </c>
      <c r="J322" t="s">
        <v>928</v>
      </c>
      <c r="K322">
        <v>10</v>
      </c>
      <c r="L322" s="3">
        <v>798.97</v>
      </c>
      <c r="M322" s="3">
        <v>1814.06</v>
      </c>
      <c r="N322" s="3" t="str">
        <f>IF(Table1_1[[#This Row],[UnitPrice]]&lt;=816.08,"low",IF(Table1_1[[#This Row],[UnitPrice]]&lt;=1640.06,"medium","high"))</f>
        <v>high</v>
      </c>
      <c r="O322" s="4">
        <v>0.122</v>
      </c>
      <c r="P322" s="3">
        <v>15927.446799999998</v>
      </c>
      <c r="Q322" s="3">
        <v>7989.7000000000007</v>
      </c>
      <c r="R322" s="4">
        <v>0.49836906691159</v>
      </c>
      <c r="S322" t="s">
        <v>655</v>
      </c>
      <c r="T322" s="3">
        <v>7937.7467999999972</v>
      </c>
      <c r="U322" t="s">
        <v>1437</v>
      </c>
      <c r="V322" s="13" t="str">
        <f>TEXT(Table1_1[[#This Row],[OrderDate]],"MM YYYY")</f>
        <v>07 2024</v>
      </c>
      <c r="W322" s="11" t="str">
        <f>TEXT(Table1_1[[#This Row],[OrderDate]],"MM")</f>
        <v>07</v>
      </c>
      <c r="X322" s="11"/>
    </row>
    <row r="323" spans="1:24" x14ac:dyDescent="0.25">
      <c r="A323" t="s">
        <v>540</v>
      </c>
      <c r="B323" s="2">
        <v>45316</v>
      </c>
      <c r="C323" s="2">
        <v>45330</v>
      </c>
      <c r="D323" t="s">
        <v>1413</v>
      </c>
      <c r="E323" s="10">
        <v>14</v>
      </c>
      <c r="F323" t="s">
        <v>1387</v>
      </c>
      <c r="G323" t="s">
        <v>645</v>
      </c>
      <c r="H323" t="s">
        <v>650</v>
      </c>
      <c r="I323" t="s">
        <v>670</v>
      </c>
      <c r="J323" t="s">
        <v>1204</v>
      </c>
      <c r="K323">
        <v>22</v>
      </c>
      <c r="L323" s="3">
        <v>937.16</v>
      </c>
      <c r="M323" s="3">
        <v>1069.77</v>
      </c>
      <c r="N323" s="3" t="str">
        <f>IF(Table1_1[[#This Row],[UnitPrice]]&lt;=816.08,"low",IF(Table1_1[[#This Row],[UnitPrice]]&lt;=1640.06,"medium","high"))</f>
        <v>medium</v>
      </c>
      <c r="O323" s="4">
        <v>3.7999999999999999E-2</v>
      </c>
      <c r="P323" s="3">
        <v>22640.612279999998</v>
      </c>
      <c r="Q323" s="3">
        <v>20617.52</v>
      </c>
      <c r="R323" s="4">
        <v>8.9356783066645795E-2</v>
      </c>
      <c r="S323" t="s">
        <v>655</v>
      </c>
      <c r="T323" s="3">
        <v>2023.0922799999971</v>
      </c>
      <c r="U323" t="s">
        <v>1433</v>
      </c>
      <c r="V323" s="13" t="str">
        <f>TEXT(Table1_1[[#This Row],[OrderDate]],"MM YYYY")</f>
        <v>01 2024</v>
      </c>
      <c r="W323" s="11" t="str">
        <f>TEXT(Table1_1[[#This Row],[OrderDate]],"MM")</f>
        <v>01</v>
      </c>
      <c r="X323" s="11"/>
    </row>
    <row r="324" spans="1:24" x14ac:dyDescent="0.25">
      <c r="A324" t="s">
        <v>73</v>
      </c>
      <c r="B324" s="2">
        <v>45774</v>
      </c>
      <c r="C324" s="2">
        <v>45802</v>
      </c>
      <c r="D324" t="s">
        <v>1413</v>
      </c>
      <c r="E324" s="10">
        <v>28</v>
      </c>
      <c r="F324" t="s">
        <v>1404</v>
      </c>
      <c r="G324" t="s">
        <v>646</v>
      </c>
      <c r="H324" t="s">
        <v>650</v>
      </c>
      <c r="I324" t="s">
        <v>671</v>
      </c>
      <c r="J324" t="s">
        <v>737</v>
      </c>
      <c r="K324">
        <v>14</v>
      </c>
      <c r="L324" s="3">
        <v>603.45000000000005</v>
      </c>
      <c r="M324" s="3">
        <v>1244.08</v>
      </c>
      <c r="N324" s="3" t="str">
        <f>IF(Table1_1[[#This Row],[UnitPrice]]&lt;=816.08,"low",IF(Table1_1[[#This Row],[UnitPrice]]&lt;=1640.06,"medium","high"))</f>
        <v>medium</v>
      </c>
      <c r="O324" s="4">
        <v>0.2</v>
      </c>
      <c r="P324" s="3">
        <v>13933.696</v>
      </c>
      <c r="Q324" s="3">
        <v>8448.3000000000011</v>
      </c>
      <c r="R324" s="4">
        <v>0.39367846119220601</v>
      </c>
      <c r="S324" t="s">
        <v>655</v>
      </c>
      <c r="T324" s="3">
        <v>5485.3959999999988</v>
      </c>
      <c r="U324" t="s">
        <v>1431</v>
      </c>
      <c r="V324" s="13" t="str">
        <f>TEXT(Table1_1[[#This Row],[OrderDate]],"MM YYYY")</f>
        <v>04 2025</v>
      </c>
      <c r="W324" s="11" t="str">
        <f>TEXT(Table1_1[[#This Row],[OrderDate]],"MM")</f>
        <v>04</v>
      </c>
      <c r="X324" s="11"/>
    </row>
    <row r="325" spans="1:24" x14ac:dyDescent="0.25">
      <c r="A325" t="s">
        <v>459</v>
      </c>
      <c r="B325" s="2">
        <v>45454</v>
      </c>
      <c r="C325" s="2">
        <v>45482</v>
      </c>
      <c r="D325" t="s">
        <v>1413</v>
      </c>
      <c r="E325" s="10">
        <v>28</v>
      </c>
      <c r="F325" t="s">
        <v>1384</v>
      </c>
      <c r="G325" t="s">
        <v>642</v>
      </c>
      <c r="H325" t="s">
        <v>650</v>
      </c>
      <c r="I325" t="s">
        <v>671</v>
      </c>
      <c r="J325" t="s">
        <v>1123</v>
      </c>
      <c r="K325">
        <v>13</v>
      </c>
      <c r="L325" s="3">
        <v>895.54</v>
      </c>
      <c r="M325" s="3">
        <v>1045</v>
      </c>
      <c r="N325" s="3" t="str">
        <f>IF(Table1_1[[#This Row],[UnitPrice]]&lt;=816.08,"low",IF(Table1_1[[#This Row],[UnitPrice]]&lt;=1640.06,"medium","high"))</f>
        <v>medium</v>
      </c>
      <c r="O325" s="4">
        <v>0.216</v>
      </c>
      <c r="P325" s="3">
        <v>10650.640000000001</v>
      </c>
      <c r="Q325" s="3">
        <v>11642.02</v>
      </c>
      <c r="R325" s="4">
        <v>-9.3081730299775303E-2</v>
      </c>
      <c r="S325" t="s">
        <v>655</v>
      </c>
      <c r="T325" s="3">
        <v>-991.3799999999992</v>
      </c>
      <c r="U325" t="s">
        <v>1436</v>
      </c>
      <c r="V325" s="13" t="str">
        <f>TEXT(Table1_1[[#This Row],[OrderDate]],"MM YYYY")</f>
        <v>06 2024</v>
      </c>
      <c r="W325" s="11" t="str">
        <f>TEXT(Table1_1[[#This Row],[OrderDate]],"MM")</f>
        <v>06</v>
      </c>
      <c r="X325" s="11"/>
    </row>
    <row r="326" spans="1:24" x14ac:dyDescent="0.25">
      <c r="A326" t="s">
        <v>255</v>
      </c>
      <c r="B326" s="2">
        <v>45357</v>
      </c>
      <c r="C326" s="2">
        <v>45377</v>
      </c>
      <c r="D326" t="s">
        <v>1413</v>
      </c>
      <c r="E326" s="10">
        <v>20</v>
      </c>
      <c r="F326" t="s">
        <v>1384</v>
      </c>
      <c r="G326" t="s">
        <v>645</v>
      </c>
      <c r="H326" t="s">
        <v>650</v>
      </c>
      <c r="I326" t="s">
        <v>671</v>
      </c>
      <c r="J326" t="s">
        <v>920</v>
      </c>
      <c r="K326">
        <v>11</v>
      </c>
      <c r="L326" s="3">
        <v>65.64</v>
      </c>
      <c r="M326" s="3">
        <v>151.88</v>
      </c>
      <c r="N326" s="3" t="str">
        <f>IF(Table1_1[[#This Row],[UnitPrice]]&lt;=816.08,"low",IF(Table1_1[[#This Row],[UnitPrice]]&lt;=1640.06,"medium","high"))</f>
        <v>low</v>
      </c>
      <c r="O326" s="4">
        <v>0.16700000000000001</v>
      </c>
      <c r="P326" s="3">
        <v>1391.6764399999997</v>
      </c>
      <c r="Q326" s="3">
        <v>722.04</v>
      </c>
      <c r="R326" s="4">
        <v>0.48117250587356403</v>
      </c>
      <c r="S326" t="s">
        <v>655</v>
      </c>
      <c r="T326" s="3">
        <v>669.63643999999977</v>
      </c>
      <c r="U326" t="s">
        <v>1433</v>
      </c>
      <c r="V326" s="13" t="str">
        <f>TEXT(Table1_1[[#This Row],[OrderDate]],"MM YYYY")</f>
        <v>03 2024</v>
      </c>
      <c r="W326" s="11" t="str">
        <f>TEXT(Table1_1[[#This Row],[OrderDate]],"MM")</f>
        <v>03</v>
      </c>
      <c r="X326" s="11"/>
    </row>
    <row r="327" spans="1:24" x14ac:dyDescent="0.25">
      <c r="A327" t="s">
        <v>339</v>
      </c>
      <c r="B327" s="2">
        <v>45221</v>
      </c>
      <c r="C327" s="2">
        <v>45246</v>
      </c>
      <c r="D327" t="s">
        <v>1413</v>
      </c>
      <c r="E327" s="10">
        <v>25</v>
      </c>
      <c r="F327" t="s">
        <v>1414</v>
      </c>
      <c r="G327" t="s">
        <v>646</v>
      </c>
      <c r="H327" t="s">
        <v>650</v>
      </c>
      <c r="I327" t="s">
        <v>672</v>
      </c>
      <c r="J327" t="s">
        <v>1004</v>
      </c>
      <c r="K327">
        <v>12</v>
      </c>
      <c r="L327" s="3">
        <v>1373.31</v>
      </c>
      <c r="M327" s="3">
        <v>3154.14</v>
      </c>
      <c r="N327" s="3" t="str">
        <f>IF(Table1_1[[#This Row],[UnitPrice]]&lt;=816.08,"low",IF(Table1_1[[#This Row],[UnitPrice]]&lt;=1640.06,"medium","high"))</f>
        <v>high</v>
      </c>
      <c r="O327" s="4">
        <v>0.2</v>
      </c>
      <c r="P327" s="3">
        <v>30279.744000000002</v>
      </c>
      <c r="Q327" s="3">
        <v>16479.72</v>
      </c>
      <c r="R327" s="4">
        <v>0.45575101295440301</v>
      </c>
      <c r="S327" t="s">
        <v>655</v>
      </c>
      <c r="T327" s="3">
        <v>13800.024000000001</v>
      </c>
      <c r="U327" t="s">
        <v>1439</v>
      </c>
      <c r="V327" s="13" t="str">
        <f>TEXT(Table1_1[[#This Row],[OrderDate]],"MM YYYY")</f>
        <v>10 2023</v>
      </c>
      <c r="W327" s="11" t="str">
        <f>TEXT(Table1_1[[#This Row],[OrderDate]],"MM")</f>
        <v>10</v>
      </c>
      <c r="X327" s="11"/>
    </row>
    <row r="328" spans="1:24" x14ac:dyDescent="0.25">
      <c r="A328" t="s">
        <v>379</v>
      </c>
      <c r="B328" s="2">
        <v>45832</v>
      </c>
      <c r="C328" s="2">
        <v>45861</v>
      </c>
      <c r="D328" t="s">
        <v>1413</v>
      </c>
      <c r="E328" s="10">
        <v>29</v>
      </c>
      <c r="F328" t="s">
        <v>1415</v>
      </c>
      <c r="G328" t="s">
        <v>644</v>
      </c>
      <c r="H328" t="s">
        <v>650</v>
      </c>
      <c r="I328" t="s">
        <v>669</v>
      </c>
      <c r="J328" t="s">
        <v>1044</v>
      </c>
      <c r="K328">
        <v>4</v>
      </c>
      <c r="L328" s="3">
        <v>255.4</v>
      </c>
      <c r="M328" s="3">
        <v>322.70999999999998</v>
      </c>
      <c r="N328" s="3" t="str">
        <f>IF(Table1_1[[#This Row],[UnitPrice]]&lt;=816.08,"low",IF(Table1_1[[#This Row],[UnitPrice]]&lt;=1640.06,"medium","high"))</f>
        <v>low</v>
      </c>
      <c r="O328" s="4">
        <v>0.115</v>
      </c>
      <c r="P328" s="3">
        <v>1142.3933999999999</v>
      </c>
      <c r="Q328" s="3">
        <v>1021.6</v>
      </c>
      <c r="R328" s="4">
        <v>0.105737130484122</v>
      </c>
      <c r="S328" t="s">
        <v>655</v>
      </c>
      <c r="T328" s="3">
        <v>120.79339999999991</v>
      </c>
      <c r="U328" t="s">
        <v>1431</v>
      </c>
      <c r="V328" s="13" t="str">
        <f>TEXT(Table1_1[[#This Row],[OrderDate]],"MM YYYY")</f>
        <v>06 2025</v>
      </c>
      <c r="W328" s="11" t="str">
        <f>TEXT(Table1_1[[#This Row],[OrderDate]],"MM")</f>
        <v>06</v>
      </c>
      <c r="X328" s="11"/>
    </row>
    <row r="329" spans="1:24" x14ac:dyDescent="0.25">
      <c r="A329" t="s">
        <v>357</v>
      </c>
      <c r="B329" s="2">
        <v>45050</v>
      </c>
      <c r="C329" s="2">
        <v>45062</v>
      </c>
      <c r="D329" t="s">
        <v>1413</v>
      </c>
      <c r="E329" s="10">
        <v>12</v>
      </c>
      <c r="F329" t="s">
        <v>1389</v>
      </c>
      <c r="G329" t="s">
        <v>646</v>
      </c>
      <c r="H329" t="s">
        <v>650</v>
      </c>
      <c r="I329" t="s">
        <v>671</v>
      </c>
      <c r="J329" t="s">
        <v>1022</v>
      </c>
      <c r="K329">
        <v>3</v>
      </c>
      <c r="L329" s="3">
        <v>77.739999999999995</v>
      </c>
      <c r="M329" s="3">
        <v>147.12</v>
      </c>
      <c r="N329" s="3" t="str">
        <f>IF(Table1_1[[#This Row],[UnitPrice]]&lt;=816.08,"low",IF(Table1_1[[#This Row],[UnitPrice]]&lt;=1640.06,"medium","high"))</f>
        <v>low</v>
      </c>
      <c r="O329" s="4">
        <v>0</v>
      </c>
      <c r="P329" s="3">
        <v>441.36</v>
      </c>
      <c r="Q329" s="3">
        <v>233.21999999999997</v>
      </c>
      <c r="R329" s="4">
        <v>0.47158781946710199</v>
      </c>
      <c r="S329" t="s">
        <v>654</v>
      </c>
      <c r="T329" s="3">
        <v>208.14000000000004</v>
      </c>
      <c r="U329" t="s">
        <v>1435</v>
      </c>
      <c r="V329" s="13" t="str">
        <f>TEXT(Table1_1[[#This Row],[OrderDate]],"MM YYYY")</f>
        <v>05 2023</v>
      </c>
      <c r="W329" s="11" t="str">
        <f>TEXT(Table1_1[[#This Row],[OrderDate]],"MM")</f>
        <v>05</v>
      </c>
      <c r="X329" s="11"/>
    </row>
    <row r="330" spans="1:24" x14ac:dyDescent="0.25">
      <c r="A330" t="s">
        <v>46</v>
      </c>
      <c r="B330" s="2">
        <v>45012</v>
      </c>
      <c r="C330" s="2">
        <v>45038</v>
      </c>
      <c r="D330" t="s">
        <v>1413</v>
      </c>
      <c r="E330" s="10">
        <v>26</v>
      </c>
      <c r="F330" t="s">
        <v>1397</v>
      </c>
      <c r="G330" t="s">
        <v>644</v>
      </c>
      <c r="H330" t="s">
        <v>650</v>
      </c>
      <c r="I330" t="s">
        <v>669</v>
      </c>
      <c r="J330" t="s">
        <v>710</v>
      </c>
      <c r="K330">
        <v>10</v>
      </c>
      <c r="L330" s="3">
        <v>178.53</v>
      </c>
      <c r="M330" s="3">
        <v>199.37</v>
      </c>
      <c r="N330" s="3" t="str">
        <f>IF(Table1_1[[#This Row],[UnitPrice]]&lt;=816.08,"low",IF(Table1_1[[#This Row],[UnitPrice]]&lt;=1640.06,"medium","high"))</f>
        <v>low</v>
      </c>
      <c r="O330" s="4">
        <v>0.10100000000000001</v>
      </c>
      <c r="P330" s="3">
        <v>1792.3363000000002</v>
      </c>
      <c r="Q330" s="3">
        <v>1785.3</v>
      </c>
      <c r="R330" s="4">
        <v>3.9257699573457304E-3</v>
      </c>
      <c r="S330" t="s">
        <v>654</v>
      </c>
      <c r="T330" s="3">
        <v>7.0363000000002103</v>
      </c>
      <c r="U330" t="s">
        <v>1432</v>
      </c>
      <c r="V330" s="13" t="str">
        <f>TEXT(Table1_1[[#This Row],[OrderDate]],"MM YYYY")</f>
        <v>03 2023</v>
      </c>
      <c r="W330" s="11" t="str">
        <f>TEXT(Table1_1[[#This Row],[OrderDate]],"MM")</f>
        <v>03</v>
      </c>
      <c r="X330" s="11"/>
    </row>
    <row r="331" spans="1:24" x14ac:dyDescent="0.25">
      <c r="A331" t="s">
        <v>457</v>
      </c>
      <c r="B331" s="2">
        <v>45746</v>
      </c>
      <c r="C331" s="2">
        <v>45776</v>
      </c>
      <c r="D331" t="s">
        <v>1413</v>
      </c>
      <c r="E331" s="10">
        <v>30</v>
      </c>
      <c r="F331" t="s">
        <v>1402</v>
      </c>
      <c r="G331" t="s">
        <v>645</v>
      </c>
      <c r="H331" t="s">
        <v>650</v>
      </c>
      <c r="I331" t="s">
        <v>673</v>
      </c>
      <c r="J331" t="s">
        <v>1121</v>
      </c>
      <c r="K331">
        <v>11</v>
      </c>
      <c r="L331" s="3">
        <v>194.6</v>
      </c>
      <c r="M331" s="3">
        <v>314.87</v>
      </c>
      <c r="N331" s="3" t="str">
        <f>IF(Table1_1[[#This Row],[UnitPrice]]&lt;=816.08,"low",IF(Table1_1[[#This Row],[UnitPrice]]&lt;=1640.06,"medium","high"))</f>
        <v>low</v>
      </c>
      <c r="O331" s="4">
        <v>0.29299999999999998</v>
      </c>
      <c r="P331" s="3">
        <v>2448.7439900000004</v>
      </c>
      <c r="Q331" s="3">
        <v>2140.6</v>
      </c>
      <c r="R331" s="4">
        <v>0.12583756867127599</v>
      </c>
      <c r="S331" t="s">
        <v>654</v>
      </c>
      <c r="T331" s="3">
        <v>308.14399000000049</v>
      </c>
      <c r="U331" t="s">
        <v>1434</v>
      </c>
      <c r="V331" s="13" t="str">
        <f>TEXT(Table1_1[[#This Row],[OrderDate]],"MM YYYY")</f>
        <v>03 2025</v>
      </c>
      <c r="W331" s="11" t="str">
        <f>TEXT(Table1_1[[#This Row],[OrderDate]],"MM")</f>
        <v>03</v>
      </c>
      <c r="X331" s="11"/>
    </row>
    <row r="332" spans="1:24" x14ac:dyDescent="0.25">
      <c r="A332" t="s">
        <v>544</v>
      </c>
      <c r="B332" s="2">
        <v>45832</v>
      </c>
      <c r="C332" s="2">
        <v>45852</v>
      </c>
      <c r="D332" t="s">
        <v>1413</v>
      </c>
      <c r="E332" s="10">
        <v>20</v>
      </c>
      <c r="F332" t="s">
        <v>1398</v>
      </c>
      <c r="G332" t="s">
        <v>647</v>
      </c>
      <c r="H332" t="s">
        <v>650</v>
      </c>
      <c r="I332" t="s">
        <v>672</v>
      </c>
      <c r="J332" t="s">
        <v>1208</v>
      </c>
      <c r="K332">
        <v>12</v>
      </c>
      <c r="L332" s="3">
        <v>1151.06</v>
      </c>
      <c r="M332" s="3">
        <v>2821.36</v>
      </c>
      <c r="N332" s="3" t="str">
        <f>IF(Table1_1[[#This Row],[UnitPrice]]&lt;=816.08,"low",IF(Table1_1[[#This Row],[UnitPrice]]&lt;=1640.06,"medium","high"))</f>
        <v>high</v>
      </c>
      <c r="O332" s="4">
        <v>0.248</v>
      </c>
      <c r="P332" s="3">
        <v>25459.95264</v>
      </c>
      <c r="Q332" s="3">
        <v>13812.72</v>
      </c>
      <c r="R332" s="4">
        <v>0.45747267501594202</v>
      </c>
      <c r="S332" t="s">
        <v>654</v>
      </c>
      <c r="T332" s="3">
        <v>11647.23264</v>
      </c>
      <c r="U332" t="s">
        <v>1431</v>
      </c>
      <c r="V332" s="13" t="str">
        <f>TEXT(Table1_1[[#This Row],[OrderDate]],"MM YYYY")</f>
        <v>06 2025</v>
      </c>
      <c r="W332" s="11" t="str">
        <f>TEXT(Table1_1[[#This Row],[OrderDate]],"MM")</f>
        <v>06</v>
      </c>
      <c r="X332" s="11"/>
    </row>
    <row r="333" spans="1:24" x14ac:dyDescent="0.25">
      <c r="A333" t="s">
        <v>492</v>
      </c>
      <c r="B333" s="2">
        <v>45899</v>
      </c>
      <c r="C333" s="2">
        <v>45903</v>
      </c>
      <c r="D333" t="s">
        <v>1413</v>
      </c>
      <c r="E333" s="10">
        <v>4</v>
      </c>
      <c r="F333" t="s">
        <v>1391</v>
      </c>
      <c r="G333" t="s">
        <v>646</v>
      </c>
      <c r="H333" t="s">
        <v>650</v>
      </c>
      <c r="I333" t="s">
        <v>672</v>
      </c>
      <c r="J333" t="s">
        <v>1156</v>
      </c>
      <c r="K333">
        <v>13</v>
      </c>
      <c r="L333" s="3">
        <v>1286.56</v>
      </c>
      <c r="M333" s="3">
        <v>2777.35</v>
      </c>
      <c r="N333" s="3" t="str">
        <f>IF(Table1_1[[#This Row],[UnitPrice]]&lt;=816.08,"low",IF(Table1_1[[#This Row],[UnitPrice]]&lt;=1640.06,"medium","high"))</f>
        <v>high</v>
      </c>
      <c r="O333" s="4">
        <v>0.13200000000000001</v>
      </c>
      <c r="P333" s="3">
        <v>31339.617399999996</v>
      </c>
      <c r="Q333" s="3">
        <v>16725.28</v>
      </c>
      <c r="R333" s="4">
        <v>0.46632150014696699</v>
      </c>
      <c r="S333" t="s">
        <v>654</v>
      </c>
      <c r="T333" s="3">
        <v>14614.337399999997</v>
      </c>
      <c r="U333" t="s">
        <v>1438</v>
      </c>
      <c r="V333" s="13" t="str">
        <f>TEXT(Table1_1[[#This Row],[OrderDate]],"MM YYYY")</f>
        <v>08 2025</v>
      </c>
      <c r="W333" s="11" t="str">
        <f>TEXT(Table1_1[[#This Row],[OrderDate]],"MM")</f>
        <v>08</v>
      </c>
      <c r="X333" s="11"/>
    </row>
    <row r="334" spans="1:24" x14ac:dyDescent="0.25">
      <c r="A334" t="s">
        <v>112</v>
      </c>
      <c r="B334" s="2">
        <v>45304</v>
      </c>
      <c r="C334" s="2">
        <v>45313</v>
      </c>
      <c r="D334" t="s">
        <v>1413</v>
      </c>
      <c r="E334" s="10">
        <v>9</v>
      </c>
      <c r="F334" t="s">
        <v>1405</v>
      </c>
      <c r="G334" t="s">
        <v>647</v>
      </c>
      <c r="H334" t="s">
        <v>650</v>
      </c>
      <c r="I334" t="s">
        <v>668</v>
      </c>
      <c r="J334" t="s">
        <v>776</v>
      </c>
      <c r="K334">
        <v>4</v>
      </c>
      <c r="L334" s="3">
        <v>313.60000000000002</v>
      </c>
      <c r="M334" s="3">
        <v>334.28</v>
      </c>
      <c r="N334" s="3" t="str">
        <f>IF(Table1_1[[#This Row],[UnitPrice]]&lt;=816.08,"low",IF(Table1_1[[#This Row],[UnitPrice]]&lt;=1640.06,"medium","high"))</f>
        <v>low</v>
      </c>
      <c r="O334" s="4">
        <v>0.14000000000000001</v>
      </c>
      <c r="P334" s="3">
        <v>1149.9232</v>
      </c>
      <c r="Q334" s="3">
        <v>1254.4000000000001</v>
      </c>
      <c r="R334" s="4">
        <v>-9.0855458868905503E-2</v>
      </c>
      <c r="S334" t="s">
        <v>654</v>
      </c>
      <c r="T334" s="3">
        <v>-104.47680000000014</v>
      </c>
      <c r="U334" t="s">
        <v>1433</v>
      </c>
      <c r="V334" s="13" t="str">
        <f>TEXT(Table1_1[[#This Row],[OrderDate]],"MM YYYY")</f>
        <v>01 2024</v>
      </c>
      <c r="W334" s="11" t="str">
        <f>TEXT(Table1_1[[#This Row],[OrderDate]],"MM")</f>
        <v>01</v>
      </c>
      <c r="X334" s="11"/>
    </row>
    <row r="335" spans="1:24" x14ac:dyDescent="0.25">
      <c r="A335" t="s">
        <v>582</v>
      </c>
      <c r="B335" s="2">
        <v>45740</v>
      </c>
      <c r="C335" s="2">
        <v>45751</v>
      </c>
      <c r="D335" t="s">
        <v>1413</v>
      </c>
      <c r="E335" s="10">
        <v>11</v>
      </c>
      <c r="F335" t="s">
        <v>1405</v>
      </c>
      <c r="G335" t="s">
        <v>643</v>
      </c>
      <c r="H335" t="s">
        <v>650</v>
      </c>
      <c r="I335" t="s">
        <v>671</v>
      </c>
      <c r="J335" t="s">
        <v>1245</v>
      </c>
      <c r="K335">
        <v>5</v>
      </c>
      <c r="L335" s="3">
        <v>23.83</v>
      </c>
      <c r="M335" s="3">
        <v>47.29</v>
      </c>
      <c r="N335" s="3" t="str">
        <f>IF(Table1_1[[#This Row],[UnitPrice]]&lt;=816.08,"low",IF(Table1_1[[#This Row],[UnitPrice]]&lt;=1640.06,"medium","high"))</f>
        <v>low</v>
      </c>
      <c r="O335" s="4">
        <v>6.4000000000000001E-2</v>
      </c>
      <c r="P335" s="3">
        <v>221.31719999999999</v>
      </c>
      <c r="Q335" s="3">
        <v>119.14999999999999</v>
      </c>
      <c r="R335" s="4">
        <v>0.46163244429262601</v>
      </c>
      <c r="S335" t="s">
        <v>654</v>
      </c>
      <c r="T335" s="3">
        <v>102.16719999999999</v>
      </c>
      <c r="U335" t="s">
        <v>1434</v>
      </c>
      <c r="V335" s="13" t="str">
        <f>TEXT(Table1_1[[#This Row],[OrderDate]],"MM YYYY")</f>
        <v>03 2025</v>
      </c>
      <c r="W335" s="11" t="str">
        <f>TEXT(Table1_1[[#This Row],[OrderDate]],"MM")</f>
        <v>03</v>
      </c>
      <c r="X335" s="11"/>
    </row>
    <row r="336" spans="1:24" x14ac:dyDescent="0.25">
      <c r="A336" t="s">
        <v>295</v>
      </c>
      <c r="B336" s="2">
        <v>45101</v>
      </c>
      <c r="C336" s="2">
        <v>45128</v>
      </c>
      <c r="D336" t="s">
        <v>1413</v>
      </c>
      <c r="E336" s="10">
        <v>27</v>
      </c>
      <c r="F336" t="s">
        <v>1407</v>
      </c>
      <c r="G336" t="s">
        <v>645</v>
      </c>
      <c r="H336" t="s">
        <v>650</v>
      </c>
      <c r="I336" t="s">
        <v>671</v>
      </c>
      <c r="J336" t="s">
        <v>960</v>
      </c>
      <c r="K336">
        <v>5</v>
      </c>
      <c r="L336" s="3">
        <v>554.76</v>
      </c>
      <c r="M336" s="3">
        <v>728.69</v>
      </c>
      <c r="N336" s="3" t="str">
        <f>IF(Table1_1[[#This Row],[UnitPrice]]&lt;=816.08,"low",IF(Table1_1[[#This Row],[UnitPrice]]&lt;=1640.06,"medium","high"))</f>
        <v>low</v>
      </c>
      <c r="O336" s="4">
        <v>0.22</v>
      </c>
      <c r="P336" s="3">
        <v>2841.8910000000005</v>
      </c>
      <c r="Q336" s="3">
        <v>2773.8</v>
      </c>
      <c r="R336" s="4">
        <v>2.39597507434312E-2</v>
      </c>
      <c r="S336" t="s">
        <v>654</v>
      </c>
      <c r="T336" s="3">
        <v>68.091000000000349</v>
      </c>
      <c r="U336" t="s">
        <v>1435</v>
      </c>
      <c r="V336" s="13" t="str">
        <f>TEXT(Table1_1[[#This Row],[OrderDate]],"MM YYYY")</f>
        <v>06 2023</v>
      </c>
      <c r="W336" s="11" t="str">
        <f>TEXT(Table1_1[[#This Row],[OrderDate]],"MM")</f>
        <v>06</v>
      </c>
      <c r="X336" s="11"/>
    </row>
    <row r="337" spans="1:24" x14ac:dyDescent="0.25">
      <c r="A337" t="s">
        <v>378</v>
      </c>
      <c r="B337" s="2">
        <v>45194</v>
      </c>
      <c r="C337" s="2">
        <v>45208</v>
      </c>
      <c r="D337" t="s">
        <v>1413</v>
      </c>
      <c r="E337" s="10">
        <v>14</v>
      </c>
      <c r="F337" t="s">
        <v>1428</v>
      </c>
      <c r="G337" t="s">
        <v>646</v>
      </c>
      <c r="H337" t="s">
        <v>650</v>
      </c>
      <c r="I337" t="s">
        <v>672</v>
      </c>
      <c r="J337" t="s">
        <v>1043</v>
      </c>
      <c r="K337">
        <v>7</v>
      </c>
      <c r="L337" s="3">
        <v>1279.56</v>
      </c>
      <c r="M337" s="3">
        <v>3083.8</v>
      </c>
      <c r="N337" s="3" t="str">
        <f>IF(Table1_1[[#This Row],[UnitPrice]]&lt;=816.08,"low",IF(Table1_1[[#This Row],[UnitPrice]]&lt;=1640.06,"medium","high"))</f>
        <v>high</v>
      </c>
      <c r="O337" s="4">
        <v>0.106</v>
      </c>
      <c r="P337" s="3">
        <v>19298.420400000003</v>
      </c>
      <c r="Q337" s="3">
        <v>8956.92</v>
      </c>
      <c r="R337" s="4">
        <v>0.53587289455047804</v>
      </c>
      <c r="S337" t="s">
        <v>654</v>
      </c>
      <c r="T337" s="3">
        <v>10341.500400000003</v>
      </c>
      <c r="U337" t="s">
        <v>1430</v>
      </c>
      <c r="V337" s="13" t="str">
        <f>TEXT(Table1_1[[#This Row],[OrderDate]],"MM YYYY")</f>
        <v>09 2023</v>
      </c>
      <c r="W337" s="11" t="str">
        <f>TEXT(Table1_1[[#This Row],[OrderDate]],"MM")</f>
        <v>09</v>
      </c>
      <c r="X337" s="11"/>
    </row>
    <row r="338" spans="1:24" x14ac:dyDescent="0.25">
      <c r="A338" t="s">
        <v>631</v>
      </c>
      <c r="B338" s="2">
        <v>45764</v>
      </c>
      <c r="C338" s="2">
        <v>45780</v>
      </c>
      <c r="D338" t="s">
        <v>1413</v>
      </c>
      <c r="E338" s="10">
        <v>16</v>
      </c>
      <c r="F338" t="s">
        <v>1421</v>
      </c>
      <c r="G338" t="s">
        <v>645</v>
      </c>
      <c r="H338" t="s">
        <v>650</v>
      </c>
      <c r="I338" t="s">
        <v>670</v>
      </c>
      <c r="J338" t="s">
        <v>1294</v>
      </c>
      <c r="K338">
        <v>22</v>
      </c>
      <c r="L338" s="3">
        <v>168.68</v>
      </c>
      <c r="M338" s="3">
        <v>413.34</v>
      </c>
      <c r="N338" s="3" t="str">
        <f>IF(Table1_1[[#This Row],[UnitPrice]]&lt;=816.08,"low",IF(Table1_1[[#This Row],[UnitPrice]]&lt;=1640.06,"medium","high"))</f>
        <v>low</v>
      </c>
      <c r="O338" s="4">
        <v>0.186</v>
      </c>
      <c r="P338" s="3">
        <v>7402.0927200000006</v>
      </c>
      <c r="Q338" s="3">
        <v>3710.96</v>
      </c>
      <c r="R338" s="4">
        <v>0.49866069767361698</v>
      </c>
      <c r="S338" t="s">
        <v>654</v>
      </c>
      <c r="T338" s="3">
        <v>3691.1327200000005</v>
      </c>
      <c r="U338" t="s">
        <v>1431</v>
      </c>
      <c r="V338" s="13" t="str">
        <f>TEXT(Table1_1[[#This Row],[OrderDate]],"MM YYYY")</f>
        <v>04 2025</v>
      </c>
      <c r="W338" s="11" t="str">
        <f>TEXT(Table1_1[[#This Row],[OrderDate]],"MM")</f>
        <v>04</v>
      </c>
      <c r="X338" s="11"/>
    </row>
    <row r="339" spans="1:24" x14ac:dyDescent="0.25">
      <c r="A339" t="s">
        <v>474</v>
      </c>
      <c r="B339" s="2">
        <v>45865</v>
      </c>
      <c r="C339" s="2">
        <v>45884</v>
      </c>
      <c r="D339" t="s">
        <v>1413</v>
      </c>
      <c r="E339" s="10">
        <v>19</v>
      </c>
      <c r="F339" t="s">
        <v>1403</v>
      </c>
      <c r="G339" t="s">
        <v>646</v>
      </c>
      <c r="H339" t="s">
        <v>650</v>
      </c>
      <c r="I339" t="s">
        <v>668</v>
      </c>
      <c r="J339" t="s">
        <v>1138</v>
      </c>
      <c r="K339">
        <v>37</v>
      </c>
      <c r="L339" s="3">
        <v>275.43</v>
      </c>
      <c r="M339" s="3">
        <v>608.36</v>
      </c>
      <c r="N339" s="3" t="str">
        <f>IF(Table1_1[[#This Row],[UnitPrice]]&lt;=816.08,"low",IF(Table1_1[[#This Row],[UnitPrice]]&lt;=1640.06,"medium","high"))</f>
        <v>low</v>
      </c>
      <c r="O339" s="4">
        <v>0.25700000000000001</v>
      </c>
      <c r="P339" s="3">
        <v>16724.424759999998</v>
      </c>
      <c r="Q339" s="3">
        <v>10190.91</v>
      </c>
      <c r="R339" s="4">
        <v>0.39065706915231402</v>
      </c>
      <c r="S339" t="s">
        <v>654</v>
      </c>
      <c r="T339" s="3">
        <v>6533.5147599999982</v>
      </c>
      <c r="U339" t="s">
        <v>1438</v>
      </c>
      <c r="V339" s="13" t="str">
        <f>TEXT(Table1_1[[#This Row],[OrderDate]],"MM YYYY")</f>
        <v>07 2025</v>
      </c>
      <c r="W339" s="11" t="str">
        <f>TEXT(Table1_1[[#This Row],[OrderDate]],"MM")</f>
        <v>07</v>
      </c>
      <c r="X339" s="11"/>
    </row>
    <row r="340" spans="1:24" x14ac:dyDescent="0.25">
      <c r="A340" t="s">
        <v>382</v>
      </c>
      <c r="B340" s="2">
        <v>45022</v>
      </c>
      <c r="C340" s="2">
        <v>45024</v>
      </c>
      <c r="D340" t="s">
        <v>1413</v>
      </c>
      <c r="E340" s="10">
        <v>2</v>
      </c>
      <c r="F340" t="s">
        <v>1389</v>
      </c>
      <c r="G340" t="s">
        <v>646</v>
      </c>
      <c r="H340" t="s">
        <v>650</v>
      </c>
      <c r="I340" t="s">
        <v>673</v>
      </c>
      <c r="J340" t="s">
        <v>1047</v>
      </c>
      <c r="K340">
        <v>9</v>
      </c>
      <c r="L340" s="3">
        <v>720.35</v>
      </c>
      <c r="M340" s="3">
        <v>1571.66</v>
      </c>
      <c r="N340" s="3" t="str">
        <f>IF(Table1_1[[#This Row],[UnitPrice]]&lt;=816.08,"low",IF(Table1_1[[#This Row],[UnitPrice]]&lt;=1640.06,"medium","high"))</f>
        <v>medium</v>
      </c>
      <c r="O340" s="4">
        <v>0.107</v>
      </c>
      <c r="P340" s="3">
        <v>12631.431420000001</v>
      </c>
      <c r="Q340" s="3">
        <v>6483.1500000000005</v>
      </c>
      <c r="R340" s="4">
        <v>0.486744630562226</v>
      </c>
      <c r="S340" t="s">
        <v>664</v>
      </c>
      <c r="T340" s="3">
        <v>6148.2814200000003</v>
      </c>
      <c r="U340" t="s">
        <v>1435</v>
      </c>
      <c r="V340" s="13" t="str">
        <f>TEXT(Table1_1[[#This Row],[OrderDate]],"MM YYYY")</f>
        <v>04 2023</v>
      </c>
      <c r="W340" s="11" t="str">
        <f>TEXT(Table1_1[[#This Row],[OrderDate]],"MM")</f>
        <v>04</v>
      </c>
      <c r="X340" s="11"/>
    </row>
    <row r="341" spans="1:24" x14ac:dyDescent="0.25">
      <c r="A341" t="s">
        <v>186</v>
      </c>
      <c r="B341" s="2">
        <v>45761</v>
      </c>
      <c r="C341" s="2">
        <v>45781</v>
      </c>
      <c r="D341" t="s">
        <v>1413</v>
      </c>
      <c r="E341" s="10">
        <v>20</v>
      </c>
      <c r="F341" t="s">
        <v>1392</v>
      </c>
      <c r="G341" t="s">
        <v>647</v>
      </c>
      <c r="H341" t="s">
        <v>650</v>
      </c>
      <c r="I341" t="s">
        <v>673</v>
      </c>
      <c r="J341" t="s">
        <v>850</v>
      </c>
      <c r="K341">
        <v>28</v>
      </c>
      <c r="L341" s="3">
        <v>1413.87</v>
      </c>
      <c r="M341" s="3">
        <v>3275</v>
      </c>
      <c r="N341" s="3" t="str">
        <f>IF(Table1_1[[#This Row],[UnitPrice]]&lt;=816.08,"low",IF(Table1_1[[#This Row],[UnitPrice]]&lt;=1640.06,"medium","high"))</f>
        <v>high</v>
      </c>
      <c r="O341" s="4">
        <v>0.255</v>
      </c>
      <c r="P341" s="3">
        <v>68316.5</v>
      </c>
      <c r="Q341" s="3">
        <v>39588.36</v>
      </c>
      <c r="R341" s="4">
        <v>0.42051539525590398</v>
      </c>
      <c r="S341" t="s">
        <v>664</v>
      </c>
      <c r="T341" s="3">
        <v>28728.14</v>
      </c>
      <c r="U341" t="s">
        <v>1431</v>
      </c>
      <c r="V341" s="13" t="str">
        <f>TEXT(Table1_1[[#This Row],[OrderDate]],"MM YYYY")</f>
        <v>04 2025</v>
      </c>
      <c r="W341" s="11" t="str">
        <f>TEXT(Table1_1[[#This Row],[OrderDate]],"MM")</f>
        <v>04</v>
      </c>
      <c r="X341" s="11"/>
    </row>
    <row r="342" spans="1:24" x14ac:dyDescent="0.25">
      <c r="A342" t="s">
        <v>151</v>
      </c>
      <c r="B342" s="2">
        <v>45048</v>
      </c>
      <c r="C342" s="2">
        <v>45064</v>
      </c>
      <c r="D342" t="s">
        <v>1413</v>
      </c>
      <c r="E342" s="10">
        <v>16</v>
      </c>
      <c r="F342" t="s">
        <v>1397</v>
      </c>
      <c r="G342" t="s">
        <v>646</v>
      </c>
      <c r="H342" t="s">
        <v>650</v>
      </c>
      <c r="I342" t="s">
        <v>673</v>
      </c>
      <c r="J342" t="s">
        <v>815</v>
      </c>
      <c r="K342">
        <v>24</v>
      </c>
      <c r="L342" s="3">
        <v>1463.92</v>
      </c>
      <c r="M342" s="3">
        <v>2252.2399999999998</v>
      </c>
      <c r="N342" s="3" t="str">
        <f>IF(Table1_1[[#This Row],[UnitPrice]]&lt;=816.08,"low",IF(Table1_1[[#This Row],[UnitPrice]]&lt;=1640.06,"medium","high"))</f>
        <v>high</v>
      </c>
      <c r="O342" s="4">
        <v>0.11799999999999999</v>
      </c>
      <c r="P342" s="3">
        <v>47675.416319999997</v>
      </c>
      <c r="Q342" s="3">
        <v>35134.080000000002</v>
      </c>
      <c r="R342" s="4">
        <v>0.263056671300401</v>
      </c>
      <c r="S342" t="s">
        <v>664</v>
      </c>
      <c r="T342" s="3">
        <v>12541.336319999995</v>
      </c>
      <c r="U342" t="s">
        <v>1435</v>
      </c>
      <c r="V342" s="13" t="str">
        <f>TEXT(Table1_1[[#This Row],[OrderDate]],"MM YYYY")</f>
        <v>05 2023</v>
      </c>
      <c r="W342" s="11" t="str">
        <f>TEXT(Table1_1[[#This Row],[OrderDate]],"MM")</f>
        <v>05</v>
      </c>
      <c r="X342" s="11"/>
    </row>
    <row r="343" spans="1:24" x14ac:dyDescent="0.25">
      <c r="A343" t="s">
        <v>542</v>
      </c>
      <c r="B343" s="2">
        <v>45769</v>
      </c>
      <c r="C343" s="2">
        <v>45789</v>
      </c>
      <c r="D343" t="s">
        <v>1413</v>
      </c>
      <c r="E343" s="10">
        <v>20</v>
      </c>
      <c r="F343" t="s">
        <v>1396</v>
      </c>
      <c r="G343" t="s">
        <v>647</v>
      </c>
      <c r="H343" t="s">
        <v>650</v>
      </c>
      <c r="I343" t="s">
        <v>673</v>
      </c>
      <c r="J343" t="s">
        <v>1206</v>
      </c>
      <c r="K343">
        <v>22</v>
      </c>
      <c r="L343" s="3">
        <v>59.51</v>
      </c>
      <c r="M343" s="3">
        <v>67.040000000000006</v>
      </c>
      <c r="N343" s="3" t="str">
        <f>IF(Table1_1[[#This Row],[UnitPrice]]&lt;=816.08,"low",IF(Table1_1[[#This Row],[UnitPrice]]&lt;=1640.06,"medium","high"))</f>
        <v>low</v>
      </c>
      <c r="O343" s="4">
        <v>0.114</v>
      </c>
      <c r="P343" s="3">
        <v>1306.74368</v>
      </c>
      <c r="Q343" s="3">
        <v>1309.22</v>
      </c>
      <c r="R343" s="4">
        <v>-1.89503116632635E-3</v>
      </c>
      <c r="S343" t="s">
        <v>664</v>
      </c>
      <c r="T343" s="3">
        <v>-2.476319999999987</v>
      </c>
      <c r="U343" t="s">
        <v>1431</v>
      </c>
      <c r="V343" s="13" t="str">
        <f>TEXT(Table1_1[[#This Row],[OrderDate]],"MM YYYY")</f>
        <v>04 2025</v>
      </c>
      <c r="W343" s="11" t="str">
        <f>TEXT(Table1_1[[#This Row],[OrderDate]],"MM")</f>
        <v>04</v>
      </c>
      <c r="X343" s="11"/>
    </row>
    <row r="344" spans="1:24" x14ac:dyDescent="0.25">
      <c r="A344" t="s">
        <v>498</v>
      </c>
      <c r="B344" s="2">
        <v>45424</v>
      </c>
      <c r="C344" s="2">
        <v>45436</v>
      </c>
      <c r="D344" t="s">
        <v>1413</v>
      </c>
      <c r="E344" s="10">
        <v>12</v>
      </c>
      <c r="F344" t="s">
        <v>1406</v>
      </c>
      <c r="G344" t="s">
        <v>643</v>
      </c>
      <c r="H344" t="s">
        <v>650</v>
      </c>
      <c r="I344" t="s">
        <v>669</v>
      </c>
      <c r="J344" t="s">
        <v>1162</v>
      </c>
      <c r="K344">
        <v>11</v>
      </c>
      <c r="L344" s="3">
        <v>111.02</v>
      </c>
      <c r="M344" s="3">
        <v>172.88</v>
      </c>
      <c r="N344" s="3" t="str">
        <f>IF(Table1_1[[#This Row],[UnitPrice]]&lt;=816.08,"low",IF(Table1_1[[#This Row],[UnitPrice]]&lt;=1640.06,"medium","high"))</f>
        <v>low</v>
      </c>
      <c r="O344" s="4">
        <v>0.19700000000000001</v>
      </c>
      <c r="P344" s="3">
        <v>1527.0490399999996</v>
      </c>
      <c r="Q344" s="3">
        <v>1221.22</v>
      </c>
      <c r="R344" s="4">
        <v>0.20027453735212</v>
      </c>
      <c r="S344" t="s">
        <v>664</v>
      </c>
      <c r="T344" s="3">
        <v>305.82903999999962</v>
      </c>
      <c r="U344" t="s">
        <v>1436</v>
      </c>
      <c r="V344" s="13" t="str">
        <f>TEXT(Table1_1[[#This Row],[OrderDate]],"MM YYYY")</f>
        <v>05 2024</v>
      </c>
      <c r="W344" s="11" t="str">
        <f>TEXT(Table1_1[[#This Row],[OrderDate]],"MM")</f>
        <v>05</v>
      </c>
      <c r="X344" s="11"/>
    </row>
    <row r="345" spans="1:24" x14ac:dyDescent="0.25">
      <c r="A345" t="s">
        <v>93</v>
      </c>
      <c r="B345" s="2">
        <v>45791</v>
      </c>
      <c r="C345" s="2">
        <v>45801</v>
      </c>
      <c r="D345" t="s">
        <v>1413</v>
      </c>
      <c r="E345" s="10">
        <v>10</v>
      </c>
      <c r="F345" t="s">
        <v>1404</v>
      </c>
      <c r="G345" t="s">
        <v>646</v>
      </c>
      <c r="H345" t="s">
        <v>650</v>
      </c>
      <c r="I345" t="s">
        <v>668</v>
      </c>
      <c r="J345" t="s">
        <v>757</v>
      </c>
      <c r="K345">
        <v>6</v>
      </c>
      <c r="L345" s="3">
        <v>170.39</v>
      </c>
      <c r="M345" s="3">
        <v>388.04</v>
      </c>
      <c r="N345" s="3" t="str">
        <f>IF(Table1_1[[#This Row],[UnitPrice]]&lt;=816.08,"low",IF(Table1_1[[#This Row],[UnitPrice]]&lt;=1640.06,"medium","high"))</f>
        <v>low</v>
      </c>
      <c r="O345" s="4">
        <v>8.4000000000000005E-2</v>
      </c>
      <c r="P345" s="3">
        <v>2132.6678400000005</v>
      </c>
      <c r="Q345" s="3">
        <v>1022.3399999999999</v>
      </c>
      <c r="R345" s="4">
        <v>0.52062858508711796</v>
      </c>
      <c r="S345" t="s">
        <v>664</v>
      </c>
      <c r="T345" s="3">
        <v>1110.3278400000006</v>
      </c>
      <c r="U345" t="s">
        <v>1431</v>
      </c>
      <c r="V345" s="13" t="str">
        <f>TEXT(Table1_1[[#This Row],[OrderDate]],"MM YYYY")</f>
        <v>05 2025</v>
      </c>
      <c r="W345" s="11" t="str">
        <f>TEXT(Table1_1[[#This Row],[OrderDate]],"MM")</f>
        <v>05</v>
      </c>
      <c r="X345" s="11"/>
    </row>
    <row r="346" spans="1:24" x14ac:dyDescent="0.25">
      <c r="A346" t="s">
        <v>626</v>
      </c>
      <c r="B346" s="2">
        <v>45208</v>
      </c>
      <c r="C346" s="2">
        <v>45210</v>
      </c>
      <c r="D346" t="s">
        <v>1413</v>
      </c>
      <c r="E346" s="10">
        <v>2</v>
      </c>
      <c r="F346" t="s">
        <v>1384</v>
      </c>
      <c r="G346" t="s">
        <v>643</v>
      </c>
      <c r="H346" t="s">
        <v>650</v>
      </c>
      <c r="I346" t="s">
        <v>670</v>
      </c>
      <c r="J346" t="s">
        <v>1289</v>
      </c>
      <c r="K346">
        <v>14</v>
      </c>
      <c r="L346" s="3">
        <v>391.16</v>
      </c>
      <c r="M346" s="3">
        <v>902.47</v>
      </c>
      <c r="N346" s="3" t="str">
        <f>IF(Table1_1[[#This Row],[UnitPrice]]&lt;=816.08,"low",IF(Table1_1[[#This Row],[UnitPrice]]&lt;=1640.06,"medium","high"))</f>
        <v>medium</v>
      </c>
      <c r="O346" s="4">
        <v>4.0000000000000001E-3</v>
      </c>
      <c r="P346" s="3">
        <v>12584.04168</v>
      </c>
      <c r="Q346" s="3">
        <v>5476.2400000000007</v>
      </c>
      <c r="R346" s="4">
        <v>0.56482661618139196</v>
      </c>
      <c r="S346" t="s">
        <v>664</v>
      </c>
      <c r="T346" s="3">
        <v>7107.8016799999996</v>
      </c>
      <c r="U346" t="s">
        <v>1439</v>
      </c>
      <c r="V346" s="13" t="str">
        <f>TEXT(Table1_1[[#This Row],[OrderDate]],"MM YYYY")</f>
        <v>10 2023</v>
      </c>
      <c r="W346" s="11" t="str">
        <f>TEXT(Table1_1[[#This Row],[OrderDate]],"MM")</f>
        <v>10</v>
      </c>
      <c r="X346" s="11"/>
    </row>
    <row r="347" spans="1:24" x14ac:dyDescent="0.25">
      <c r="A347" t="s">
        <v>238</v>
      </c>
      <c r="B347" s="2">
        <v>45879</v>
      </c>
      <c r="C347" s="2">
        <v>45899</v>
      </c>
      <c r="D347" t="s">
        <v>1413</v>
      </c>
      <c r="E347" s="10">
        <v>20</v>
      </c>
      <c r="F347" t="s">
        <v>1419</v>
      </c>
      <c r="G347" t="s">
        <v>642</v>
      </c>
      <c r="H347" t="s">
        <v>650</v>
      </c>
      <c r="I347" t="s">
        <v>669</v>
      </c>
      <c r="J347" t="s">
        <v>903</v>
      </c>
      <c r="K347">
        <v>5</v>
      </c>
      <c r="L347" s="3">
        <v>933.29</v>
      </c>
      <c r="M347" s="3">
        <v>1456.81</v>
      </c>
      <c r="N347" s="3" t="str">
        <f>IF(Table1_1[[#This Row],[UnitPrice]]&lt;=816.08,"low",IF(Table1_1[[#This Row],[UnitPrice]]&lt;=1640.06,"medium","high"))</f>
        <v>medium</v>
      </c>
      <c r="O347" s="4">
        <v>0.123</v>
      </c>
      <c r="P347" s="3">
        <v>6388.1118499999993</v>
      </c>
      <c r="Q347" s="3">
        <v>4666.45</v>
      </c>
      <c r="R347" s="4">
        <v>0.26951028573489999</v>
      </c>
      <c r="S347" t="s">
        <v>664</v>
      </c>
      <c r="T347" s="3">
        <v>1721.6618499999995</v>
      </c>
      <c r="U347" t="s">
        <v>1438</v>
      </c>
      <c r="V347" s="13" t="str">
        <f>TEXT(Table1_1[[#This Row],[OrderDate]],"MM YYYY")</f>
        <v>08 2025</v>
      </c>
      <c r="W347" s="11" t="str">
        <f>TEXT(Table1_1[[#This Row],[OrderDate]],"MM")</f>
        <v>08</v>
      </c>
      <c r="X347" s="11"/>
    </row>
    <row r="348" spans="1:24" x14ac:dyDescent="0.25">
      <c r="A348" t="s">
        <v>55</v>
      </c>
      <c r="B348" s="2">
        <v>45432</v>
      </c>
      <c r="C348" s="2">
        <v>45445</v>
      </c>
      <c r="D348" t="s">
        <v>1413</v>
      </c>
      <c r="E348" s="10">
        <v>13</v>
      </c>
      <c r="F348" t="s">
        <v>1415</v>
      </c>
      <c r="G348" t="s">
        <v>647</v>
      </c>
      <c r="H348" t="s">
        <v>650</v>
      </c>
      <c r="I348" t="s">
        <v>668</v>
      </c>
      <c r="J348" t="s">
        <v>719</v>
      </c>
      <c r="K348">
        <v>43</v>
      </c>
      <c r="L348" s="3">
        <v>675.43</v>
      </c>
      <c r="M348" s="3">
        <v>996.36</v>
      </c>
      <c r="N348" s="3" t="str">
        <f>IF(Table1_1[[#This Row],[UnitPrice]]&lt;=816.08,"low",IF(Table1_1[[#This Row],[UnitPrice]]&lt;=1640.06,"medium","high"))</f>
        <v>medium</v>
      </c>
      <c r="O348" s="4">
        <v>0.182</v>
      </c>
      <c r="P348" s="3">
        <v>35045.966640000006</v>
      </c>
      <c r="Q348" s="3">
        <v>29043.489999999998</v>
      </c>
      <c r="R348" s="4">
        <v>0.171274392333326</v>
      </c>
      <c r="S348" t="s">
        <v>664</v>
      </c>
      <c r="T348" s="3">
        <v>6002.476640000008</v>
      </c>
      <c r="U348" t="s">
        <v>1436</v>
      </c>
      <c r="V348" s="13" t="str">
        <f>TEXT(Table1_1[[#This Row],[OrderDate]],"MM YYYY")</f>
        <v>05 2024</v>
      </c>
      <c r="W348" s="11" t="str">
        <f>TEXT(Table1_1[[#This Row],[OrderDate]],"MM")</f>
        <v>05</v>
      </c>
      <c r="X348" s="11"/>
    </row>
    <row r="349" spans="1:24" x14ac:dyDescent="0.25">
      <c r="A349" t="s">
        <v>358</v>
      </c>
      <c r="B349" s="2">
        <v>45281</v>
      </c>
      <c r="C349" s="2">
        <v>45297</v>
      </c>
      <c r="D349" t="s">
        <v>1413</v>
      </c>
      <c r="E349" s="10">
        <v>16</v>
      </c>
      <c r="F349" t="s">
        <v>1429</v>
      </c>
      <c r="G349" t="s">
        <v>642</v>
      </c>
      <c r="H349" t="s">
        <v>650</v>
      </c>
      <c r="I349" t="s">
        <v>668</v>
      </c>
      <c r="J349" t="s">
        <v>1023</v>
      </c>
      <c r="K349">
        <v>15</v>
      </c>
      <c r="L349" s="3">
        <v>932.61</v>
      </c>
      <c r="M349" s="3">
        <v>1982.98</v>
      </c>
      <c r="N349" s="3" t="str">
        <f>IF(Table1_1[[#This Row],[UnitPrice]]&lt;=816.08,"low",IF(Table1_1[[#This Row],[UnitPrice]]&lt;=1640.06,"medium","high"))</f>
        <v>high</v>
      </c>
      <c r="O349" s="4">
        <v>0.14399999999999999</v>
      </c>
      <c r="P349" s="3">
        <v>25461.463199999998</v>
      </c>
      <c r="Q349" s="3">
        <v>13989.15</v>
      </c>
      <c r="R349" s="4">
        <v>0.45057556629345602</v>
      </c>
      <c r="S349" t="s">
        <v>664</v>
      </c>
      <c r="T349" s="3">
        <v>11472.313199999999</v>
      </c>
      <c r="U349" t="s">
        <v>1439</v>
      </c>
      <c r="V349" s="13" t="str">
        <f>TEXT(Table1_1[[#This Row],[OrderDate]],"MM YYYY")</f>
        <v>12 2023</v>
      </c>
      <c r="W349" s="11" t="str">
        <f>TEXT(Table1_1[[#This Row],[OrderDate]],"MM")</f>
        <v>12</v>
      </c>
      <c r="X349" s="11"/>
    </row>
    <row r="350" spans="1:24" x14ac:dyDescent="0.25">
      <c r="A350" t="s">
        <v>423</v>
      </c>
      <c r="B350" s="2">
        <v>45163</v>
      </c>
      <c r="C350" s="2">
        <v>45185</v>
      </c>
      <c r="D350" t="s">
        <v>1413</v>
      </c>
      <c r="E350" s="10">
        <v>22</v>
      </c>
      <c r="F350" t="s">
        <v>1389</v>
      </c>
      <c r="G350" t="s">
        <v>642</v>
      </c>
      <c r="H350" t="s">
        <v>650</v>
      </c>
      <c r="I350" t="s">
        <v>671</v>
      </c>
      <c r="J350" t="s">
        <v>1087</v>
      </c>
      <c r="K350">
        <v>16</v>
      </c>
      <c r="L350" s="3">
        <v>1196.83</v>
      </c>
      <c r="M350" s="3">
        <v>2513.5100000000002</v>
      </c>
      <c r="N350" s="3" t="str">
        <f>IF(Table1_1[[#This Row],[UnitPrice]]&lt;=816.08,"low",IF(Table1_1[[#This Row],[UnitPrice]]&lt;=1640.06,"medium","high"))</f>
        <v>high</v>
      </c>
      <c r="O350" s="4">
        <v>8.3000000000000004E-2</v>
      </c>
      <c r="P350" s="3">
        <v>36878.218720000004</v>
      </c>
      <c r="Q350" s="3">
        <v>19149.28</v>
      </c>
      <c r="R350" s="4">
        <v>0.48074281609445402</v>
      </c>
      <c r="S350" t="s">
        <v>657</v>
      </c>
      <c r="T350" s="3">
        <v>17728.938720000006</v>
      </c>
      <c r="U350" t="s">
        <v>1430</v>
      </c>
      <c r="V350" s="13" t="str">
        <f>TEXT(Table1_1[[#This Row],[OrderDate]],"MM YYYY")</f>
        <v>08 2023</v>
      </c>
      <c r="W350" s="11" t="str">
        <f>TEXT(Table1_1[[#This Row],[OrderDate]],"MM")</f>
        <v>08</v>
      </c>
      <c r="X350" s="11"/>
    </row>
    <row r="351" spans="1:24" x14ac:dyDescent="0.25">
      <c r="A351" t="s">
        <v>370</v>
      </c>
      <c r="B351" s="2">
        <v>45466</v>
      </c>
      <c r="C351" s="2">
        <v>45468</v>
      </c>
      <c r="D351" t="s">
        <v>1413</v>
      </c>
      <c r="E351" s="10">
        <v>2</v>
      </c>
      <c r="F351" t="s">
        <v>1392</v>
      </c>
      <c r="G351" t="s">
        <v>646</v>
      </c>
      <c r="H351" t="s">
        <v>650</v>
      </c>
      <c r="I351" t="s">
        <v>674</v>
      </c>
      <c r="J351" t="s">
        <v>1035</v>
      </c>
      <c r="K351">
        <v>6</v>
      </c>
      <c r="L351" s="3">
        <v>951.44</v>
      </c>
      <c r="M351" s="3">
        <v>1646.43</v>
      </c>
      <c r="N351" s="3" t="str">
        <f>IF(Table1_1[[#This Row],[UnitPrice]]&lt;=816.08,"low",IF(Table1_1[[#This Row],[UnitPrice]]&lt;=1640.06,"medium","high"))</f>
        <v>high</v>
      </c>
      <c r="O351" s="4">
        <v>0.11</v>
      </c>
      <c r="P351" s="3">
        <v>8791.9362000000001</v>
      </c>
      <c r="Q351" s="3">
        <v>5708.64</v>
      </c>
      <c r="R351" s="4">
        <v>0.35069592520473503</v>
      </c>
      <c r="S351" t="s">
        <v>657</v>
      </c>
      <c r="T351" s="3">
        <v>3083.2961999999998</v>
      </c>
      <c r="U351" t="s">
        <v>1436</v>
      </c>
      <c r="V351" s="13" t="str">
        <f>TEXT(Table1_1[[#This Row],[OrderDate]],"MM YYYY")</f>
        <v>06 2024</v>
      </c>
      <c r="W351" s="11" t="str">
        <f>TEXT(Table1_1[[#This Row],[OrderDate]],"MM")</f>
        <v>06</v>
      </c>
      <c r="X351" s="11"/>
    </row>
    <row r="352" spans="1:24" x14ac:dyDescent="0.25">
      <c r="A352" t="s">
        <v>224</v>
      </c>
      <c r="B352" s="2">
        <v>45240</v>
      </c>
      <c r="C352" s="2">
        <v>45258</v>
      </c>
      <c r="D352" t="s">
        <v>1413</v>
      </c>
      <c r="E352" s="10">
        <v>18</v>
      </c>
      <c r="F352" t="s">
        <v>1416</v>
      </c>
      <c r="G352" t="s">
        <v>643</v>
      </c>
      <c r="H352" t="s">
        <v>650</v>
      </c>
      <c r="I352" t="s">
        <v>674</v>
      </c>
      <c r="J352" t="s">
        <v>889</v>
      </c>
      <c r="K352">
        <v>11</v>
      </c>
      <c r="L352" s="3">
        <v>388.51</v>
      </c>
      <c r="M352" s="3">
        <v>776.46</v>
      </c>
      <c r="N352" s="3" t="str">
        <f>IF(Table1_1[[#This Row],[UnitPrice]]&lt;=816.08,"low",IF(Table1_1[[#This Row],[UnitPrice]]&lt;=1640.06,"medium","high"))</f>
        <v>low</v>
      </c>
      <c r="O352" s="4">
        <v>0.157</v>
      </c>
      <c r="P352" s="3">
        <v>7200.1135800000011</v>
      </c>
      <c r="Q352" s="3">
        <v>4273.6099999999997</v>
      </c>
      <c r="R352" s="4">
        <v>0.40645241876865001</v>
      </c>
      <c r="S352" t="s">
        <v>657</v>
      </c>
      <c r="T352" s="3">
        <v>2926.5035800000014</v>
      </c>
      <c r="U352" t="s">
        <v>1439</v>
      </c>
      <c r="V352" s="13" t="str">
        <f>TEXT(Table1_1[[#This Row],[OrderDate]],"MM YYYY")</f>
        <v>11 2023</v>
      </c>
      <c r="W352" s="11" t="str">
        <f>TEXT(Table1_1[[#This Row],[OrderDate]],"MM")</f>
        <v>11</v>
      </c>
      <c r="X352" s="11"/>
    </row>
    <row r="353" spans="1:24" x14ac:dyDescent="0.25">
      <c r="A353" t="s">
        <v>342</v>
      </c>
      <c r="B353" s="2">
        <v>45168</v>
      </c>
      <c r="C353" s="2">
        <v>45172</v>
      </c>
      <c r="D353" t="s">
        <v>1413</v>
      </c>
      <c r="E353" s="10">
        <v>4</v>
      </c>
      <c r="F353" t="s">
        <v>1397</v>
      </c>
      <c r="G353" t="s">
        <v>646</v>
      </c>
      <c r="H353" t="s">
        <v>650</v>
      </c>
      <c r="I353" t="s">
        <v>674</v>
      </c>
      <c r="J353" t="s">
        <v>1007</v>
      </c>
      <c r="K353">
        <v>17</v>
      </c>
      <c r="L353" s="3">
        <v>1082.25</v>
      </c>
      <c r="M353" s="3">
        <v>2433.34</v>
      </c>
      <c r="N353" s="3" t="str">
        <f>IF(Table1_1[[#This Row],[UnitPrice]]&lt;=816.08,"low",IF(Table1_1[[#This Row],[UnitPrice]]&lt;=1640.06,"medium","high"))</f>
        <v>high</v>
      </c>
      <c r="O353" s="4">
        <v>0.27</v>
      </c>
      <c r="P353" s="3">
        <v>30197.749399999997</v>
      </c>
      <c r="Q353" s="3">
        <v>18398.25</v>
      </c>
      <c r="R353" s="4">
        <v>0.39074101992514698</v>
      </c>
      <c r="S353" t="s">
        <v>657</v>
      </c>
      <c r="T353" s="3">
        <v>11799.499399999997</v>
      </c>
      <c r="U353" t="s">
        <v>1430</v>
      </c>
      <c r="V353" s="13" t="str">
        <f>TEXT(Table1_1[[#This Row],[OrderDate]],"MM YYYY")</f>
        <v>08 2023</v>
      </c>
      <c r="W353" s="11" t="str">
        <f>TEXT(Table1_1[[#This Row],[OrderDate]],"MM")</f>
        <v>08</v>
      </c>
      <c r="X353" s="11"/>
    </row>
    <row r="354" spans="1:24" x14ac:dyDescent="0.25">
      <c r="A354" t="s">
        <v>248</v>
      </c>
      <c r="B354" s="2">
        <v>45258</v>
      </c>
      <c r="C354" s="2">
        <v>45267</v>
      </c>
      <c r="D354" t="s">
        <v>1413</v>
      </c>
      <c r="E354" s="10">
        <v>9</v>
      </c>
      <c r="F354" t="s">
        <v>1397</v>
      </c>
      <c r="G354" t="s">
        <v>647</v>
      </c>
      <c r="H354" t="s">
        <v>650</v>
      </c>
      <c r="I354" t="s">
        <v>671</v>
      </c>
      <c r="J354" t="s">
        <v>913</v>
      </c>
      <c r="K354">
        <v>19</v>
      </c>
      <c r="L354" s="3">
        <v>699.33</v>
      </c>
      <c r="M354" s="3">
        <v>873.75</v>
      </c>
      <c r="N354" s="3" t="str">
        <f>IF(Table1_1[[#This Row],[UnitPrice]]&lt;=816.08,"low",IF(Table1_1[[#This Row],[UnitPrice]]&lt;=1640.06,"medium","high"))</f>
        <v>medium</v>
      </c>
      <c r="O354" s="4">
        <v>0.23499999999999999</v>
      </c>
      <c r="P354" s="3">
        <v>12699.956250000001</v>
      </c>
      <c r="Q354" s="3">
        <v>13287.27</v>
      </c>
      <c r="R354" s="4">
        <v>-4.62453364750764E-2</v>
      </c>
      <c r="S354" t="s">
        <v>657</v>
      </c>
      <c r="T354" s="3">
        <v>-587.31374999999935</v>
      </c>
      <c r="U354" t="s">
        <v>1439</v>
      </c>
      <c r="V354" s="13" t="str">
        <f>TEXT(Table1_1[[#This Row],[OrderDate]],"MM YYYY")</f>
        <v>11 2023</v>
      </c>
      <c r="W354" s="11" t="str">
        <f>TEXT(Table1_1[[#This Row],[OrderDate]],"MM")</f>
        <v>11</v>
      </c>
      <c r="X354" s="11"/>
    </row>
    <row r="355" spans="1:24" x14ac:dyDescent="0.25">
      <c r="A355" t="s">
        <v>359</v>
      </c>
      <c r="B355" s="2">
        <v>45825</v>
      </c>
      <c r="C355" s="2">
        <v>45843</v>
      </c>
      <c r="D355" t="s">
        <v>1413</v>
      </c>
      <c r="E355" s="10">
        <v>18</v>
      </c>
      <c r="F355" t="s">
        <v>1397</v>
      </c>
      <c r="G355" t="s">
        <v>645</v>
      </c>
      <c r="H355" t="s">
        <v>650</v>
      </c>
      <c r="I355" t="s">
        <v>672</v>
      </c>
      <c r="J355" t="s">
        <v>1024</v>
      </c>
      <c r="K355">
        <v>20</v>
      </c>
      <c r="L355" s="3">
        <v>982.93</v>
      </c>
      <c r="M355" s="3">
        <v>2299.3000000000002</v>
      </c>
      <c r="N355" s="3" t="str">
        <f>IF(Table1_1[[#This Row],[UnitPrice]]&lt;=816.08,"low",IF(Table1_1[[#This Row],[UnitPrice]]&lt;=1640.06,"medium","high"))</f>
        <v>high</v>
      </c>
      <c r="O355" s="4">
        <v>0.113</v>
      </c>
      <c r="P355" s="3">
        <v>40789.582000000002</v>
      </c>
      <c r="Q355" s="3">
        <v>19658.599999999999</v>
      </c>
      <c r="R355" s="4">
        <v>0.51804850562087201</v>
      </c>
      <c r="S355" t="s">
        <v>657</v>
      </c>
      <c r="T355" s="3">
        <v>21130.982000000004</v>
      </c>
      <c r="U355" t="s">
        <v>1431</v>
      </c>
      <c r="V355" s="13" t="str">
        <f>TEXT(Table1_1[[#This Row],[OrderDate]],"MM YYYY")</f>
        <v>06 2025</v>
      </c>
      <c r="W355" s="11" t="str">
        <f>TEXT(Table1_1[[#This Row],[OrderDate]],"MM")</f>
        <v>06</v>
      </c>
      <c r="X355" s="11"/>
    </row>
    <row r="356" spans="1:24" x14ac:dyDescent="0.25">
      <c r="A356" t="s">
        <v>169</v>
      </c>
      <c r="B356" s="2">
        <v>45703</v>
      </c>
      <c r="C356" s="2">
        <v>45703</v>
      </c>
      <c r="D356" t="s">
        <v>1413</v>
      </c>
      <c r="E356" s="10">
        <v>0</v>
      </c>
      <c r="F356" t="s">
        <v>1410</v>
      </c>
      <c r="G356" t="s">
        <v>646</v>
      </c>
      <c r="H356" t="s">
        <v>650</v>
      </c>
      <c r="I356" t="s">
        <v>674</v>
      </c>
      <c r="J356" t="s">
        <v>833</v>
      </c>
      <c r="K356">
        <v>10</v>
      </c>
      <c r="L356" s="3">
        <v>815.83</v>
      </c>
      <c r="M356" s="3">
        <v>1982.18</v>
      </c>
      <c r="N356" s="3" t="str">
        <f>IF(Table1_1[[#This Row],[UnitPrice]]&lt;=816.08,"low",IF(Table1_1[[#This Row],[UnitPrice]]&lt;=1640.06,"medium","high"))</f>
        <v>high</v>
      </c>
      <c r="O356" s="4">
        <v>0.127</v>
      </c>
      <c r="P356" s="3">
        <v>17304.431399999998</v>
      </c>
      <c r="Q356" s="3">
        <v>8158.3</v>
      </c>
      <c r="R356" s="4">
        <v>0.52854272923408496</v>
      </c>
      <c r="S356" t="s">
        <v>657</v>
      </c>
      <c r="T356" s="3">
        <v>9146.1313999999984</v>
      </c>
      <c r="U356" t="s">
        <v>1434</v>
      </c>
      <c r="V356" s="13" t="str">
        <f>TEXT(Table1_1[[#This Row],[OrderDate]],"MM YYYY")</f>
        <v>02 2025</v>
      </c>
      <c r="W356" s="11" t="str">
        <f>TEXT(Table1_1[[#This Row],[OrderDate]],"MM")</f>
        <v>02</v>
      </c>
      <c r="X356" s="11"/>
    </row>
    <row r="357" spans="1:24" x14ac:dyDescent="0.25">
      <c r="A357" t="s">
        <v>574</v>
      </c>
      <c r="B357" s="2">
        <v>45692</v>
      </c>
      <c r="C357" s="2">
        <v>45696</v>
      </c>
      <c r="D357" t="s">
        <v>1413</v>
      </c>
      <c r="E357" s="10">
        <v>4</v>
      </c>
      <c r="F357" t="s">
        <v>1406</v>
      </c>
      <c r="G357" t="s">
        <v>647</v>
      </c>
      <c r="H357" t="s">
        <v>650</v>
      </c>
      <c r="I357" t="s">
        <v>670</v>
      </c>
      <c r="J357" t="s">
        <v>1237</v>
      </c>
      <c r="K357">
        <v>21</v>
      </c>
      <c r="L357" s="3">
        <v>586.21</v>
      </c>
      <c r="M357" s="3">
        <v>727.22</v>
      </c>
      <c r="N357" s="3" t="str">
        <f>IF(Table1_1[[#This Row],[UnitPrice]]&lt;=816.08,"low",IF(Table1_1[[#This Row],[UnitPrice]]&lt;=1640.06,"medium","high"))</f>
        <v>low</v>
      </c>
      <c r="O357" s="4">
        <v>6.8000000000000005E-2</v>
      </c>
      <c r="P357" s="3">
        <v>14233.14984</v>
      </c>
      <c r="Q357" s="3">
        <v>12310.41</v>
      </c>
      <c r="R357" s="4">
        <v>0.13508884973559701</v>
      </c>
      <c r="S357" t="s">
        <v>657</v>
      </c>
      <c r="T357" s="3">
        <v>1922.7398400000002</v>
      </c>
      <c r="U357" t="s">
        <v>1434</v>
      </c>
      <c r="V357" s="13" t="str">
        <f>TEXT(Table1_1[[#This Row],[OrderDate]],"MM YYYY")</f>
        <v>02 2025</v>
      </c>
      <c r="W357" s="11" t="str">
        <f>TEXT(Table1_1[[#This Row],[OrderDate]],"MM")</f>
        <v>02</v>
      </c>
      <c r="X357" s="11"/>
    </row>
    <row r="358" spans="1:24" x14ac:dyDescent="0.25">
      <c r="A358" t="s">
        <v>448</v>
      </c>
      <c r="B358" s="2">
        <v>45290</v>
      </c>
      <c r="C358" s="2">
        <v>45299</v>
      </c>
      <c r="D358" t="s">
        <v>1413</v>
      </c>
      <c r="E358" s="10">
        <v>9</v>
      </c>
      <c r="F358" t="s">
        <v>1391</v>
      </c>
      <c r="G358" t="s">
        <v>645</v>
      </c>
      <c r="H358" t="s">
        <v>650</v>
      </c>
      <c r="I358" t="s">
        <v>674</v>
      </c>
      <c r="J358" t="s">
        <v>1112</v>
      </c>
      <c r="K358">
        <v>18</v>
      </c>
      <c r="L358" s="3">
        <v>861.1</v>
      </c>
      <c r="M358" s="3">
        <v>1224.72</v>
      </c>
      <c r="N358" s="3" t="str">
        <f>IF(Table1_1[[#This Row],[UnitPrice]]&lt;=816.08,"low",IF(Table1_1[[#This Row],[UnitPrice]]&lt;=1640.06,"medium","high"))</f>
        <v>medium</v>
      </c>
      <c r="O358" s="4">
        <v>0.17399999999999999</v>
      </c>
      <c r="P358" s="3">
        <v>18209.13696</v>
      </c>
      <c r="Q358" s="3">
        <v>15499.800000000001</v>
      </c>
      <c r="R358" s="4">
        <v>0.14878997098827901</v>
      </c>
      <c r="S358" t="s">
        <v>657</v>
      </c>
      <c r="T358" s="3">
        <v>2709.3369599999987</v>
      </c>
      <c r="U358" t="s">
        <v>1439</v>
      </c>
      <c r="V358" s="13" t="str">
        <f>TEXT(Table1_1[[#This Row],[OrderDate]],"MM YYYY")</f>
        <v>12 2023</v>
      </c>
      <c r="W358" s="11" t="str">
        <f>TEXT(Table1_1[[#This Row],[OrderDate]],"MM")</f>
        <v>12</v>
      </c>
      <c r="X358" s="11"/>
    </row>
    <row r="359" spans="1:24" x14ac:dyDescent="0.25">
      <c r="A359" t="s">
        <v>226</v>
      </c>
      <c r="B359" s="2">
        <v>45280</v>
      </c>
      <c r="C359" s="2">
        <v>45305</v>
      </c>
      <c r="D359" t="s">
        <v>1413</v>
      </c>
      <c r="E359" s="10">
        <v>25</v>
      </c>
      <c r="F359" t="s">
        <v>1405</v>
      </c>
      <c r="G359" t="s">
        <v>644</v>
      </c>
      <c r="H359" t="s">
        <v>650</v>
      </c>
      <c r="I359" t="s">
        <v>673</v>
      </c>
      <c r="J359" t="s">
        <v>891</v>
      </c>
      <c r="K359">
        <v>27</v>
      </c>
      <c r="L359" s="3">
        <v>1085.6099999999999</v>
      </c>
      <c r="M359" s="3">
        <v>1246.4100000000001</v>
      </c>
      <c r="N359" s="3" t="str">
        <f>IF(Table1_1[[#This Row],[UnitPrice]]&lt;=816.08,"low",IF(Table1_1[[#This Row],[UnitPrice]]&lt;=1640.06,"medium","high"))</f>
        <v>medium</v>
      </c>
      <c r="O359" s="4">
        <v>0.113</v>
      </c>
      <c r="P359" s="3">
        <v>29850.273089999999</v>
      </c>
      <c r="Q359" s="3">
        <v>29311.469999999998</v>
      </c>
      <c r="R359" s="4">
        <v>1.8050189637310299E-2</v>
      </c>
      <c r="S359" t="s">
        <v>657</v>
      </c>
      <c r="T359" s="3">
        <v>538.80309000000125</v>
      </c>
      <c r="U359" t="s">
        <v>1439</v>
      </c>
      <c r="V359" s="13" t="str">
        <f>TEXT(Table1_1[[#This Row],[OrderDate]],"MM YYYY")</f>
        <v>12 2023</v>
      </c>
      <c r="W359" s="11" t="str">
        <f>TEXT(Table1_1[[#This Row],[OrderDate]],"MM")</f>
        <v>12</v>
      </c>
      <c r="X359" s="11"/>
    </row>
    <row r="360" spans="1:24" x14ac:dyDescent="0.25">
      <c r="A360" t="s">
        <v>596</v>
      </c>
      <c r="B360" s="2">
        <v>45049</v>
      </c>
      <c r="C360" s="2">
        <v>45062</v>
      </c>
      <c r="D360" t="s">
        <v>1413</v>
      </c>
      <c r="E360" s="10">
        <v>13</v>
      </c>
      <c r="F360" t="s">
        <v>1428</v>
      </c>
      <c r="G360" t="s">
        <v>642</v>
      </c>
      <c r="H360" t="s">
        <v>650</v>
      </c>
      <c r="I360" t="s">
        <v>671</v>
      </c>
      <c r="J360" t="s">
        <v>1259</v>
      </c>
      <c r="K360">
        <v>5</v>
      </c>
      <c r="L360" s="3">
        <v>64.5</v>
      </c>
      <c r="M360" s="3">
        <v>123.62</v>
      </c>
      <c r="N360" s="3" t="str">
        <f>IF(Table1_1[[#This Row],[UnitPrice]]&lt;=816.08,"low",IF(Table1_1[[#This Row],[UnitPrice]]&lt;=1640.06,"medium","high"))</f>
        <v>low</v>
      </c>
      <c r="O360" s="4">
        <v>0</v>
      </c>
      <c r="P360" s="3">
        <v>618.1</v>
      </c>
      <c r="Q360" s="3">
        <v>322.5</v>
      </c>
      <c r="R360" s="4">
        <v>0.47823976702798898</v>
      </c>
      <c r="S360" t="s">
        <v>657</v>
      </c>
      <c r="T360" s="3">
        <v>295.60000000000002</v>
      </c>
      <c r="U360" t="s">
        <v>1435</v>
      </c>
      <c r="V360" s="13" t="str">
        <f>TEXT(Table1_1[[#This Row],[OrderDate]],"MM YYYY")</f>
        <v>05 2023</v>
      </c>
      <c r="W360" s="11" t="str">
        <f>TEXT(Table1_1[[#This Row],[OrderDate]],"MM")</f>
        <v>05</v>
      </c>
      <c r="X360" s="11"/>
    </row>
    <row r="361" spans="1:24" x14ac:dyDescent="0.25">
      <c r="A361" t="s">
        <v>386</v>
      </c>
      <c r="B361" s="2">
        <v>45835</v>
      </c>
      <c r="C361" s="2">
        <v>45849</v>
      </c>
      <c r="D361" t="s">
        <v>1413</v>
      </c>
      <c r="E361" s="10">
        <v>14</v>
      </c>
      <c r="F361" t="s">
        <v>1401</v>
      </c>
      <c r="G361" t="s">
        <v>646</v>
      </c>
      <c r="H361" t="s">
        <v>650</v>
      </c>
      <c r="I361" t="s">
        <v>670</v>
      </c>
      <c r="J361" t="s">
        <v>1051</v>
      </c>
      <c r="K361">
        <v>13</v>
      </c>
      <c r="L361" s="3">
        <v>1227.7</v>
      </c>
      <c r="M361" s="3">
        <v>2197.23</v>
      </c>
      <c r="N361" s="3" t="str">
        <f>IF(Table1_1[[#This Row],[UnitPrice]]&lt;=816.08,"low",IF(Table1_1[[#This Row],[UnitPrice]]&lt;=1640.06,"medium","high"))</f>
        <v>high</v>
      </c>
      <c r="O361" s="4">
        <v>9.9000000000000005E-2</v>
      </c>
      <c r="P361" s="3">
        <v>25736.154990000003</v>
      </c>
      <c r="Q361" s="3">
        <v>15960.1</v>
      </c>
      <c r="R361" s="4">
        <v>0.37985685871873898</v>
      </c>
      <c r="S361" t="s">
        <v>657</v>
      </c>
      <c r="T361" s="3">
        <v>9776.0549900000024</v>
      </c>
      <c r="U361" t="s">
        <v>1431</v>
      </c>
      <c r="V361" s="13" t="str">
        <f>TEXT(Table1_1[[#This Row],[OrderDate]],"MM YYYY")</f>
        <v>06 2025</v>
      </c>
      <c r="W361" s="11" t="str">
        <f>TEXT(Table1_1[[#This Row],[OrderDate]],"MM")</f>
        <v>06</v>
      </c>
      <c r="X361" s="11"/>
    </row>
    <row r="362" spans="1:24" x14ac:dyDescent="0.25">
      <c r="A362" t="s">
        <v>137</v>
      </c>
      <c r="B362" s="2">
        <v>45450</v>
      </c>
      <c r="C362" s="2">
        <v>45469</v>
      </c>
      <c r="D362" t="s">
        <v>1413</v>
      </c>
      <c r="E362" s="10">
        <v>19</v>
      </c>
      <c r="F362" t="s">
        <v>1390</v>
      </c>
      <c r="G362" t="s">
        <v>644</v>
      </c>
      <c r="H362" t="s">
        <v>650</v>
      </c>
      <c r="I362" t="s">
        <v>668</v>
      </c>
      <c r="J362" t="s">
        <v>801</v>
      </c>
      <c r="K362">
        <v>24</v>
      </c>
      <c r="L362" s="3">
        <v>1064.32</v>
      </c>
      <c r="M362" s="3">
        <v>1848.39</v>
      </c>
      <c r="N362" s="3" t="str">
        <f>IF(Table1_1[[#This Row],[UnitPrice]]&lt;=816.08,"low",IF(Table1_1[[#This Row],[UnitPrice]]&lt;=1640.06,"medium","high"))</f>
        <v>high</v>
      </c>
      <c r="O362" s="4">
        <v>7.2999999999999995E-2</v>
      </c>
      <c r="P362" s="3">
        <v>41122.98072</v>
      </c>
      <c r="Q362" s="3">
        <v>25543.68</v>
      </c>
      <c r="R362" s="4">
        <v>0.37884658279216299</v>
      </c>
      <c r="S362" t="s">
        <v>665</v>
      </c>
      <c r="T362" s="3">
        <v>15579.300719999999</v>
      </c>
      <c r="U362" t="s">
        <v>1436</v>
      </c>
      <c r="V362" s="13" t="str">
        <f>TEXT(Table1_1[[#This Row],[OrderDate]],"MM YYYY")</f>
        <v>06 2024</v>
      </c>
      <c r="W362" s="11" t="str">
        <f>TEXT(Table1_1[[#This Row],[OrderDate]],"MM")</f>
        <v>06</v>
      </c>
      <c r="X362" s="11"/>
    </row>
    <row r="363" spans="1:24" x14ac:dyDescent="0.25">
      <c r="A363" t="s">
        <v>122</v>
      </c>
      <c r="B363" s="2">
        <v>45453</v>
      </c>
      <c r="C363" s="2">
        <v>45454</v>
      </c>
      <c r="D363" t="s">
        <v>1413</v>
      </c>
      <c r="E363" s="10">
        <v>1</v>
      </c>
      <c r="F363" t="s">
        <v>1392</v>
      </c>
      <c r="G363" t="s">
        <v>646</v>
      </c>
      <c r="H363" t="s">
        <v>650</v>
      </c>
      <c r="I363" t="s">
        <v>672</v>
      </c>
      <c r="J363" t="s">
        <v>786</v>
      </c>
      <c r="K363">
        <v>13</v>
      </c>
      <c r="L363" s="3">
        <v>1187.1300000000001</v>
      </c>
      <c r="M363" s="3">
        <v>1795.17</v>
      </c>
      <c r="N363" s="3" t="str">
        <f>IF(Table1_1[[#This Row],[UnitPrice]]&lt;=816.08,"low",IF(Table1_1[[#This Row],[UnitPrice]]&lt;=1640.06,"medium","high"))</f>
        <v>high</v>
      </c>
      <c r="O363" s="4">
        <v>1.2E-2</v>
      </c>
      <c r="P363" s="3">
        <v>23057.163479999999</v>
      </c>
      <c r="Q363" s="3">
        <v>15432.690000000002</v>
      </c>
      <c r="R363" s="4">
        <v>0.33067699271046702</v>
      </c>
      <c r="S363" t="s">
        <v>665</v>
      </c>
      <c r="T363" s="3">
        <v>7624.4734799999969</v>
      </c>
      <c r="U363" t="s">
        <v>1436</v>
      </c>
      <c r="V363" s="13" t="str">
        <f>TEXT(Table1_1[[#This Row],[OrderDate]],"MM YYYY")</f>
        <v>06 2024</v>
      </c>
      <c r="W363" s="11" t="str">
        <f>TEXT(Table1_1[[#This Row],[OrderDate]],"MM")</f>
        <v>06</v>
      </c>
      <c r="X363" s="11"/>
    </row>
    <row r="364" spans="1:24" x14ac:dyDescent="0.25">
      <c r="A364" t="s">
        <v>539</v>
      </c>
      <c r="B364" s="2">
        <v>45162</v>
      </c>
      <c r="C364" s="2">
        <v>45189</v>
      </c>
      <c r="D364" t="s">
        <v>1413</v>
      </c>
      <c r="E364" s="10">
        <v>27</v>
      </c>
      <c r="F364" t="s">
        <v>1402</v>
      </c>
      <c r="G364" t="s">
        <v>646</v>
      </c>
      <c r="H364" t="s">
        <v>650</v>
      </c>
      <c r="I364" t="s">
        <v>669</v>
      </c>
      <c r="J364" t="s">
        <v>1203</v>
      </c>
      <c r="K364">
        <v>47</v>
      </c>
      <c r="L364" s="3">
        <v>1399.64</v>
      </c>
      <c r="M364" s="3">
        <v>3342.11</v>
      </c>
      <c r="N364" s="3" t="str">
        <f>IF(Table1_1[[#This Row],[UnitPrice]]&lt;=816.08,"low",IF(Table1_1[[#This Row],[UnitPrice]]&lt;=1640.06,"medium","high"))</f>
        <v>high</v>
      </c>
      <c r="O364" s="4">
        <v>0</v>
      </c>
      <c r="P364" s="3">
        <v>157079.17000000001</v>
      </c>
      <c r="Q364" s="3">
        <v>65783.08</v>
      </c>
      <c r="R364" s="4">
        <v>0.58121067229983503</v>
      </c>
      <c r="S364" t="s">
        <v>665</v>
      </c>
      <c r="T364" s="3">
        <v>91296.090000000011</v>
      </c>
      <c r="U364" t="s">
        <v>1430</v>
      </c>
      <c r="V364" s="13" t="str">
        <f>TEXT(Table1_1[[#This Row],[OrderDate]],"MM YYYY")</f>
        <v>08 2023</v>
      </c>
      <c r="W364" s="11" t="str">
        <f>TEXT(Table1_1[[#This Row],[OrderDate]],"MM")</f>
        <v>08</v>
      </c>
      <c r="X364" s="11"/>
    </row>
    <row r="365" spans="1:24" x14ac:dyDescent="0.25">
      <c r="A365" t="s">
        <v>600</v>
      </c>
      <c r="B365" s="2">
        <v>45019</v>
      </c>
      <c r="C365" s="2">
        <v>45032</v>
      </c>
      <c r="D365" t="s">
        <v>1413</v>
      </c>
      <c r="E365" s="10">
        <v>13</v>
      </c>
      <c r="F365" t="s">
        <v>1391</v>
      </c>
      <c r="G365" t="s">
        <v>644</v>
      </c>
      <c r="H365" t="s">
        <v>650</v>
      </c>
      <c r="I365" t="s">
        <v>674</v>
      </c>
      <c r="J365" t="s">
        <v>1263</v>
      </c>
      <c r="K365">
        <v>9</v>
      </c>
      <c r="L365" s="3">
        <v>790.54</v>
      </c>
      <c r="M365" s="3">
        <v>601.49</v>
      </c>
      <c r="N365" s="3" t="str">
        <f>IF(Table1_1[[#This Row],[UnitPrice]]&lt;=816.08,"low",IF(Table1_1[[#This Row],[UnitPrice]]&lt;=1640.06,"medium","high"))</f>
        <v>low</v>
      </c>
      <c r="O365" s="4">
        <v>0</v>
      </c>
      <c r="P365" s="3">
        <v>5413.41</v>
      </c>
      <c r="Q365" s="3">
        <v>7114.86</v>
      </c>
      <c r="R365" s="4">
        <v>-0.31430281467688598</v>
      </c>
      <c r="S365" t="s">
        <v>665</v>
      </c>
      <c r="T365" s="3">
        <v>-1701.4499999999998</v>
      </c>
      <c r="U365" t="s">
        <v>1435</v>
      </c>
      <c r="V365" s="13" t="str">
        <f>TEXT(Table1_1[[#This Row],[OrderDate]],"MM YYYY")</f>
        <v>04 2023</v>
      </c>
      <c r="W365" s="11" t="str">
        <f>TEXT(Table1_1[[#This Row],[OrderDate]],"MM")</f>
        <v>04</v>
      </c>
      <c r="X365" s="11"/>
    </row>
    <row r="366" spans="1:24" x14ac:dyDescent="0.25">
      <c r="A366" t="s">
        <v>39</v>
      </c>
      <c r="B366" s="2">
        <v>45030</v>
      </c>
      <c r="C366" s="2">
        <v>45060</v>
      </c>
      <c r="D366" t="s">
        <v>1413</v>
      </c>
      <c r="E366" s="10">
        <v>30</v>
      </c>
      <c r="F366" t="s">
        <v>1395</v>
      </c>
      <c r="G366" t="s">
        <v>645</v>
      </c>
      <c r="H366" t="s">
        <v>650</v>
      </c>
      <c r="I366" t="s">
        <v>671</v>
      </c>
      <c r="J366" t="s">
        <v>703</v>
      </c>
      <c r="K366">
        <v>19</v>
      </c>
      <c r="L366" s="3">
        <v>209.25</v>
      </c>
      <c r="M366" s="3">
        <v>434.8</v>
      </c>
      <c r="N366" s="3" t="str">
        <f>IF(Table1_1[[#This Row],[UnitPrice]]&lt;=816.08,"low",IF(Table1_1[[#This Row],[UnitPrice]]&lt;=1640.06,"medium","high"))</f>
        <v>low</v>
      </c>
      <c r="O366" s="4">
        <v>0</v>
      </c>
      <c r="P366" s="3">
        <v>8261.2000000000007</v>
      </c>
      <c r="Q366" s="3">
        <v>3975.75</v>
      </c>
      <c r="R366" s="4">
        <v>0.51874425022999104</v>
      </c>
      <c r="S366" t="s">
        <v>665</v>
      </c>
      <c r="T366" s="3">
        <v>4285.4500000000007</v>
      </c>
      <c r="U366" t="s">
        <v>1435</v>
      </c>
      <c r="V366" s="13" t="str">
        <f>TEXT(Table1_1[[#This Row],[OrderDate]],"MM YYYY")</f>
        <v>04 2023</v>
      </c>
      <c r="W366" s="11" t="str">
        <f>TEXT(Table1_1[[#This Row],[OrderDate]],"MM")</f>
        <v>04</v>
      </c>
      <c r="X366" s="11"/>
    </row>
    <row r="367" spans="1:24" x14ac:dyDescent="0.25">
      <c r="A367" t="s">
        <v>258</v>
      </c>
      <c r="B367" s="2">
        <v>45604</v>
      </c>
      <c r="C367" s="2">
        <v>45604</v>
      </c>
      <c r="D367" t="s">
        <v>1413</v>
      </c>
      <c r="E367" s="10">
        <v>0</v>
      </c>
      <c r="F367" t="s">
        <v>1395</v>
      </c>
      <c r="G367" t="s">
        <v>647</v>
      </c>
      <c r="H367" t="s">
        <v>650</v>
      </c>
      <c r="I367" t="s">
        <v>670</v>
      </c>
      <c r="J367" t="s">
        <v>923</v>
      </c>
      <c r="K367">
        <v>18</v>
      </c>
      <c r="L367" s="3">
        <v>803.28</v>
      </c>
      <c r="M367" s="3">
        <v>1009</v>
      </c>
      <c r="N367" s="3" t="str">
        <f>IF(Table1_1[[#This Row],[UnitPrice]]&lt;=816.08,"low",IF(Table1_1[[#This Row],[UnitPrice]]&lt;=1640.06,"medium","high"))</f>
        <v>medium</v>
      </c>
      <c r="O367" s="4">
        <v>0.11</v>
      </c>
      <c r="P367" s="3">
        <v>16164.18</v>
      </c>
      <c r="Q367" s="3">
        <v>14459.039999999999</v>
      </c>
      <c r="R367" s="4">
        <v>0.105488803020011</v>
      </c>
      <c r="S367" t="s">
        <v>665</v>
      </c>
      <c r="T367" s="3">
        <v>1705.1400000000012</v>
      </c>
      <c r="U367" t="s">
        <v>1440</v>
      </c>
      <c r="V367" s="13" t="str">
        <f>TEXT(Table1_1[[#This Row],[OrderDate]],"MM YYYY")</f>
        <v>11 2024</v>
      </c>
      <c r="W367" s="11" t="str">
        <f>TEXT(Table1_1[[#This Row],[OrderDate]],"MM")</f>
        <v>11</v>
      </c>
      <c r="X367" s="11"/>
    </row>
    <row r="368" spans="1:24" x14ac:dyDescent="0.25">
      <c r="A368" t="s">
        <v>33</v>
      </c>
      <c r="B368" s="2">
        <v>45822</v>
      </c>
      <c r="C368" s="2">
        <v>45837</v>
      </c>
      <c r="D368" t="s">
        <v>1413</v>
      </c>
      <c r="E368" s="10">
        <v>15</v>
      </c>
      <c r="F368" t="s">
        <v>1384</v>
      </c>
      <c r="G368" t="s">
        <v>645</v>
      </c>
      <c r="H368" t="s">
        <v>650</v>
      </c>
      <c r="I368" t="s">
        <v>674</v>
      </c>
      <c r="J368" t="s">
        <v>697</v>
      </c>
      <c r="K368">
        <v>8</v>
      </c>
      <c r="L368" s="3">
        <v>730.99</v>
      </c>
      <c r="M368" s="3">
        <v>1242.8399999999999</v>
      </c>
      <c r="N368" s="3" t="str">
        <f>IF(Table1_1[[#This Row],[UnitPrice]]&lt;=816.08,"low",IF(Table1_1[[#This Row],[UnitPrice]]&lt;=1640.06,"medium","high"))</f>
        <v>medium</v>
      </c>
      <c r="O368" s="4">
        <v>0.12</v>
      </c>
      <c r="P368" s="3">
        <v>8749.5936000000002</v>
      </c>
      <c r="Q368" s="3">
        <v>5847.92</v>
      </c>
      <c r="R368" s="4">
        <v>0.33163524303574499</v>
      </c>
      <c r="S368" t="s">
        <v>665</v>
      </c>
      <c r="T368" s="3">
        <v>2901.6736000000001</v>
      </c>
      <c r="U368" t="s">
        <v>1431</v>
      </c>
      <c r="V368" s="13" t="str">
        <f>TEXT(Table1_1[[#This Row],[OrderDate]],"MM YYYY")</f>
        <v>06 2025</v>
      </c>
      <c r="W368" s="11" t="str">
        <f>TEXT(Table1_1[[#This Row],[OrderDate]],"MM")</f>
        <v>06</v>
      </c>
      <c r="X368" s="11"/>
    </row>
    <row r="369" spans="1:24" x14ac:dyDescent="0.25">
      <c r="A369" t="s">
        <v>559</v>
      </c>
      <c r="B369" s="2">
        <v>45486</v>
      </c>
      <c r="C369" s="2">
        <v>45507</v>
      </c>
      <c r="D369" t="s">
        <v>1413</v>
      </c>
      <c r="E369" s="10">
        <v>21</v>
      </c>
      <c r="F369" t="s">
        <v>1421</v>
      </c>
      <c r="G369" t="s">
        <v>642</v>
      </c>
      <c r="H369" t="s">
        <v>650</v>
      </c>
      <c r="I369" t="s">
        <v>673</v>
      </c>
      <c r="J369" t="s">
        <v>1222</v>
      </c>
      <c r="K369">
        <v>9</v>
      </c>
      <c r="L369" s="3">
        <v>702.98</v>
      </c>
      <c r="M369" s="3">
        <v>1104.8</v>
      </c>
      <c r="N369" s="3" t="str">
        <f>IF(Table1_1[[#This Row],[UnitPrice]]&lt;=816.08,"low",IF(Table1_1[[#This Row],[UnitPrice]]&lt;=1640.06,"medium","high"))</f>
        <v>medium</v>
      </c>
      <c r="O369" s="4">
        <v>0.17499999999999999</v>
      </c>
      <c r="P369" s="3">
        <v>8203.14</v>
      </c>
      <c r="Q369" s="3">
        <v>6326.82</v>
      </c>
      <c r="R369" s="4">
        <v>0.228731924604481</v>
      </c>
      <c r="S369" t="s">
        <v>665</v>
      </c>
      <c r="T369" s="3">
        <v>1876.3199999999997</v>
      </c>
      <c r="U369" t="s">
        <v>1437</v>
      </c>
      <c r="V369" s="13" t="str">
        <f>TEXT(Table1_1[[#This Row],[OrderDate]],"MM YYYY")</f>
        <v>07 2024</v>
      </c>
      <c r="W369" s="11" t="str">
        <f>TEXT(Table1_1[[#This Row],[OrderDate]],"MM")</f>
        <v>07</v>
      </c>
      <c r="X369" s="11"/>
    </row>
    <row r="370" spans="1:24" x14ac:dyDescent="0.25">
      <c r="A370" t="s">
        <v>145</v>
      </c>
      <c r="B370" s="2">
        <v>45647</v>
      </c>
      <c r="C370" s="2">
        <v>45652</v>
      </c>
      <c r="D370" t="s">
        <v>1413</v>
      </c>
      <c r="E370" s="10">
        <v>5</v>
      </c>
      <c r="F370" t="s">
        <v>1419</v>
      </c>
      <c r="G370" t="s">
        <v>645</v>
      </c>
      <c r="H370" t="s">
        <v>650</v>
      </c>
      <c r="I370" t="s">
        <v>669</v>
      </c>
      <c r="J370" t="s">
        <v>809</v>
      </c>
      <c r="K370">
        <v>5</v>
      </c>
      <c r="L370" s="3">
        <v>699.57</v>
      </c>
      <c r="M370" s="3">
        <v>572.71</v>
      </c>
      <c r="N370" s="3" t="str">
        <f>IF(Table1_1[[#This Row],[UnitPrice]]&lt;=816.08,"low",IF(Table1_1[[#This Row],[UnitPrice]]&lt;=1640.06,"medium","high"))</f>
        <v>low</v>
      </c>
      <c r="O370" s="4">
        <v>0.192</v>
      </c>
      <c r="P370" s="3">
        <v>2313.7484000000004</v>
      </c>
      <c r="Q370" s="3">
        <v>3497.8500000000004</v>
      </c>
      <c r="R370" s="4">
        <v>-0.51176765805651103</v>
      </c>
      <c r="S370" t="s">
        <v>665</v>
      </c>
      <c r="T370" s="3">
        <v>-1184.1016</v>
      </c>
      <c r="U370" t="s">
        <v>1440</v>
      </c>
      <c r="V370" s="13" t="str">
        <f>TEXT(Table1_1[[#This Row],[OrderDate]],"MM YYYY")</f>
        <v>12 2024</v>
      </c>
      <c r="W370" s="11" t="str">
        <f>TEXT(Table1_1[[#This Row],[OrderDate]],"MM")</f>
        <v>12</v>
      </c>
      <c r="X370" s="11"/>
    </row>
    <row r="371" spans="1:24" x14ac:dyDescent="0.25">
      <c r="A371" t="s">
        <v>109</v>
      </c>
      <c r="B371" s="2">
        <v>45860</v>
      </c>
      <c r="C371" s="2">
        <v>45887</v>
      </c>
      <c r="D371" t="s">
        <v>1413</v>
      </c>
      <c r="E371" s="10">
        <v>27</v>
      </c>
      <c r="F371" t="s">
        <v>1394</v>
      </c>
      <c r="G371" t="s">
        <v>644</v>
      </c>
      <c r="H371" t="s">
        <v>650</v>
      </c>
      <c r="I371" t="s">
        <v>670</v>
      </c>
      <c r="J371" t="s">
        <v>773</v>
      </c>
      <c r="K371">
        <v>16</v>
      </c>
      <c r="L371" s="3">
        <v>547.32000000000005</v>
      </c>
      <c r="M371" s="3">
        <v>419.17</v>
      </c>
      <c r="N371" s="3" t="str">
        <f>IF(Table1_1[[#This Row],[UnitPrice]]&lt;=816.08,"low",IF(Table1_1[[#This Row],[UnitPrice]]&lt;=1640.06,"medium","high"))</f>
        <v>low</v>
      </c>
      <c r="O371" s="4">
        <v>9.1999999999999998E-2</v>
      </c>
      <c r="P371" s="3">
        <v>6089.7017600000008</v>
      </c>
      <c r="Q371" s="3">
        <v>8757.1200000000008</v>
      </c>
      <c r="R371" s="4">
        <v>-0.43802116181137901</v>
      </c>
      <c r="S371" t="s">
        <v>665</v>
      </c>
      <c r="T371" s="3">
        <v>-2667.41824</v>
      </c>
      <c r="U371" t="s">
        <v>1438</v>
      </c>
      <c r="V371" s="13" t="str">
        <f>TEXT(Table1_1[[#This Row],[OrderDate]],"MM YYYY")</f>
        <v>07 2025</v>
      </c>
      <c r="W371" s="11" t="str">
        <f>TEXT(Table1_1[[#This Row],[OrderDate]],"MM")</f>
        <v>07</v>
      </c>
      <c r="X371" s="11"/>
    </row>
    <row r="372" spans="1:24" x14ac:dyDescent="0.25">
      <c r="A372" t="s">
        <v>187</v>
      </c>
      <c r="B372" s="2">
        <v>45165</v>
      </c>
      <c r="C372" s="2">
        <v>45180</v>
      </c>
      <c r="D372" t="s">
        <v>1413</v>
      </c>
      <c r="E372" s="10">
        <v>15</v>
      </c>
      <c r="F372" t="s">
        <v>1399</v>
      </c>
      <c r="G372" t="s">
        <v>645</v>
      </c>
      <c r="H372" t="s">
        <v>650</v>
      </c>
      <c r="I372" t="s">
        <v>669</v>
      </c>
      <c r="J372" t="s">
        <v>851</v>
      </c>
      <c r="K372">
        <v>6</v>
      </c>
      <c r="L372" s="3">
        <v>943.79</v>
      </c>
      <c r="M372" s="3">
        <v>1913.76</v>
      </c>
      <c r="N372" s="3" t="str">
        <f>IF(Table1_1[[#This Row],[UnitPrice]]&lt;=816.08,"low",IF(Table1_1[[#This Row],[UnitPrice]]&lt;=1640.06,"medium","high"))</f>
        <v>high</v>
      </c>
      <c r="O372" s="4">
        <v>9.0999999999999998E-2</v>
      </c>
      <c r="P372" s="3">
        <v>10437.64704</v>
      </c>
      <c r="Q372" s="3">
        <v>5662.74</v>
      </c>
      <c r="R372" s="4">
        <v>0.45746967891338097</v>
      </c>
      <c r="S372" t="s">
        <v>666</v>
      </c>
      <c r="T372" s="3">
        <v>4774.9070400000001</v>
      </c>
      <c r="U372" t="s">
        <v>1430</v>
      </c>
      <c r="V372" s="13" t="str">
        <f>TEXT(Table1_1[[#This Row],[OrderDate]],"MM YYYY")</f>
        <v>08 2023</v>
      </c>
      <c r="W372" s="11" t="str">
        <f>TEXT(Table1_1[[#This Row],[OrderDate]],"MM")</f>
        <v>08</v>
      </c>
      <c r="X372" s="11"/>
    </row>
    <row r="373" spans="1:24" x14ac:dyDescent="0.25">
      <c r="A373" t="s">
        <v>285</v>
      </c>
      <c r="B373" s="2">
        <v>45316</v>
      </c>
      <c r="C373" s="2">
        <v>45318</v>
      </c>
      <c r="D373" t="s">
        <v>1413</v>
      </c>
      <c r="E373" s="10">
        <v>2</v>
      </c>
      <c r="F373" t="s">
        <v>1417</v>
      </c>
      <c r="G373" t="s">
        <v>644</v>
      </c>
      <c r="H373" t="s">
        <v>650</v>
      </c>
      <c r="I373" t="s">
        <v>672</v>
      </c>
      <c r="J373" t="s">
        <v>950</v>
      </c>
      <c r="K373">
        <v>11</v>
      </c>
      <c r="L373" s="3">
        <v>1410.97</v>
      </c>
      <c r="M373" s="3">
        <v>1650.75</v>
      </c>
      <c r="N373" s="3" t="str">
        <f>IF(Table1_1[[#This Row],[UnitPrice]]&lt;=816.08,"low",IF(Table1_1[[#This Row],[UnitPrice]]&lt;=1640.06,"medium","high"))</f>
        <v>high</v>
      </c>
      <c r="O373" s="4">
        <v>0.13500000000000001</v>
      </c>
      <c r="P373" s="3">
        <v>15706.88625</v>
      </c>
      <c r="Q373" s="3">
        <v>15520.67</v>
      </c>
      <c r="R373" s="4">
        <v>1.1855707556295499E-2</v>
      </c>
      <c r="S373" t="s">
        <v>666</v>
      </c>
      <c r="T373" s="3">
        <v>186.21624999999949</v>
      </c>
      <c r="U373" t="s">
        <v>1433</v>
      </c>
      <c r="V373" s="13" t="str">
        <f>TEXT(Table1_1[[#This Row],[OrderDate]],"MM YYYY")</f>
        <v>01 2024</v>
      </c>
      <c r="W373" s="11" t="str">
        <f>TEXT(Table1_1[[#This Row],[OrderDate]],"MM")</f>
        <v>01</v>
      </c>
      <c r="X373" s="11"/>
    </row>
    <row r="374" spans="1:24" x14ac:dyDescent="0.25">
      <c r="A374" t="s">
        <v>19</v>
      </c>
      <c r="B374" s="2">
        <v>45416</v>
      </c>
      <c r="C374" s="2">
        <v>45441</v>
      </c>
      <c r="D374" t="s">
        <v>1413</v>
      </c>
      <c r="E374" s="10">
        <v>25</v>
      </c>
      <c r="F374" t="s">
        <v>1389</v>
      </c>
      <c r="G374" t="s">
        <v>644</v>
      </c>
      <c r="H374" t="s">
        <v>650</v>
      </c>
      <c r="I374" t="s">
        <v>673</v>
      </c>
      <c r="J374" t="s">
        <v>683</v>
      </c>
      <c r="K374">
        <v>23</v>
      </c>
      <c r="L374" s="3">
        <v>1295.3399999999999</v>
      </c>
      <c r="M374" s="3">
        <v>2530.81</v>
      </c>
      <c r="N374" s="3" t="str">
        <f>IF(Table1_1[[#This Row],[UnitPrice]]&lt;=816.08,"low",IF(Table1_1[[#This Row],[UnitPrice]]&lt;=1640.06,"medium","high"))</f>
        <v>high</v>
      </c>
      <c r="O374" s="4">
        <v>3.1E-2</v>
      </c>
      <c r="P374" s="3">
        <v>56404.162469999996</v>
      </c>
      <c r="Q374" s="3">
        <v>29792.82</v>
      </c>
      <c r="R374" s="4">
        <v>0.47179749338808002</v>
      </c>
      <c r="S374" t="s">
        <v>660</v>
      </c>
      <c r="T374" s="3">
        <v>26611.342469999996</v>
      </c>
      <c r="U374" t="s">
        <v>1436</v>
      </c>
      <c r="V374" s="13" t="str">
        <f>TEXT(Table1_1[[#This Row],[OrderDate]],"MM YYYY")</f>
        <v>05 2024</v>
      </c>
      <c r="W374" s="11" t="str">
        <f>TEXT(Table1_1[[#This Row],[OrderDate]],"MM")</f>
        <v>05</v>
      </c>
      <c r="X374" s="11"/>
    </row>
    <row r="375" spans="1:24" x14ac:dyDescent="0.25">
      <c r="A375" t="s">
        <v>434</v>
      </c>
      <c r="B375" s="2">
        <v>45341</v>
      </c>
      <c r="C375" s="2">
        <v>45357</v>
      </c>
      <c r="D375" t="s">
        <v>1413</v>
      </c>
      <c r="E375" s="10">
        <v>16</v>
      </c>
      <c r="F375" t="s">
        <v>1411</v>
      </c>
      <c r="G375" t="s">
        <v>643</v>
      </c>
      <c r="H375" t="s">
        <v>650</v>
      </c>
      <c r="I375" t="s">
        <v>669</v>
      </c>
      <c r="J375" t="s">
        <v>1098</v>
      </c>
      <c r="K375">
        <v>17</v>
      </c>
      <c r="L375" s="3">
        <v>1477.84</v>
      </c>
      <c r="M375" s="3">
        <v>3197.47</v>
      </c>
      <c r="N375" s="3" t="str">
        <f>IF(Table1_1[[#This Row],[UnitPrice]]&lt;=816.08,"low",IF(Table1_1[[#This Row],[UnitPrice]]&lt;=1640.06,"medium","high"))</f>
        <v>high</v>
      </c>
      <c r="O375" s="4">
        <v>0.24299999999999999</v>
      </c>
      <c r="P375" s="3">
        <v>41148.241430000002</v>
      </c>
      <c r="Q375" s="3">
        <v>25123.279999999999</v>
      </c>
      <c r="R375" s="4">
        <v>0.38944462443823102</v>
      </c>
      <c r="S375" t="s">
        <v>660</v>
      </c>
      <c r="T375" s="3">
        <v>16024.961430000003</v>
      </c>
      <c r="U375" t="s">
        <v>1433</v>
      </c>
      <c r="V375" s="13" t="str">
        <f>TEXT(Table1_1[[#This Row],[OrderDate]],"MM YYYY")</f>
        <v>02 2024</v>
      </c>
      <c r="W375" s="11" t="str">
        <f>TEXT(Table1_1[[#This Row],[OrderDate]],"MM")</f>
        <v>02</v>
      </c>
      <c r="X375" s="11"/>
    </row>
    <row r="376" spans="1:24" x14ac:dyDescent="0.25">
      <c r="A376" t="s">
        <v>633</v>
      </c>
      <c r="B376" s="2">
        <v>45857</v>
      </c>
      <c r="C376" s="2">
        <v>45869</v>
      </c>
      <c r="D376" t="s">
        <v>1413</v>
      </c>
      <c r="E376" s="10">
        <v>12</v>
      </c>
      <c r="F376" t="s">
        <v>1385</v>
      </c>
      <c r="G376" t="s">
        <v>646</v>
      </c>
      <c r="H376" t="s">
        <v>650</v>
      </c>
      <c r="I376" t="s">
        <v>674</v>
      </c>
      <c r="J376" t="s">
        <v>1296</v>
      </c>
      <c r="K376">
        <v>12</v>
      </c>
      <c r="L376" s="3">
        <v>619.64</v>
      </c>
      <c r="M376" s="3">
        <v>861.16</v>
      </c>
      <c r="N376" s="3" t="str">
        <f>IF(Table1_1[[#This Row],[UnitPrice]]&lt;=816.08,"low",IF(Table1_1[[#This Row],[UnitPrice]]&lt;=1640.06,"medium","high"))</f>
        <v>medium</v>
      </c>
      <c r="O376" s="4">
        <v>0.113</v>
      </c>
      <c r="P376" s="3">
        <v>9166.1870400000007</v>
      </c>
      <c r="Q376" s="3">
        <v>7435.68</v>
      </c>
      <c r="R376" s="4">
        <v>0.188792464352768</v>
      </c>
      <c r="S376" t="s">
        <v>660</v>
      </c>
      <c r="T376" s="3">
        <v>1730.5070400000004</v>
      </c>
      <c r="U376" t="s">
        <v>1438</v>
      </c>
      <c r="V376" s="13" t="str">
        <f>TEXT(Table1_1[[#This Row],[OrderDate]],"MM YYYY")</f>
        <v>07 2025</v>
      </c>
      <c r="W376" s="11" t="str">
        <f>TEXT(Table1_1[[#This Row],[OrderDate]],"MM")</f>
        <v>07</v>
      </c>
      <c r="X376" s="11"/>
    </row>
    <row r="377" spans="1:24" x14ac:dyDescent="0.25">
      <c r="A377" t="s">
        <v>393</v>
      </c>
      <c r="B377" s="2">
        <v>45097</v>
      </c>
      <c r="C377" s="2">
        <v>45115</v>
      </c>
      <c r="D377" t="s">
        <v>1413</v>
      </c>
      <c r="E377" s="10">
        <v>18</v>
      </c>
      <c r="F377" t="s">
        <v>1428</v>
      </c>
      <c r="G377" t="s">
        <v>645</v>
      </c>
      <c r="H377" t="s">
        <v>650</v>
      </c>
      <c r="I377" t="s">
        <v>670</v>
      </c>
      <c r="J377" t="s">
        <v>1057</v>
      </c>
      <c r="K377">
        <v>34</v>
      </c>
      <c r="L377" s="3">
        <v>1145.53</v>
      </c>
      <c r="M377" s="3">
        <v>1278.3</v>
      </c>
      <c r="N377" s="3" t="str">
        <f>IF(Table1_1[[#This Row],[UnitPrice]]&lt;=816.08,"low",IF(Table1_1[[#This Row],[UnitPrice]]&lt;=1640.06,"medium","high"))</f>
        <v>medium</v>
      </c>
      <c r="O377" s="4">
        <v>0.09</v>
      </c>
      <c r="P377" s="3">
        <v>39550.601999999999</v>
      </c>
      <c r="Q377" s="3">
        <v>38948.019999999997</v>
      </c>
      <c r="R377" s="4">
        <v>1.5235722581416099E-2</v>
      </c>
      <c r="S377" t="s">
        <v>660</v>
      </c>
      <c r="T377" s="3">
        <v>602.58200000000215</v>
      </c>
      <c r="U377" t="s">
        <v>1435</v>
      </c>
      <c r="V377" s="13" t="str">
        <f>TEXT(Table1_1[[#This Row],[OrderDate]],"MM YYYY")</f>
        <v>06 2023</v>
      </c>
      <c r="W377" s="11" t="str">
        <f>TEXT(Table1_1[[#This Row],[OrderDate]],"MM")</f>
        <v>06</v>
      </c>
      <c r="X377" s="11"/>
    </row>
    <row r="378" spans="1:24" x14ac:dyDescent="0.25">
      <c r="A378" t="s">
        <v>412</v>
      </c>
      <c r="B378" s="2">
        <v>45601</v>
      </c>
      <c r="C378" s="2">
        <v>45604</v>
      </c>
      <c r="D378" t="s">
        <v>1413</v>
      </c>
      <c r="E378" s="10">
        <v>3</v>
      </c>
      <c r="F378" t="s">
        <v>1414</v>
      </c>
      <c r="G378" t="s">
        <v>643</v>
      </c>
      <c r="H378" t="s">
        <v>650</v>
      </c>
      <c r="I378" t="s">
        <v>668</v>
      </c>
      <c r="J378" t="s">
        <v>1076</v>
      </c>
      <c r="K378">
        <v>22</v>
      </c>
      <c r="L378" s="3">
        <v>1020.4</v>
      </c>
      <c r="M378" s="3">
        <v>1184.71</v>
      </c>
      <c r="N378" s="3" t="str">
        <f>IF(Table1_1[[#This Row],[UnitPrice]]&lt;=816.08,"low",IF(Table1_1[[#This Row],[UnitPrice]]&lt;=1640.06,"medium","high"))</f>
        <v>medium</v>
      </c>
      <c r="O378" s="4">
        <v>0.106</v>
      </c>
      <c r="P378" s="3">
        <v>23300.876280000004</v>
      </c>
      <c r="Q378" s="3">
        <v>22448.799999999999</v>
      </c>
      <c r="R378" s="4">
        <v>3.6568422138328498E-2</v>
      </c>
      <c r="S378" t="s">
        <v>660</v>
      </c>
      <c r="T378" s="3">
        <v>852.07628000000477</v>
      </c>
      <c r="U378" t="s">
        <v>1440</v>
      </c>
      <c r="V378" s="13" t="str">
        <f>TEXT(Table1_1[[#This Row],[OrderDate]],"MM YYYY")</f>
        <v>11 2024</v>
      </c>
      <c r="W378" s="11" t="str">
        <f>TEXT(Table1_1[[#This Row],[OrderDate]],"MM")</f>
        <v>11</v>
      </c>
      <c r="X378" s="11"/>
    </row>
    <row r="379" spans="1:24" x14ac:dyDescent="0.25">
      <c r="A379" t="s">
        <v>425</v>
      </c>
      <c r="B379" s="2">
        <v>45167</v>
      </c>
      <c r="C379" s="2">
        <v>45182</v>
      </c>
      <c r="D379" t="s">
        <v>1413</v>
      </c>
      <c r="E379" s="10">
        <v>15</v>
      </c>
      <c r="F379" t="s">
        <v>1415</v>
      </c>
      <c r="G379" t="s">
        <v>646</v>
      </c>
      <c r="H379" t="s">
        <v>650</v>
      </c>
      <c r="I379" t="s">
        <v>669</v>
      </c>
      <c r="J379" t="s">
        <v>1089</v>
      </c>
      <c r="K379">
        <v>11</v>
      </c>
      <c r="L379" s="3">
        <v>1287.6400000000001</v>
      </c>
      <c r="M379" s="3">
        <v>2717.15</v>
      </c>
      <c r="N379" s="3" t="str">
        <f>IF(Table1_1[[#This Row],[UnitPrice]]&lt;=816.08,"low",IF(Table1_1[[#This Row],[UnitPrice]]&lt;=1640.06,"medium","high"))</f>
        <v>high</v>
      </c>
      <c r="O379" s="4">
        <v>3.2000000000000001E-2</v>
      </c>
      <c r="P379" s="3">
        <v>28932.213200000002</v>
      </c>
      <c r="Q379" s="3">
        <v>14164.04</v>
      </c>
      <c r="R379" s="4">
        <v>0.51044049405802105</v>
      </c>
      <c r="S379" t="s">
        <v>660</v>
      </c>
      <c r="T379" s="3">
        <v>14768.173200000001</v>
      </c>
      <c r="U379" t="s">
        <v>1430</v>
      </c>
      <c r="V379" s="13" t="str">
        <f>TEXT(Table1_1[[#This Row],[OrderDate]],"MM YYYY")</f>
        <v>08 2023</v>
      </c>
      <c r="W379" s="11" t="str">
        <f>TEXT(Table1_1[[#This Row],[OrderDate]],"MM")</f>
        <v>08</v>
      </c>
      <c r="X379" s="11"/>
    </row>
    <row r="380" spans="1:24" x14ac:dyDescent="0.25">
      <c r="A380" t="s">
        <v>349</v>
      </c>
      <c r="B380" s="2">
        <v>45121</v>
      </c>
      <c r="C380" s="2">
        <v>45128</v>
      </c>
      <c r="D380" t="s">
        <v>1413</v>
      </c>
      <c r="E380" s="10">
        <v>7</v>
      </c>
      <c r="F380" t="s">
        <v>1402</v>
      </c>
      <c r="G380" t="s">
        <v>647</v>
      </c>
      <c r="H380" t="s">
        <v>650</v>
      </c>
      <c r="I380" t="s">
        <v>673</v>
      </c>
      <c r="J380" t="s">
        <v>1014</v>
      </c>
      <c r="K380">
        <v>7</v>
      </c>
      <c r="L380" s="3">
        <v>620.74</v>
      </c>
      <c r="M380" s="3">
        <v>1330.07</v>
      </c>
      <c r="N380" s="3" t="str">
        <f>IF(Table1_1[[#This Row],[UnitPrice]]&lt;=816.08,"low",IF(Table1_1[[#This Row],[UnitPrice]]&lt;=1640.06,"medium","high"))</f>
        <v>medium</v>
      </c>
      <c r="O380" s="4">
        <v>0.29899999999999999</v>
      </c>
      <c r="P380" s="3">
        <v>6526.6534900000006</v>
      </c>
      <c r="Q380" s="3">
        <v>4345.18</v>
      </c>
      <c r="R380" s="4">
        <v>0.33424073965967499</v>
      </c>
      <c r="S380" t="s">
        <v>1366</v>
      </c>
      <c r="T380" s="3">
        <v>2181.4734900000003</v>
      </c>
      <c r="U380" t="s">
        <v>1430</v>
      </c>
      <c r="V380" s="13" t="str">
        <f>TEXT(Table1_1[[#This Row],[OrderDate]],"MM YYYY")</f>
        <v>07 2023</v>
      </c>
      <c r="W380" s="11" t="str">
        <f>TEXT(Table1_1[[#This Row],[OrderDate]],"MM")</f>
        <v>07</v>
      </c>
      <c r="X380" s="11"/>
    </row>
    <row r="381" spans="1:24" x14ac:dyDescent="0.25">
      <c r="A381" t="s">
        <v>406</v>
      </c>
      <c r="B381" s="2">
        <v>45890</v>
      </c>
      <c r="C381" s="2">
        <v>45914</v>
      </c>
      <c r="D381" t="s">
        <v>1413</v>
      </c>
      <c r="E381" s="10">
        <v>24</v>
      </c>
      <c r="F381" t="s">
        <v>1390</v>
      </c>
      <c r="G381" t="s">
        <v>644</v>
      </c>
      <c r="H381" t="s">
        <v>649</v>
      </c>
      <c r="I381" t="s">
        <v>673</v>
      </c>
      <c r="J381" t="s">
        <v>1070</v>
      </c>
      <c r="K381">
        <v>18</v>
      </c>
      <c r="L381" s="3">
        <v>1397.67</v>
      </c>
      <c r="M381" s="3">
        <v>3131.37</v>
      </c>
      <c r="N381" s="3" t="str">
        <f>IF(Table1_1[[#This Row],[UnitPrice]]&lt;=816.08,"low",IF(Table1_1[[#This Row],[UnitPrice]]&lt;=1640.06,"medium","high"))</f>
        <v>high</v>
      </c>
      <c r="O381" s="4">
        <v>0.10299999999999999</v>
      </c>
      <c r="P381" s="3">
        <v>50559.100019999998</v>
      </c>
      <c r="Q381" s="3">
        <v>25158.06</v>
      </c>
      <c r="R381" s="4">
        <v>0.50240293062874797</v>
      </c>
      <c r="S381" t="s">
        <v>661</v>
      </c>
      <c r="T381" s="3">
        <v>25401.040019999997</v>
      </c>
      <c r="U381" t="s">
        <v>1438</v>
      </c>
      <c r="V381" s="13" t="str">
        <f>TEXT(Table1_1[[#This Row],[OrderDate]],"MM YYYY")</f>
        <v>08 2025</v>
      </c>
      <c r="W381" s="11" t="str">
        <f>TEXT(Table1_1[[#This Row],[OrderDate]],"MM")</f>
        <v>08</v>
      </c>
      <c r="X381" s="11"/>
    </row>
    <row r="382" spans="1:24" x14ac:dyDescent="0.25">
      <c r="A382" t="s">
        <v>607</v>
      </c>
      <c r="B382" s="2">
        <v>44933</v>
      </c>
      <c r="C382" s="2">
        <v>44956</v>
      </c>
      <c r="D382" t="s">
        <v>1413</v>
      </c>
      <c r="E382" s="10">
        <v>23</v>
      </c>
      <c r="F382" t="s">
        <v>1408</v>
      </c>
      <c r="G382" t="s">
        <v>645</v>
      </c>
      <c r="H382" t="s">
        <v>649</v>
      </c>
      <c r="I382" t="s">
        <v>669</v>
      </c>
      <c r="J382" t="s">
        <v>1270</v>
      </c>
      <c r="K382">
        <v>25</v>
      </c>
      <c r="L382" s="3">
        <v>299.02</v>
      </c>
      <c r="M382" s="3">
        <v>724.7</v>
      </c>
      <c r="N382" s="3" t="str">
        <f>IF(Table1_1[[#This Row],[UnitPrice]]&lt;=816.08,"low",IF(Table1_1[[#This Row],[UnitPrice]]&lt;=1640.06,"medium","high"))</f>
        <v>low</v>
      </c>
      <c r="O382" s="4">
        <v>0.14000000000000001</v>
      </c>
      <c r="P382" s="3">
        <v>15581.05</v>
      </c>
      <c r="Q382" s="3">
        <v>7475.5</v>
      </c>
      <c r="R382" s="4">
        <v>0.52021847051386105</v>
      </c>
      <c r="S382" t="s">
        <v>661</v>
      </c>
      <c r="T382" s="3">
        <v>8105.5499999999993</v>
      </c>
      <c r="U382" t="s">
        <v>1432</v>
      </c>
      <c r="V382" s="13" t="str">
        <f>TEXT(Table1_1[[#This Row],[OrderDate]],"MM YYYY")</f>
        <v>01 2023</v>
      </c>
      <c r="W382" s="11" t="str">
        <f>TEXT(Table1_1[[#This Row],[OrderDate]],"MM")</f>
        <v>01</v>
      </c>
      <c r="X382" s="11"/>
    </row>
    <row r="383" spans="1:24" x14ac:dyDescent="0.25">
      <c r="A383" t="s">
        <v>523</v>
      </c>
      <c r="B383" s="2">
        <v>45078</v>
      </c>
      <c r="C383" s="2">
        <v>45085</v>
      </c>
      <c r="D383" t="s">
        <v>1413</v>
      </c>
      <c r="E383" s="10">
        <v>7</v>
      </c>
      <c r="F383" t="s">
        <v>1410</v>
      </c>
      <c r="G383" t="s">
        <v>645</v>
      </c>
      <c r="H383" t="s">
        <v>649</v>
      </c>
      <c r="I383" t="s">
        <v>671</v>
      </c>
      <c r="J383" t="s">
        <v>1187</v>
      </c>
      <c r="K383">
        <v>14</v>
      </c>
      <c r="L383" s="3">
        <v>804.17</v>
      </c>
      <c r="M383" s="3">
        <v>1072.29</v>
      </c>
      <c r="N383" s="3" t="str">
        <f>IF(Table1_1[[#This Row],[UnitPrice]]&lt;=816.08,"low",IF(Table1_1[[#This Row],[UnitPrice]]&lt;=1640.06,"medium","high"))</f>
        <v>medium</v>
      </c>
      <c r="O383" s="4">
        <v>3.2000000000000001E-2</v>
      </c>
      <c r="P383" s="3">
        <v>14531.674079999999</v>
      </c>
      <c r="Q383" s="3">
        <v>11258.38</v>
      </c>
      <c r="R383" s="4">
        <v>0.22525237367558701</v>
      </c>
      <c r="S383" t="s">
        <v>661</v>
      </c>
      <c r="T383" s="3">
        <v>3273.2940799999997</v>
      </c>
      <c r="U383" t="s">
        <v>1435</v>
      </c>
      <c r="V383" s="13" t="str">
        <f>TEXT(Table1_1[[#This Row],[OrderDate]],"MM YYYY")</f>
        <v>06 2023</v>
      </c>
      <c r="W383" s="11" t="str">
        <f>TEXT(Table1_1[[#This Row],[OrderDate]],"MM")</f>
        <v>06</v>
      </c>
      <c r="X383" s="11"/>
    </row>
    <row r="384" spans="1:24" x14ac:dyDescent="0.25">
      <c r="A384" t="s">
        <v>518</v>
      </c>
      <c r="B384" s="2">
        <v>45029</v>
      </c>
      <c r="C384" s="2">
        <v>45036</v>
      </c>
      <c r="D384" t="s">
        <v>1413</v>
      </c>
      <c r="E384" s="10">
        <v>7</v>
      </c>
      <c r="F384" t="s">
        <v>1396</v>
      </c>
      <c r="G384" t="s">
        <v>646</v>
      </c>
      <c r="H384" t="s">
        <v>649</v>
      </c>
      <c r="I384" t="s">
        <v>672</v>
      </c>
      <c r="J384" t="s">
        <v>1182</v>
      </c>
      <c r="K384">
        <v>28</v>
      </c>
      <c r="L384" s="3">
        <v>227.02</v>
      </c>
      <c r="M384" s="3">
        <v>434.72</v>
      </c>
      <c r="N384" s="3" t="str">
        <f>IF(Table1_1[[#This Row],[UnitPrice]]&lt;=816.08,"low",IF(Table1_1[[#This Row],[UnitPrice]]&lt;=1640.06,"medium","high"))</f>
        <v>low</v>
      </c>
      <c r="O384" s="4">
        <v>9.8000000000000004E-2</v>
      </c>
      <c r="P384" s="3">
        <v>10979.28832</v>
      </c>
      <c r="Q384" s="3">
        <v>6356.56</v>
      </c>
      <c r="R384" s="4">
        <v>0.42104079838938002</v>
      </c>
      <c r="S384" t="s">
        <v>661</v>
      </c>
      <c r="T384" s="3">
        <v>4622.7283199999993</v>
      </c>
      <c r="U384" t="s">
        <v>1435</v>
      </c>
      <c r="V384" s="13" t="str">
        <f>TEXT(Table1_1[[#This Row],[OrderDate]],"MM YYYY")</f>
        <v>04 2023</v>
      </c>
      <c r="W384" s="11" t="str">
        <f>TEXT(Table1_1[[#This Row],[OrderDate]],"MM")</f>
        <v>04</v>
      </c>
      <c r="X384" s="11"/>
    </row>
    <row r="385" spans="1:24" x14ac:dyDescent="0.25">
      <c r="A385" t="s">
        <v>70</v>
      </c>
      <c r="B385" s="2">
        <v>45779</v>
      </c>
      <c r="C385" s="2">
        <v>45790</v>
      </c>
      <c r="D385" t="s">
        <v>1413</v>
      </c>
      <c r="E385" s="10">
        <v>11</v>
      </c>
      <c r="F385" t="s">
        <v>1395</v>
      </c>
      <c r="G385" t="s">
        <v>646</v>
      </c>
      <c r="H385" t="s">
        <v>649</v>
      </c>
      <c r="I385" t="s">
        <v>674</v>
      </c>
      <c r="J385" t="s">
        <v>734</v>
      </c>
      <c r="K385">
        <v>41</v>
      </c>
      <c r="L385" s="3">
        <v>1057.5999999999999</v>
      </c>
      <c r="M385" s="3">
        <v>1437.06</v>
      </c>
      <c r="N385" s="3" t="str">
        <f>IF(Table1_1[[#This Row],[UnitPrice]]&lt;=816.08,"low",IF(Table1_1[[#This Row],[UnitPrice]]&lt;=1640.06,"medium","high"))</f>
        <v>medium</v>
      </c>
      <c r="O385" s="4">
        <v>0.20499999999999999</v>
      </c>
      <c r="P385" s="3">
        <v>46840.970699999998</v>
      </c>
      <c r="Q385" s="3">
        <v>43361.599999999999</v>
      </c>
      <c r="R385" s="4">
        <v>7.4280499485891299E-2</v>
      </c>
      <c r="S385" t="s">
        <v>661</v>
      </c>
      <c r="T385" s="3">
        <v>3479.3706999999995</v>
      </c>
      <c r="U385" t="s">
        <v>1431</v>
      </c>
      <c r="V385" s="13" t="str">
        <f>TEXT(Table1_1[[#This Row],[OrderDate]],"MM YYYY")</f>
        <v>05 2025</v>
      </c>
      <c r="W385" s="11" t="str">
        <f>TEXT(Table1_1[[#This Row],[OrderDate]],"MM")</f>
        <v>05</v>
      </c>
      <c r="X385" s="11"/>
    </row>
    <row r="386" spans="1:24" x14ac:dyDescent="0.25">
      <c r="A386" t="s">
        <v>49</v>
      </c>
      <c r="B386" s="2">
        <v>45401</v>
      </c>
      <c r="C386" s="2">
        <v>45418</v>
      </c>
      <c r="D386" t="s">
        <v>1413</v>
      </c>
      <c r="E386" s="10">
        <v>17</v>
      </c>
      <c r="F386" t="s">
        <v>1384</v>
      </c>
      <c r="G386" t="s">
        <v>644</v>
      </c>
      <c r="H386" t="s">
        <v>649</v>
      </c>
      <c r="I386" t="s">
        <v>669</v>
      </c>
      <c r="J386" t="s">
        <v>713</v>
      </c>
      <c r="K386">
        <v>18</v>
      </c>
      <c r="L386" s="3">
        <v>865.33</v>
      </c>
      <c r="M386" s="3">
        <v>1395.64</v>
      </c>
      <c r="N386" s="3" t="str">
        <f>IF(Table1_1[[#This Row],[UnitPrice]]&lt;=816.08,"low",IF(Table1_1[[#This Row],[UnitPrice]]&lt;=1640.06,"medium","high"))</f>
        <v>medium</v>
      </c>
      <c r="O386" s="4">
        <v>0.17499999999999999</v>
      </c>
      <c r="P386" s="3">
        <v>20725.254000000001</v>
      </c>
      <c r="Q386" s="3">
        <v>15575.94</v>
      </c>
      <c r="R386" s="4">
        <v>0.248456014097584</v>
      </c>
      <c r="S386" t="s">
        <v>661</v>
      </c>
      <c r="T386" s="3">
        <v>5149.3140000000003</v>
      </c>
      <c r="U386" t="s">
        <v>1436</v>
      </c>
      <c r="V386" s="13" t="str">
        <f>TEXT(Table1_1[[#This Row],[OrderDate]],"MM YYYY")</f>
        <v>04 2024</v>
      </c>
      <c r="W386" s="11" t="str">
        <f>TEXT(Table1_1[[#This Row],[OrderDate]],"MM")</f>
        <v>04</v>
      </c>
      <c r="X386" s="11"/>
    </row>
    <row r="387" spans="1:24" x14ac:dyDescent="0.25">
      <c r="A387" t="s">
        <v>577</v>
      </c>
      <c r="B387" s="2">
        <v>45834</v>
      </c>
      <c r="C387" s="2">
        <v>45849</v>
      </c>
      <c r="D387" t="s">
        <v>1413</v>
      </c>
      <c r="E387" s="10">
        <v>15</v>
      </c>
      <c r="F387" t="s">
        <v>1384</v>
      </c>
      <c r="G387" t="s">
        <v>646</v>
      </c>
      <c r="H387" t="s">
        <v>649</v>
      </c>
      <c r="I387" t="s">
        <v>672</v>
      </c>
      <c r="J387" t="s">
        <v>1240</v>
      </c>
      <c r="K387">
        <v>31</v>
      </c>
      <c r="L387" s="3">
        <v>1170.1500000000001</v>
      </c>
      <c r="M387" s="3">
        <v>2115.19</v>
      </c>
      <c r="N387" s="3" t="str">
        <f>IF(Table1_1[[#This Row],[UnitPrice]]&lt;=816.08,"low",IF(Table1_1[[#This Row],[UnitPrice]]&lt;=1640.06,"medium","high"))</f>
        <v>high</v>
      </c>
      <c r="O387" s="4">
        <v>9.1999999999999998E-2</v>
      </c>
      <c r="P387" s="3">
        <v>59538.368119999999</v>
      </c>
      <c r="Q387" s="3">
        <v>36274.65</v>
      </c>
      <c r="R387" s="4">
        <v>0.39073489674946799</v>
      </c>
      <c r="S387" t="s">
        <v>661</v>
      </c>
      <c r="T387" s="3">
        <v>23263.718119999998</v>
      </c>
      <c r="U387" t="s">
        <v>1431</v>
      </c>
      <c r="V387" s="13" t="str">
        <f>TEXT(Table1_1[[#This Row],[OrderDate]],"MM YYYY")</f>
        <v>06 2025</v>
      </c>
      <c r="W387" s="11" t="str">
        <f>TEXT(Table1_1[[#This Row],[OrderDate]],"MM")</f>
        <v>06</v>
      </c>
      <c r="X387" s="11"/>
    </row>
    <row r="388" spans="1:24" x14ac:dyDescent="0.25">
      <c r="A388" t="s">
        <v>140</v>
      </c>
      <c r="B388" s="2">
        <v>44948</v>
      </c>
      <c r="C388" s="2">
        <v>44956</v>
      </c>
      <c r="D388" t="s">
        <v>1413</v>
      </c>
      <c r="E388" s="10">
        <v>8</v>
      </c>
      <c r="F388" t="s">
        <v>1419</v>
      </c>
      <c r="G388" t="s">
        <v>646</v>
      </c>
      <c r="H388" t="s">
        <v>649</v>
      </c>
      <c r="I388" t="s">
        <v>670</v>
      </c>
      <c r="J388" t="s">
        <v>804</v>
      </c>
      <c r="K388">
        <v>18</v>
      </c>
      <c r="L388" s="3">
        <v>413.52</v>
      </c>
      <c r="M388" s="3">
        <v>1004.34</v>
      </c>
      <c r="N388" s="3" t="str">
        <f>IF(Table1_1[[#This Row],[UnitPrice]]&lt;=816.08,"low",IF(Table1_1[[#This Row],[UnitPrice]]&lt;=1640.06,"medium","high"))</f>
        <v>medium</v>
      </c>
      <c r="O388" s="4">
        <v>0.111</v>
      </c>
      <c r="P388" s="3">
        <v>16071.44868</v>
      </c>
      <c r="Q388" s="3">
        <v>7443.36</v>
      </c>
      <c r="R388" s="4">
        <v>0.53685817948304604</v>
      </c>
      <c r="S388" t="s">
        <v>661</v>
      </c>
      <c r="T388" s="3">
        <v>8628.0886800000007</v>
      </c>
      <c r="U388" t="s">
        <v>1432</v>
      </c>
      <c r="V388" s="13" t="str">
        <f>TEXT(Table1_1[[#This Row],[OrderDate]],"MM YYYY")</f>
        <v>01 2023</v>
      </c>
      <c r="W388" s="11" t="str">
        <f>TEXT(Table1_1[[#This Row],[OrderDate]],"MM")</f>
        <v>01</v>
      </c>
      <c r="X388" s="11"/>
    </row>
    <row r="389" spans="1:24" x14ac:dyDescent="0.25">
      <c r="A389" t="s">
        <v>333</v>
      </c>
      <c r="B389" s="2">
        <v>45340</v>
      </c>
      <c r="C389" s="2">
        <v>45362</v>
      </c>
      <c r="D389" t="s">
        <v>1413</v>
      </c>
      <c r="E389" s="10">
        <v>22</v>
      </c>
      <c r="F389" t="s">
        <v>1417</v>
      </c>
      <c r="G389" t="s">
        <v>645</v>
      </c>
      <c r="H389" t="s">
        <v>649</v>
      </c>
      <c r="I389" t="s">
        <v>668</v>
      </c>
      <c r="J389" t="s">
        <v>998</v>
      </c>
      <c r="K389">
        <v>14</v>
      </c>
      <c r="L389" s="3">
        <v>80.48</v>
      </c>
      <c r="M389" s="3">
        <v>65.650000000000006</v>
      </c>
      <c r="N389" s="3" t="str">
        <f>IF(Table1_1[[#This Row],[UnitPrice]]&lt;=816.08,"low",IF(Table1_1[[#This Row],[UnitPrice]]&lt;=1640.06,"medium","high"))</f>
        <v>low</v>
      </c>
      <c r="O389" s="4">
        <v>0.17599999999999999</v>
      </c>
      <c r="P389" s="3">
        <v>757.33840000000021</v>
      </c>
      <c r="Q389" s="3">
        <v>1126.72</v>
      </c>
      <c r="R389" s="4">
        <v>-0.48773652570634202</v>
      </c>
      <c r="S389" t="s">
        <v>661</v>
      </c>
      <c r="T389" s="3">
        <v>-369.38159999999982</v>
      </c>
      <c r="U389" t="s">
        <v>1433</v>
      </c>
      <c r="V389" s="13" t="str">
        <f>TEXT(Table1_1[[#This Row],[OrderDate]],"MM YYYY")</f>
        <v>02 2024</v>
      </c>
      <c r="W389" s="11" t="str">
        <f>TEXT(Table1_1[[#This Row],[OrderDate]],"MM")</f>
        <v>02</v>
      </c>
      <c r="X389" s="11"/>
    </row>
    <row r="390" spans="1:24" x14ac:dyDescent="0.25">
      <c r="A390" t="s">
        <v>20</v>
      </c>
      <c r="B390" s="2">
        <v>45798</v>
      </c>
      <c r="C390" s="2">
        <v>45817</v>
      </c>
      <c r="D390" t="s">
        <v>1413</v>
      </c>
      <c r="E390" s="10">
        <v>19</v>
      </c>
      <c r="F390" t="s">
        <v>1417</v>
      </c>
      <c r="G390" t="s">
        <v>644</v>
      </c>
      <c r="H390" t="s">
        <v>649</v>
      </c>
      <c r="I390" t="s">
        <v>668</v>
      </c>
      <c r="J390" t="s">
        <v>684</v>
      </c>
      <c r="K390">
        <v>17</v>
      </c>
      <c r="L390" s="3">
        <v>1331.38</v>
      </c>
      <c r="M390" s="3">
        <v>2309.56</v>
      </c>
      <c r="N390" s="3" t="str">
        <f>IF(Table1_1[[#This Row],[UnitPrice]]&lt;=816.08,"low",IF(Table1_1[[#This Row],[UnitPrice]]&lt;=1640.06,"medium","high"))</f>
        <v>high</v>
      </c>
      <c r="O390" s="4">
        <v>0.14899999999999999</v>
      </c>
      <c r="P390" s="3">
        <v>33412.404519999996</v>
      </c>
      <c r="Q390" s="3">
        <v>22633.460000000003</v>
      </c>
      <c r="R390" s="4">
        <v>0.32260307735553501</v>
      </c>
      <c r="S390" t="s">
        <v>661</v>
      </c>
      <c r="T390" s="3">
        <v>10778.944519999994</v>
      </c>
      <c r="U390" t="s">
        <v>1431</v>
      </c>
      <c r="V390" s="13" t="str">
        <f>TEXT(Table1_1[[#This Row],[OrderDate]],"MM YYYY")</f>
        <v>05 2025</v>
      </c>
      <c r="W390" s="11" t="str">
        <f>TEXT(Table1_1[[#This Row],[OrderDate]],"MM")</f>
        <v>05</v>
      </c>
      <c r="X390" s="11"/>
    </row>
    <row r="391" spans="1:24" x14ac:dyDescent="0.25">
      <c r="A391" t="s">
        <v>440</v>
      </c>
      <c r="B391" s="2">
        <v>45597</v>
      </c>
      <c r="C391" s="2">
        <v>45608</v>
      </c>
      <c r="D391" t="s">
        <v>1413</v>
      </c>
      <c r="E391" s="10">
        <v>11</v>
      </c>
      <c r="F391" t="s">
        <v>1410</v>
      </c>
      <c r="G391" t="s">
        <v>645</v>
      </c>
      <c r="H391" t="s">
        <v>649</v>
      </c>
      <c r="I391" t="s">
        <v>669</v>
      </c>
      <c r="J391" t="s">
        <v>1104</v>
      </c>
      <c r="K391">
        <v>11</v>
      </c>
      <c r="L391" s="3">
        <v>599.84</v>
      </c>
      <c r="M391" s="3">
        <v>1330.85</v>
      </c>
      <c r="N391" s="3" t="str">
        <f>IF(Table1_1[[#This Row],[UnitPrice]]&lt;=816.08,"low",IF(Table1_1[[#This Row],[UnitPrice]]&lt;=1640.06,"medium","high"))</f>
        <v>medium</v>
      </c>
      <c r="O391" s="4">
        <v>0.115</v>
      </c>
      <c r="P391" s="3">
        <v>12955.824749999998</v>
      </c>
      <c r="Q391" s="3">
        <v>6598.2400000000007</v>
      </c>
      <c r="R391" s="4">
        <v>0.49071246892252102</v>
      </c>
      <c r="S391" t="s">
        <v>658</v>
      </c>
      <c r="T391" s="3">
        <v>6357.5847499999973</v>
      </c>
      <c r="U391" t="s">
        <v>1440</v>
      </c>
      <c r="V391" s="13" t="str">
        <f>TEXT(Table1_1[[#This Row],[OrderDate]],"MM YYYY")</f>
        <v>11 2024</v>
      </c>
      <c r="W391" s="11" t="str">
        <f>TEXT(Table1_1[[#This Row],[OrderDate]],"MM")</f>
        <v>11</v>
      </c>
      <c r="X391" s="11"/>
    </row>
    <row r="392" spans="1:24" x14ac:dyDescent="0.25">
      <c r="A392" t="s">
        <v>207</v>
      </c>
      <c r="B392" s="2">
        <v>45333</v>
      </c>
      <c r="C392" s="2">
        <v>45354</v>
      </c>
      <c r="D392" t="s">
        <v>1413</v>
      </c>
      <c r="E392" s="10">
        <v>21</v>
      </c>
      <c r="F392" t="s">
        <v>1383</v>
      </c>
      <c r="G392" t="s">
        <v>647</v>
      </c>
      <c r="H392" t="s">
        <v>649</v>
      </c>
      <c r="I392" t="s">
        <v>671</v>
      </c>
      <c r="J392" t="s">
        <v>872</v>
      </c>
      <c r="K392">
        <v>11</v>
      </c>
      <c r="L392" s="3">
        <v>516.86</v>
      </c>
      <c r="M392" s="3">
        <v>852.54</v>
      </c>
      <c r="N392" s="3" t="str">
        <f>IF(Table1_1[[#This Row],[UnitPrice]]&lt;=816.08,"low",IF(Table1_1[[#This Row],[UnitPrice]]&lt;=1640.06,"medium","high"))</f>
        <v>medium</v>
      </c>
      <c r="O392" s="4">
        <v>5.0999999999999997E-2</v>
      </c>
      <c r="P392" s="3">
        <v>8899.6650599999975</v>
      </c>
      <c r="Q392" s="3">
        <v>5685.46</v>
      </c>
      <c r="R392" s="4">
        <v>0.36116022775355999</v>
      </c>
      <c r="S392" t="s">
        <v>658</v>
      </c>
      <c r="T392" s="3">
        <v>3214.2050599999975</v>
      </c>
      <c r="U392" t="s">
        <v>1433</v>
      </c>
      <c r="V392" s="13" t="str">
        <f>TEXT(Table1_1[[#This Row],[OrderDate]],"MM YYYY")</f>
        <v>02 2024</v>
      </c>
      <c r="W392" s="11" t="str">
        <f>TEXT(Table1_1[[#This Row],[OrderDate]],"MM")</f>
        <v>02</v>
      </c>
      <c r="X392" s="11"/>
    </row>
    <row r="393" spans="1:24" x14ac:dyDescent="0.25">
      <c r="A393" t="s">
        <v>309</v>
      </c>
      <c r="B393" s="2">
        <v>45679</v>
      </c>
      <c r="C393" s="2">
        <v>45679</v>
      </c>
      <c r="D393" t="s">
        <v>1413</v>
      </c>
      <c r="E393" s="10">
        <v>0</v>
      </c>
      <c r="F393" t="s">
        <v>1396</v>
      </c>
      <c r="G393" t="s">
        <v>646</v>
      </c>
      <c r="H393" t="s">
        <v>649</v>
      </c>
      <c r="I393" t="s">
        <v>674</v>
      </c>
      <c r="J393" t="s">
        <v>974</v>
      </c>
      <c r="K393">
        <v>5</v>
      </c>
      <c r="L393" s="3">
        <v>591.72</v>
      </c>
      <c r="M393" s="3">
        <v>577.24</v>
      </c>
      <c r="N393" s="3" t="str">
        <f>IF(Table1_1[[#This Row],[UnitPrice]]&lt;=816.08,"low",IF(Table1_1[[#This Row],[UnitPrice]]&lt;=1640.06,"medium","high"))</f>
        <v>low</v>
      </c>
      <c r="O393" s="4">
        <v>0</v>
      </c>
      <c r="P393" s="3">
        <v>2886.2</v>
      </c>
      <c r="Q393" s="3">
        <v>2958.6000000000004</v>
      </c>
      <c r="R393" s="4">
        <v>-2.50848867022384E-2</v>
      </c>
      <c r="S393" t="s">
        <v>658</v>
      </c>
      <c r="T393" s="3">
        <v>-72.400000000000546</v>
      </c>
      <c r="U393" t="s">
        <v>1434</v>
      </c>
      <c r="V393" s="13" t="str">
        <f>TEXT(Table1_1[[#This Row],[OrderDate]],"MM YYYY")</f>
        <v>01 2025</v>
      </c>
      <c r="W393" s="11" t="str">
        <f>TEXT(Table1_1[[#This Row],[OrderDate]],"MM")</f>
        <v>01</v>
      </c>
      <c r="X393" s="11"/>
    </row>
    <row r="394" spans="1:24" x14ac:dyDescent="0.25">
      <c r="A394" t="s">
        <v>47</v>
      </c>
      <c r="B394" s="2">
        <v>45358</v>
      </c>
      <c r="C394" s="2">
        <v>45376</v>
      </c>
      <c r="D394" t="s">
        <v>1413</v>
      </c>
      <c r="E394" s="10">
        <v>18</v>
      </c>
      <c r="F394" t="s">
        <v>1400</v>
      </c>
      <c r="G394" t="s">
        <v>642</v>
      </c>
      <c r="H394" t="s">
        <v>649</v>
      </c>
      <c r="I394" t="s">
        <v>668</v>
      </c>
      <c r="J394" t="s">
        <v>711</v>
      </c>
      <c r="K394">
        <v>35</v>
      </c>
      <c r="L394" s="3">
        <v>712.84</v>
      </c>
      <c r="M394" s="3">
        <v>927.51</v>
      </c>
      <c r="N394" s="3" t="str">
        <f>IF(Table1_1[[#This Row],[UnitPrice]]&lt;=816.08,"low",IF(Table1_1[[#This Row],[UnitPrice]]&lt;=1640.06,"medium","high"))</f>
        <v>medium</v>
      </c>
      <c r="O394" s="4">
        <v>0.24299999999999999</v>
      </c>
      <c r="P394" s="3">
        <v>24574.37745</v>
      </c>
      <c r="Q394" s="3">
        <v>24949.4</v>
      </c>
      <c r="R394" s="4">
        <v>-1.5260714163076399E-2</v>
      </c>
      <c r="S394" t="s">
        <v>658</v>
      </c>
      <c r="T394" s="3">
        <v>-375.0225500000015</v>
      </c>
      <c r="U394" t="s">
        <v>1433</v>
      </c>
      <c r="V394" s="13" t="str">
        <f>TEXT(Table1_1[[#This Row],[OrderDate]],"MM YYYY")</f>
        <v>03 2024</v>
      </c>
      <c r="W394" s="11" t="str">
        <f>TEXT(Table1_1[[#This Row],[OrderDate]],"MM")</f>
        <v>03</v>
      </c>
      <c r="X394" s="11"/>
    </row>
    <row r="395" spans="1:24" x14ac:dyDescent="0.25">
      <c r="A395" t="s">
        <v>384</v>
      </c>
      <c r="B395" s="2">
        <v>45429</v>
      </c>
      <c r="C395" s="2">
        <v>45439</v>
      </c>
      <c r="D395" t="s">
        <v>1413</v>
      </c>
      <c r="E395" s="10">
        <v>10</v>
      </c>
      <c r="F395" t="s">
        <v>1420</v>
      </c>
      <c r="G395" t="s">
        <v>644</v>
      </c>
      <c r="H395" t="s">
        <v>649</v>
      </c>
      <c r="I395" t="s">
        <v>671</v>
      </c>
      <c r="J395" t="s">
        <v>1049</v>
      </c>
      <c r="K395">
        <v>9</v>
      </c>
      <c r="L395" s="3">
        <v>1484.23</v>
      </c>
      <c r="M395" s="3">
        <v>3472.81</v>
      </c>
      <c r="N395" s="3" t="str">
        <f>IF(Table1_1[[#This Row],[UnitPrice]]&lt;=816.08,"low",IF(Table1_1[[#This Row],[UnitPrice]]&lt;=1640.06,"medium","high"))</f>
        <v>high</v>
      </c>
      <c r="O395" s="4">
        <v>0.25600000000000001</v>
      </c>
      <c r="P395" s="3">
        <v>23253.93576</v>
      </c>
      <c r="Q395" s="3">
        <v>13358.07</v>
      </c>
      <c r="R395" s="4">
        <v>0.42555659661803402</v>
      </c>
      <c r="S395" t="s">
        <v>653</v>
      </c>
      <c r="T395" s="3">
        <v>9895.8657600000006</v>
      </c>
      <c r="U395" t="s">
        <v>1436</v>
      </c>
      <c r="V395" s="13" t="str">
        <f>TEXT(Table1_1[[#This Row],[OrderDate]],"MM YYYY")</f>
        <v>05 2024</v>
      </c>
      <c r="W395" s="11" t="str">
        <f>TEXT(Table1_1[[#This Row],[OrderDate]],"MM")</f>
        <v>05</v>
      </c>
      <c r="X395" s="11"/>
    </row>
    <row r="396" spans="1:24" x14ac:dyDescent="0.25">
      <c r="A396" t="s">
        <v>144</v>
      </c>
      <c r="B396" s="2">
        <v>45666</v>
      </c>
      <c r="C396" s="2">
        <v>45672</v>
      </c>
      <c r="D396" t="s">
        <v>1413</v>
      </c>
      <c r="E396" s="10">
        <v>6</v>
      </c>
      <c r="F396" t="s">
        <v>1411</v>
      </c>
      <c r="G396" t="s">
        <v>643</v>
      </c>
      <c r="H396" t="s">
        <v>649</v>
      </c>
      <c r="I396" t="s">
        <v>671</v>
      </c>
      <c r="J396" t="s">
        <v>808</v>
      </c>
      <c r="K396">
        <v>8</v>
      </c>
      <c r="L396" s="3">
        <v>304.77999999999997</v>
      </c>
      <c r="M396" s="3">
        <v>537.27</v>
      </c>
      <c r="N396" s="3" t="str">
        <f>IF(Table1_1[[#This Row],[UnitPrice]]&lt;=816.08,"low",IF(Table1_1[[#This Row],[UnitPrice]]&lt;=1640.06,"medium","high"))</f>
        <v>low</v>
      </c>
      <c r="O396" s="4">
        <v>0.187</v>
      </c>
      <c r="P396" s="3">
        <v>3494.4040799999998</v>
      </c>
      <c r="Q396" s="3">
        <v>2438.2399999999998</v>
      </c>
      <c r="R396" s="4">
        <v>0.30224440443075501</v>
      </c>
      <c r="S396" t="s">
        <v>653</v>
      </c>
      <c r="T396" s="3">
        <v>1056.16408</v>
      </c>
      <c r="U396" t="s">
        <v>1434</v>
      </c>
      <c r="V396" s="13" t="str">
        <f>TEXT(Table1_1[[#This Row],[OrderDate]],"MM YYYY")</f>
        <v>01 2025</v>
      </c>
      <c r="W396" s="11" t="str">
        <f>TEXT(Table1_1[[#This Row],[OrderDate]],"MM")</f>
        <v>01</v>
      </c>
      <c r="X396" s="11"/>
    </row>
    <row r="397" spans="1:24" x14ac:dyDescent="0.25">
      <c r="A397" t="s">
        <v>241</v>
      </c>
      <c r="B397" s="2">
        <v>45771</v>
      </c>
      <c r="C397" s="2">
        <v>45783</v>
      </c>
      <c r="D397" t="s">
        <v>1413</v>
      </c>
      <c r="E397" s="10">
        <v>12</v>
      </c>
      <c r="F397" t="s">
        <v>1416</v>
      </c>
      <c r="G397" t="s">
        <v>645</v>
      </c>
      <c r="H397" t="s">
        <v>649</v>
      </c>
      <c r="I397" t="s">
        <v>671</v>
      </c>
      <c r="J397" t="s">
        <v>906</v>
      </c>
      <c r="K397">
        <v>19</v>
      </c>
      <c r="L397" s="3">
        <v>394.13</v>
      </c>
      <c r="M397" s="3">
        <v>932.29</v>
      </c>
      <c r="N397" s="3" t="str">
        <f>IF(Table1_1[[#This Row],[UnitPrice]]&lt;=816.08,"low",IF(Table1_1[[#This Row],[UnitPrice]]&lt;=1640.06,"medium","high"))</f>
        <v>medium</v>
      </c>
      <c r="O397" s="4">
        <v>0.109</v>
      </c>
      <c r="P397" s="3">
        <v>15782.73741</v>
      </c>
      <c r="Q397" s="3">
        <v>7488.47</v>
      </c>
      <c r="R397" s="4">
        <v>0.52552780893032702</v>
      </c>
      <c r="S397" t="s">
        <v>653</v>
      </c>
      <c r="T397" s="3">
        <v>8294.2674100000004</v>
      </c>
      <c r="U397" t="s">
        <v>1431</v>
      </c>
      <c r="V397" s="13" t="str">
        <f>TEXT(Table1_1[[#This Row],[OrderDate]],"MM YYYY")</f>
        <v>04 2025</v>
      </c>
      <c r="W397" s="11" t="str">
        <f>TEXT(Table1_1[[#This Row],[OrderDate]],"MM")</f>
        <v>04</v>
      </c>
      <c r="X397" s="11"/>
    </row>
    <row r="398" spans="1:24" x14ac:dyDescent="0.25">
      <c r="A398" t="s">
        <v>148</v>
      </c>
      <c r="B398" s="2">
        <v>45016</v>
      </c>
      <c r="C398" s="2">
        <v>45028</v>
      </c>
      <c r="D398" t="s">
        <v>1413</v>
      </c>
      <c r="E398" s="10">
        <v>12</v>
      </c>
      <c r="F398" t="s">
        <v>1393</v>
      </c>
      <c r="G398" t="s">
        <v>646</v>
      </c>
      <c r="H398" t="s">
        <v>649</v>
      </c>
      <c r="I398" t="s">
        <v>671</v>
      </c>
      <c r="J398" t="s">
        <v>812</v>
      </c>
      <c r="K398">
        <v>20</v>
      </c>
      <c r="L398" s="3">
        <v>304.22000000000003</v>
      </c>
      <c r="M398" s="3">
        <v>393.31</v>
      </c>
      <c r="N398" s="3" t="str">
        <f>IF(Table1_1[[#This Row],[UnitPrice]]&lt;=816.08,"low",IF(Table1_1[[#This Row],[UnitPrice]]&lt;=1640.06,"medium","high"))</f>
        <v>low</v>
      </c>
      <c r="O398" s="4">
        <v>0.26500000000000001</v>
      </c>
      <c r="P398" s="3">
        <v>5781.6570000000002</v>
      </c>
      <c r="Q398" s="3">
        <v>6084.4000000000005</v>
      </c>
      <c r="R398" s="4">
        <v>-5.2362670424758902E-2</v>
      </c>
      <c r="S398" t="s">
        <v>653</v>
      </c>
      <c r="T398" s="3">
        <v>-302.74300000000039</v>
      </c>
      <c r="U398" t="s">
        <v>1432</v>
      </c>
      <c r="V398" s="13" t="str">
        <f>TEXT(Table1_1[[#This Row],[OrderDate]],"MM YYYY")</f>
        <v>03 2023</v>
      </c>
      <c r="W398" s="11" t="str">
        <f>TEXT(Table1_1[[#This Row],[OrderDate]],"MM")</f>
        <v>03</v>
      </c>
      <c r="X398" s="11"/>
    </row>
    <row r="399" spans="1:24" x14ac:dyDescent="0.25">
      <c r="A399" t="s">
        <v>579</v>
      </c>
      <c r="B399" s="2">
        <v>45342</v>
      </c>
      <c r="C399" s="2">
        <v>45342</v>
      </c>
      <c r="D399" t="s">
        <v>1413</v>
      </c>
      <c r="E399" s="10">
        <v>0</v>
      </c>
      <c r="F399" t="s">
        <v>1428</v>
      </c>
      <c r="G399" t="s">
        <v>647</v>
      </c>
      <c r="H399" t="s">
        <v>649</v>
      </c>
      <c r="I399" t="s">
        <v>670</v>
      </c>
      <c r="J399" t="s">
        <v>1242</v>
      </c>
      <c r="K399">
        <v>17</v>
      </c>
      <c r="L399" s="3">
        <v>1407.05</v>
      </c>
      <c r="M399" s="3">
        <v>2858.93</v>
      </c>
      <c r="N399" s="3" t="str">
        <f>IF(Table1_1[[#This Row],[UnitPrice]]&lt;=816.08,"low",IF(Table1_1[[#This Row],[UnitPrice]]&lt;=1640.06,"medium","high"))</f>
        <v>high</v>
      </c>
      <c r="O399" s="4">
        <v>0</v>
      </c>
      <c r="P399" s="3">
        <v>48601.81</v>
      </c>
      <c r="Q399" s="3">
        <v>23919.85</v>
      </c>
      <c r="R399" s="4">
        <v>0.507840345863662</v>
      </c>
      <c r="S399" t="s">
        <v>653</v>
      </c>
      <c r="T399" s="3">
        <v>24681.96</v>
      </c>
      <c r="U399" t="s">
        <v>1433</v>
      </c>
      <c r="V399" s="13" t="str">
        <f>TEXT(Table1_1[[#This Row],[OrderDate]],"MM YYYY")</f>
        <v>02 2024</v>
      </c>
      <c r="W399" s="11" t="str">
        <f>TEXT(Table1_1[[#This Row],[OrderDate]],"MM")</f>
        <v>02</v>
      </c>
      <c r="X399" s="11"/>
    </row>
    <row r="400" spans="1:24" x14ac:dyDescent="0.25">
      <c r="A400" t="s">
        <v>509</v>
      </c>
      <c r="B400" s="2">
        <v>45908</v>
      </c>
      <c r="C400" s="2">
        <v>45935</v>
      </c>
      <c r="D400" t="s">
        <v>1413</v>
      </c>
      <c r="E400" s="10">
        <v>27</v>
      </c>
      <c r="F400" t="s">
        <v>1421</v>
      </c>
      <c r="G400" t="s">
        <v>643</v>
      </c>
      <c r="H400" t="s">
        <v>649</v>
      </c>
      <c r="I400" t="s">
        <v>673</v>
      </c>
      <c r="J400" t="s">
        <v>1173</v>
      </c>
      <c r="K400">
        <v>5</v>
      </c>
      <c r="L400" s="3">
        <v>660.78</v>
      </c>
      <c r="M400" s="3">
        <v>1630.39</v>
      </c>
      <c r="N400" s="3" t="str">
        <f>IF(Table1_1[[#This Row],[UnitPrice]]&lt;=816.08,"low",IF(Table1_1[[#This Row],[UnitPrice]]&lt;=1640.06,"medium","high"))</f>
        <v>medium</v>
      </c>
      <c r="O400" s="4">
        <v>0.218</v>
      </c>
      <c r="P400" s="3">
        <v>6374.8249000000005</v>
      </c>
      <c r="Q400" s="3">
        <v>3303.8999999999996</v>
      </c>
      <c r="R400" s="4">
        <v>0.48172694123724102</v>
      </c>
      <c r="S400" t="s">
        <v>653</v>
      </c>
      <c r="T400" s="3">
        <v>3070.9249000000009</v>
      </c>
      <c r="U400" t="s">
        <v>1438</v>
      </c>
      <c r="V400" s="13" t="str">
        <f>TEXT(Table1_1[[#This Row],[OrderDate]],"MM YYYY")</f>
        <v>09 2025</v>
      </c>
      <c r="W400" s="11" t="str">
        <f>TEXT(Table1_1[[#This Row],[OrderDate]],"MM")</f>
        <v>09</v>
      </c>
      <c r="X400" s="11"/>
    </row>
    <row r="401" spans="1:24" x14ac:dyDescent="0.25">
      <c r="A401" t="s">
        <v>455</v>
      </c>
      <c r="B401" s="2">
        <v>45090</v>
      </c>
      <c r="C401" s="2">
        <v>45101</v>
      </c>
      <c r="D401" t="s">
        <v>1413</v>
      </c>
      <c r="E401" s="10">
        <v>11</v>
      </c>
      <c r="F401" t="s">
        <v>1414</v>
      </c>
      <c r="G401" t="s">
        <v>642</v>
      </c>
      <c r="H401" t="s">
        <v>649</v>
      </c>
      <c r="I401" t="s">
        <v>669</v>
      </c>
      <c r="J401" t="s">
        <v>1119</v>
      </c>
      <c r="K401">
        <v>9</v>
      </c>
      <c r="L401" s="3">
        <v>247.07</v>
      </c>
      <c r="M401" s="3">
        <v>495.19</v>
      </c>
      <c r="N401" s="3" t="str">
        <f>IF(Table1_1[[#This Row],[UnitPrice]]&lt;=816.08,"low",IF(Table1_1[[#This Row],[UnitPrice]]&lt;=1640.06,"medium","high"))</f>
        <v>low</v>
      </c>
      <c r="O401" s="4">
        <v>2.8000000000000001E-2</v>
      </c>
      <c r="P401" s="3">
        <v>4331.9221200000002</v>
      </c>
      <c r="Q401" s="3">
        <v>2223.63</v>
      </c>
      <c r="R401" s="4">
        <v>0.48668744764968203</v>
      </c>
      <c r="S401" t="s">
        <v>653</v>
      </c>
      <c r="T401" s="3">
        <v>2108.2921200000001</v>
      </c>
      <c r="U401" t="s">
        <v>1435</v>
      </c>
      <c r="V401" s="13" t="str">
        <f>TEXT(Table1_1[[#This Row],[OrderDate]],"MM YYYY")</f>
        <v>06 2023</v>
      </c>
      <c r="W401" s="11" t="str">
        <f>TEXT(Table1_1[[#This Row],[OrderDate]],"MM")</f>
        <v>06</v>
      </c>
      <c r="X401" s="11"/>
    </row>
    <row r="402" spans="1:24" x14ac:dyDescent="0.25">
      <c r="A402" t="s">
        <v>408</v>
      </c>
      <c r="B402" s="2">
        <v>45914</v>
      </c>
      <c r="C402" s="2">
        <v>45923</v>
      </c>
      <c r="D402" t="s">
        <v>1413</v>
      </c>
      <c r="E402" s="10">
        <v>9</v>
      </c>
      <c r="F402" t="s">
        <v>1402</v>
      </c>
      <c r="G402" t="s">
        <v>644</v>
      </c>
      <c r="H402" t="s">
        <v>649</v>
      </c>
      <c r="I402" t="s">
        <v>668</v>
      </c>
      <c r="J402" t="s">
        <v>1072</v>
      </c>
      <c r="K402">
        <v>14</v>
      </c>
      <c r="L402" s="3">
        <v>1310.3</v>
      </c>
      <c r="M402" s="3">
        <v>2875.8</v>
      </c>
      <c r="N402" s="3" t="str">
        <f>IF(Table1_1[[#This Row],[UnitPrice]]&lt;=816.08,"low",IF(Table1_1[[#This Row],[UnitPrice]]&lt;=1640.06,"medium","high"))</f>
        <v>high</v>
      </c>
      <c r="O402" s="4">
        <v>8.3000000000000004E-2</v>
      </c>
      <c r="P402" s="3">
        <v>36919.520400000009</v>
      </c>
      <c r="Q402" s="3">
        <v>18344.2</v>
      </c>
      <c r="R402" s="4">
        <v>0.50313005691157398</v>
      </c>
      <c r="S402" t="s">
        <v>667</v>
      </c>
      <c r="T402" s="3">
        <v>18575.320400000008</v>
      </c>
      <c r="U402" t="s">
        <v>1438</v>
      </c>
      <c r="V402" s="13" t="str">
        <f>TEXT(Table1_1[[#This Row],[OrderDate]],"MM YYYY")</f>
        <v>09 2025</v>
      </c>
      <c r="W402" s="11" t="str">
        <f>TEXT(Table1_1[[#This Row],[OrderDate]],"MM")</f>
        <v>09</v>
      </c>
      <c r="X402" s="11"/>
    </row>
    <row r="403" spans="1:24" x14ac:dyDescent="0.25">
      <c r="A403" t="s">
        <v>560</v>
      </c>
      <c r="B403" s="2">
        <v>45633</v>
      </c>
      <c r="C403" s="2">
        <v>45652</v>
      </c>
      <c r="D403" t="s">
        <v>1413</v>
      </c>
      <c r="E403" s="10">
        <v>19</v>
      </c>
      <c r="F403" t="s">
        <v>1399</v>
      </c>
      <c r="G403" t="s">
        <v>647</v>
      </c>
      <c r="H403" t="s">
        <v>649</v>
      </c>
      <c r="I403" t="s">
        <v>670</v>
      </c>
      <c r="J403" t="s">
        <v>1223</v>
      </c>
      <c r="K403">
        <v>19</v>
      </c>
      <c r="L403" s="3">
        <v>1035.24</v>
      </c>
      <c r="M403" s="3">
        <v>2383.41</v>
      </c>
      <c r="N403" s="3" t="str">
        <f>IF(Table1_1[[#This Row],[UnitPrice]]&lt;=816.08,"low",IF(Table1_1[[#This Row],[UnitPrice]]&lt;=1640.06,"medium","high"))</f>
        <v>high</v>
      </c>
      <c r="O403" s="4">
        <v>0.17</v>
      </c>
      <c r="P403" s="3">
        <v>37586.37569999999</v>
      </c>
      <c r="Q403" s="3">
        <v>19669.560000000001</v>
      </c>
      <c r="R403" s="4">
        <v>0.47668378145861001</v>
      </c>
      <c r="S403" t="s">
        <v>667</v>
      </c>
      <c r="T403" s="3">
        <v>17916.815699999988</v>
      </c>
      <c r="U403" t="s">
        <v>1440</v>
      </c>
      <c r="V403" s="13" t="str">
        <f>TEXT(Table1_1[[#This Row],[OrderDate]],"MM YYYY")</f>
        <v>12 2024</v>
      </c>
      <c r="W403" s="11" t="str">
        <f>TEXT(Table1_1[[#This Row],[OrderDate]],"MM")</f>
        <v>12</v>
      </c>
      <c r="X403" s="11"/>
    </row>
    <row r="404" spans="1:24" x14ac:dyDescent="0.25">
      <c r="A404" t="s">
        <v>42</v>
      </c>
      <c r="B404" s="2">
        <v>44980</v>
      </c>
      <c r="C404" s="2">
        <v>45010</v>
      </c>
      <c r="D404" t="s">
        <v>1413</v>
      </c>
      <c r="E404" s="10">
        <v>30</v>
      </c>
      <c r="F404" t="s">
        <v>1418</v>
      </c>
      <c r="G404" t="s">
        <v>647</v>
      </c>
      <c r="H404" t="s">
        <v>649</v>
      </c>
      <c r="I404" t="s">
        <v>671</v>
      </c>
      <c r="J404" t="s">
        <v>706</v>
      </c>
      <c r="K404">
        <v>16</v>
      </c>
      <c r="L404" s="3">
        <v>1242.6600000000001</v>
      </c>
      <c r="M404" s="3">
        <v>1794.07</v>
      </c>
      <c r="N404" s="3" t="str">
        <f>IF(Table1_1[[#This Row],[UnitPrice]]&lt;=816.08,"low",IF(Table1_1[[#This Row],[UnitPrice]]&lt;=1640.06,"medium","high"))</f>
        <v>high</v>
      </c>
      <c r="O404" s="4">
        <v>8.8999999999999996E-2</v>
      </c>
      <c r="P404" s="3">
        <v>26150.364320000001</v>
      </c>
      <c r="Q404" s="3">
        <v>19882.560000000001</v>
      </c>
      <c r="R404" s="4">
        <v>0.239683250424406</v>
      </c>
      <c r="S404" t="s">
        <v>667</v>
      </c>
      <c r="T404" s="3">
        <v>6267.8043199999993</v>
      </c>
      <c r="U404" t="s">
        <v>1432</v>
      </c>
      <c r="V404" s="13" t="str">
        <f>TEXT(Table1_1[[#This Row],[OrderDate]],"MM YYYY")</f>
        <v>02 2023</v>
      </c>
      <c r="W404" s="11" t="str">
        <f>TEXT(Table1_1[[#This Row],[OrderDate]],"MM")</f>
        <v>02</v>
      </c>
      <c r="X404" s="11"/>
    </row>
    <row r="405" spans="1:24" x14ac:dyDescent="0.25">
      <c r="A405" t="s">
        <v>562</v>
      </c>
      <c r="B405" s="2">
        <v>44988</v>
      </c>
      <c r="C405" s="2">
        <v>45005</v>
      </c>
      <c r="D405" t="s">
        <v>1413</v>
      </c>
      <c r="E405" s="10">
        <v>17</v>
      </c>
      <c r="F405" t="s">
        <v>1407</v>
      </c>
      <c r="G405" t="s">
        <v>646</v>
      </c>
      <c r="H405" t="s">
        <v>649</v>
      </c>
      <c r="I405" t="s">
        <v>670</v>
      </c>
      <c r="J405" t="s">
        <v>1225</v>
      </c>
      <c r="K405">
        <v>5</v>
      </c>
      <c r="L405" s="3">
        <v>1171.17</v>
      </c>
      <c r="M405" s="3">
        <v>2030.64</v>
      </c>
      <c r="N405" s="3" t="str">
        <f>IF(Table1_1[[#This Row],[UnitPrice]]&lt;=816.08,"low",IF(Table1_1[[#This Row],[UnitPrice]]&lt;=1640.06,"medium","high"))</f>
        <v>high</v>
      </c>
      <c r="O405" s="4">
        <v>0.157</v>
      </c>
      <c r="P405" s="3">
        <v>8559.1476000000002</v>
      </c>
      <c r="Q405" s="3">
        <v>5855.85</v>
      </c>
      <c r="R405" s="4">
        <v>0.31583724528830398</v>
      </c>
      <c r="S405" t="s">
        <v>667</v>
      </c>
      <c r="T405" s="3">
        <v>2703.2975999999999</v>
      </c>
      <c r="U405" t="s">
        <v>1432</v>
      </c>
      <c r="V405" s="13" t="str">
        <f>TEXT(Table1_1[[#This Row],[OrderDate]],"MM YYYY")</f>
        <v>03 2023</v>
      </c>
      <c r="W405" s="11" t="str">
        <f>TEXT(Table1_1[[#This Row],[OrderDate]],"MM")</f>
        <v>03</v>
      </c>
      <c r="X405" s="11"/>
    </row>
    <row r="406" spans="1:24" x14ac:dyDescent="0.25">
      <c r="A406" t="s">
        <v>551</v>
      </c>
      <c r="B406" s="2">
        <v>45115</v>
      </c>
      <c r="C406" s="2">
        <v>45116</v>
      </c>
      <c r="D406" t="s">
        <v>1413</v>
      </c>
      <c r="E406" s="10">
        <v>1</v>
      </c>
      <c r="F406" t="s">
        <v>1385</v>
      </c>
      <c r="G406" t="s">
        <v>645</v>
      </c>
      <c r="H406" t="s">
        <v>649</v>
      </c>
      <c r="I406" t="s">
        <v>672</v>
      </c>
      <c r="J406" t="s">
        <v>1214</v>
      </c>
      <c r="K406">
        <v>10</v>
      </c>
      <c r="L406" s="3">
        <v>1258.72</v>
      </c>
      <c r="M406" s="3">
        <v>2797.41</v>
      </c>
      <c r="N406" s="3" t="str">
        <f>IF(Table1_1[[#This Row],[UnitPrice]]&lt;=816.08,"low",IF(Table1_1[[#This Row],[UnitPrice]]&lt;=1640.06,"medium","high"))</f>
        <v>high</v>
      </c>
      <c r="O406" s="4">
        <v>0</v>
      </c>
      <c r="P406" s="3">
        <v>27974.1</v>
      </c>
      <c r="Q406" s="3">
        <v>12587.2</v>
      </c>
      <c r="R406" s="4">
        <v>0.55004093071805704</v>
      </c>
      <c r="S406" t="s">
        <v>667</v>
      </c>
      <c r="T406" s="3">
        <v>15386.899999999998</v>
      </c>
      <c r="U406" t="s">
        <v>1430</v>
      </c>
      <c r="V406" s="13" t="str">
        <f>TEXT(Table1_1[[#This Row],[OrderDate]],"MM YYYY")</f>
        <v>07 2023</v>
      </c>
      <c r="W406" s="11" t="str">
        <f>TEXT(Table1_1[[#This Row],[OrderDate]],"MM")</f>
        <v>07</v>
      </c>
      <c r="X406" s="11"/>
    </row>
    <row r="407" spans="1:24" x14ac:dyDescent="0.25">
      <c r="A407" t="s">
        <v>535</v>
      </c>
      <c r="B407" s="2">
        <v>45398</v>
      </c>
      <c r="C407" s="2">
        <v>45409</v>
      </c>
      <c r="D407" t="s">
        <v>1413</v>
      </c>
      <c r="E407" s="10">
        <v>11</v>
      </c>
      <c r="F407" t="s">
        <v>1395</v>
      </c>
      <c r="G407" t="s">
        <v>647</v>
      </c>
      <c r="H407" t="s">
        <v>649</v>
      </c>
      <c r="I407" t="s">
        <v>669</v>
      </c>
      <c r="J407" t="s">
        <v>1199</v>
      </c>
      <c r="K407">
        <v>7</v>
      </c>
      <c r="L407" s="3">
        <v>401.3</v>
      </c>
      <c r="M407" s="3">
        <v>826.47</v>
      </c>
      <c r="N407" s="3" t="str">
        <f>IF(Table1_1[[#This Row],[UnitPrice]]&lt;=816.08,"low",IF(Table1_1[[#This Row],[UnitPrice]]&lt;=1640.06,"medium","high"))</f>
        <v>medium</v>
      </c>
      <c r="O407" s="4">
        <v>0.22500000000000001</v>
      </c>
      <c r="P407" s="3">
        <v>4483.5997500000003</v>
      </c>
      <c r="Q407" s="3">
        <v>2809.1</v>
      </c>
      <c r="R407" s="4">
        <v>0.37347217489696799</v>
      </c>
      <c r="S407" t="s">
        <v>667</v>
      </c>
      <c r="T407" s="3">
        <v>1674.4997500000004</v>
      </c>
      <c r="U407" t="s">
        <v>1436</v>
      </c>
      <c r="V407" s="13" t="str">
        <f>TEXT(Table1_1[[#This Row],[OrderDate]],"MM YYYY")</f>
        <v>04 2024</v>
      </c>
      <c r="W407" s="11" t="str">
        <f>TEXT(Table1_1[[#This Row],[OrderDate]],"MM")</f>
        <v>04</v>
      </c>
      <c r="X407" s="11"/>
    </row>
    <row r="408" spans="1:24" x14ac:dyDescent="0.25">
      <c r="A408" t="s">
        <v>182</v>
      </c>
      <c r="B408" s="2">
        <v>45190</v>
      </c>
      <c r="C408" s="2">
        <v>45209</v>
      </c>
      <c r="D408" t="s">
        <v>1413</v>
      </c>
      <c r="E408" s="10">
        <v>19</v>
      </c>
      <c r="F408" t="s">
        <v>1403</v>
      </c>
      <c r="G408" t="s">
        <v>643</v>
      </c>
      <c r="H408" t="s">
        <v>649</v>
      </c>
      <c r="I408" t="s">
        <v>668</v>
      </c>
      <c r="J408" t="s">
        <v>846</v>
      </c>
      <c r="K408">
        <v>14</v>
      </c>
      <c r="L408" s="3">
        <v>845.63</v>
      </c>
      <c r="M408" s="3">
        <v>2062.12</v>
      </c>
      <c r="N408" s="3" t="str">
        <f>IF(Table1_1[[#This Row],[UnitPrice]]&lt;=816.08,"low",IF(Table1_1[[#This Row],[UnitPrice]]&lt;=1640.06,"medium","high"))</f>
        <v>high</v>
      </c>
      <c r="O408" s="4">
        <v>0.13400000000000001</v>
      </c>
      <c r="P408" s="3">
        <v>25001.142879999999</v>
      </c>
      <c r="Q408" s="3">
        <v>11838.82</v>
      </c>
      <c r="R408" s="4">
        <v>0.52646884757134005</v>
      </c>
      <c r="S408" t="s">
        <v>667</v>
      </c>
      <c r="T408" s="3">
        <v>13162.32288</v>
      </c>
      <c r="U408" t="s">
        <v>1430</v>
      </c>
      <c r="V408" s="13" t="str">
        <f>TEXT(Table1_1[[#This Row],[OrderDate]],"MM YYYY")</f>
        <v>09 2023</v>
      </c>
      <c r="W408" s="11" t="str">
        <f>TEXT(Table1_1[[#This Row],[OrderDate]],"MM")</f>
        <v>09</v>
      </c>
      <c r="X408" s="11"/>
    </row>
    <row r="409" spans="1:24" x14ac:dyDescent="0.25">
      <c r="A409" t="s">
        <v>526</v>
      </c>
      <c r="B409" s="2">
        <v>45199</v>
      </c>
      <c r="C409" s="2">
        <v>45229</v>
      </c>
      <c r="D409" t="s">
        <v>1413</v>
      </c>
      <c r="E409" s="10">
        <v>30</v>
      </c>
      <c r="F409" t="s">
        <v>1403</v>
      </c>
      <c r="G409" t="s">
        <v>647</v>
      </c>
      <c r="H409" t="s">
        <v>649</v>
      </c>
      <c r="I409" t="s">
        <v>669</v>
      </c>
      <c r="J409" t="s">
        <v>1190</v>
      </c>
      <c r="K409">
        <v>18</v>
      </c>
      <c r="L409" s="3">
        <v>649.13</v>
      </c>
      <c r="M409" s="3">
        <v>975.43</v>
      </c>
      <c r="N409" s="3" t="str">
        <f>IF(Table1_1[[#This Row],[UnitPrice]]&lt;=816.08,"low",IF(Table1_1[[#This Row],[UnitPrice]]&lt;=1640.06,"medium","high"))</f>
        <v>medium</v>
      </c>
      <c r="O409" s="4">
        <v>0.157</v>
      </c>
      <c r="P409" s="3">
        <v>14801.174819999998</v>
      </c>
      <c r="Q409" s="3">
        <v>11684.34</v>
      </c>
      <c r="R409" s="4">
        <v>0.21058023149543501</v>
      </c>
      <c r="S409" t="s">
        <v>667</v>
      </c>
      <c r="T409" s="3">
        <v>3116.8348199999982</v>
      </c>
      <c r="U409" t="s">
        <v>1430</v>
      </c>
      <c r="V409" s="13" t="str">
        <f>TEXT(Table1_1[[#This Row],[OrderDate]],"MM YYYY")</f>
        <v>09 2023</v>
      </c>
      <c r="W409" s="11" t="str">
        <f>TEXT(Table1_1[[#This Row],[OrderDate]],"MM")</f>
        <v>09</v>
      </c>
      <c r="X409" s="11"/>
    </row>
    <row r="410" spans="1:24" x14ac:dyDescent="0.25">
      <c r="A410" t="s">
        <v>215</v>
      </c>
      <c r="B410" s="2">
        <v>45035</v>
      </c>
      <c r="C410" s="2">
        <v>45044</v>
      </c>
      <c r="D410" t="s">
        <v>1413</v>
      </c>
      <c r="E410" s="10">
        <v>9</v>
      </c>
      <c r="F410" t="s">
        <v>1390</v>
      </c>
      <c r="G410" t="s">
        <v>643</v>
      </c>
      <c r="H410" t="s">
        <v>649</v>
      </c>
      <c r="I410" t="s">
        <v>673</v>
      </c>
      <c r="J410" t="s">
        <v>880</v>
      </c>
      <c r="K410">
        <v>11</v>
      </c>
      <c r="L410" s="3">
        <v>1178.42</v>
      </c>
      <c r="M410" s="3">
        <v>2446.56</v>
      </c>
      <c r="N410" s="3" t="str">
        <f>IF(Table1_1[[#This Row],[UnitPrice]]&lt;=816.08,"low",IF(Table1_1[[#This Row],[UnitPrice]]&lt;=1640.06,"medium","high"))</f>
        <v>high</v>
      </c>
      <c r="O410" s="4">
        <v>2.9000000000000001E-2</v>
      </c>
      <c r="P410" s="3">
        <v>26131.70736</v>
      </c>
      <c r="Q410" s="3">
        <v>12962.62</v>
      </c>
      <c r="R410" s="4">
        <v>0.50395051416188796</v>
      </c>
      <c r="S410" t="s">
        <v>659</v>
      </c>
      <c r="T410" s="3">
        <v>13169.08736</v>
      </c>
      <c r="U410" t="s">
        <v>1435</v>
      </c>
      <c r="V410" s="13" t="str">
        <f>TEXT(Table1_1[[#This Row],[OrderDate]],"MM YYYY")</f>
        <v>04 2023</v>
      </c>
      <c r="W410" s="11" t="str">
        <f>TEXT(Table1_1[[#This Row],[OrderDate]],"MM")</f>
        <v>04</v>
      </c>
      <c r="X410" s="11"/>
    </row>
    <row r="411" spans="1:24" x14ac:dyDescent="0.25">
      <c r="A411" t="s">
        <v>479</v>
      </c>
      <c r="B411" s="2">
        <v>45739</v>
      </c>
      <c r="C411" s="2">
        <v>45749</v>
      </c>
      <c r="D411" t="s">
        <v>1413</v>
      </c>
      <c r="E411" s="10">
        <v>10</v>
      </c>
      <c r="F411" t="s">
        <v>1390</v>
      </c>
      <c r="G411" t="s">
        <v>647</v>
      </c>
      <c r="H411" t="s">
        <v>649</v>
      </c>
      <c r="I411" t="s">
        <v>669</v>
      </c>
      <c r="J411" t="s">
        <v>1143</v>
      </c>
      <c r="K411">
        <v>12</v>
      </c>
      <c r="L411" s="3">
        <v>663.61</v>
      </c>
      <c r="M411" s="3">
        <v>1002.11</v>
      </c>
      <c r="N411" s="3" t="str">
        <f>IF(Table1_1[[#This Row],[UnitPrice]]&lt;=816.08,"low",IF(Table1_1[[#This Row],[UnitPrice]]&lt;=1640.06,"medium","high"))</f>
        <v>medium</v>
      </c>
      <c r="O411" s="4">
        <v>4.5999999999999999E-2</v>
      </c>
      <c r="P411" s="3">
        <v>11472.155279999999</v>
      </c>
      <c r="Q411" s="3">
        <v>7963.32</v>
      </c>
      <c r="R411" s="4">
        <v>0.30585667595670801</v>
      </c>
      <c r="S411" t="s">
        <v>659</v>
      </c>
      <c r="T411" s="3">
        <v>3508.8352799999993</v>
      </c>
      <c r="U411" t="s">
        <v>1434</v>
      </c>
      <c r="V411" s="13" t="str">
        <f>TEXT(Table1_1[[#This Row],[OrderDate]],"MM YYYY")</f>
        <v>03 2025</v>
      </c>
      <c r="W411" s="11" t="str">
        <f>TEXT(Table1_1[[#This Row],[OrderDate]],"MM")</f>
        <v>03</v>
      </c>
      <c r="X411" s="11"/>
    </row>
    <row r="412" spans="1:24" x14ac:dyDescent="0.25">
      <c r="A412" t="s">
        <v>330</v>
      </c>
      <c r="B412" s="2">
        <v>45440</v>
      </c>
      <c r="C412" s="2">
        <v>45461</v>
      </c>
      <c r="D412" t="s">
        <v>1413</v>
      </c>
      <c r="E412" s="10">
        <v>21</v>
      </c>
      <c r="F412" t="s">
        <v>1410</v>
      </c>
      <c r="G412" t="s">
        <v>646</v>
      </c>
      <c r="H412" t="s">
        <v>649</v>
      </c>
      <c r="I412" t="s">
        <v>671</v>
      </c>
      <c r="J412" t="s">
        <v>995</v>
      </c>
      <c r="K412">
        <v>8</v>
      </c>
      <c r="L412" s="3">
        <v>986.85</v>
      </c>
      <c r="M412" s="3">
        <v>2422.1</v>
      </c>
      <c r="N412" s="3" t="str">
        <f>IF(Table1_1[[#This Row],[UnitPrice]]&lt;=816.08,"low",IF(Table1_1[[#This Row],[UnitPrice]]&lt;=1640.06,"medium","high"))</f>
        <v>high</v>
      </c>
      <c r="O412" s="4">
        <v>7.5999999999999998E-2</v>
      </c>
      <c r="P412" s="3">
        <v>17904.163199999999</v>
      </c>
      <c r="Q412" s="3">
        <v>7894.8</v>
      </c>
      <c r="R412" s="4">
        <v>0.55905227673527902</v>
      </c>
      <c r="S412" t="s">
        <v>659</v>
      </c>
      <c r="T412" s="3">
        <v>10009.3632</v>
      </c>
      <c r="U412" t="s">
        <v>1436</v>
      </c>
      <c r="V412" s="13" t="str">
        <f>TEXT(Table1_1[[#This Row],[OrderDate]],"MM YYYY")</f>
        <v>05 2024</v>
      </c>
      <c r="W412" s="11" t="str">
        <f>TEXT(Table1_1[[#This Row],[OrderDate]],"MM")</f>
        <v>05</v>
      </c>
      <c r="X412" s="11"/>
    </row>
    <row r="413" spans="1:24" x14ac:dyDescent="0.25">
      <c r="A413" t="s">
        <v>276</v>
      </c>
      <c r="B413" s="2">
        <v>45573</v>
      </c>
      <c r="C413" s="2">
        <v>45573</v>
      </c>
      <c r="D413" t="s">
        <v>1413</v>
      </c>
      <c r="E413" s="10">
        <v>0</v>
      </c>
      <c r="F413" t="s">
        <v>1399</v>
      </c>
      <c r="G413" t="s">
        <v>642</v>
      </c>
      <c r="H413" t="s">
        <v>649</v>
      </c>
      <c r="I413" t="s">
        <v>673</v>
      </c>
      <c r="J413" t="s">
        <v>941</v>
      </c>
      <c r="K413">
        <v>11</v>
      </c>
      <c r="L413" s="3">
        <v>1108.1099999999999</v>
      </c>
      <c r="M413" s="3">
        <v>2503.79</v>
      </c>
      <c r="N413" s="3" t="str">
        <f>IF(Table1_1[[#This Row],[UnitPrice]]&lt;=816.08,"low",IF(Table1_1[[#This Row],[UnitPrice]]&lt;=1640.06,"medium","high"))</f>
        <v>high</v>
      </c>
      <c r="O413" s="4">
        <v>0.184</v>
      </c>
      <c r="P413" s="3">
        <v>22474.019039999999</v>
      </c>
      <c r="Q413" s="3">
        <v>12189.21</v>
      </c>
      <c r="R413" s="4">
        <v>0.45763105485025901</v>
      </c>
      <c r="S413" t="s">
        <v>659</v>
      </c>
      <c r="T413" s="3">
        <v>10284.80904</v>
      </c>
      <c r="U413" t="s">
        <v>1440</v>
      </c>
      <c r="V413" s="13" t="str">
        <f>TEXT(Table1_1[[#This Row],[OrderDate]],"MM YYYY")</f>
        <v>10 2024</v>
      </c>
      <c r="W413" s="11" t="str">
        <f>TEXT(Table1_1[[#This Row],[OrderDate]],"MM")</f>
        <v>10</v>
      </c>
      <c r="X413" s="11"/>
    </row>
    <row r="414" spans="1:24" x14ac:dyDescent="0.25">
      <c r="A414" t="s">
        <v>345</v>
      </c>
      <c r="B414" s="2">
        <v>45391</v>
      </c>
      <c r="C414" s="2">
        <v>45400</v>
      </c>
      <c r="D414" t="s">
        <v>1413</v>
      </c>
      <c r="E414" s="10">
        <v>9</v>
      </c>
      <c r="F414" t="s">
        <v>1396</v>
      </c>
      <c r="G414" t="s">
        <v>645</v>
      </c>
      <c r="H414" t="s">
        <v>649</v>
      </c>
      <c r="I414" t="s">
        <v>669</v>
      </c>
      <c r="J414" t="s">
        <v>1010</v>
      </c>
      <c r="K414">
        <v>2</v>
      </c>
      <c r="L414" s="3">
        <v>1288.8499999999999</v>
      </c>
      <c r="M414" s="3">
        <v>2751.84</v>
      </c>
      <c r="N414" s="3" t="str">
        <f>IF(Table1_1[[#This Row],[UnitPrice]]&lt;=816.08,"low",IF(Table1_1[[#This Row],[UnitPrice]]&lt;=1640.06,"medium","high"))</f>
        <v>high</v>
      </c>
      <c r="O414" s="4">
        <v>0.158</v>
      </c>
      <c r="P414" s="3">
        <v>4634.0985600000004</v>
      </c>
      <c r="Q414" s="3">
        <v>2577.6999999999998</v>
      </c>
      <c r="R414" s="4">
        <v>0.44375373837538801</v>
      </c>
      <c r="S414" t="s">
        <v>659</v>
      </c>
      <c r="T414" s="3">
        <v>2056.3985600000005</v>
      </c>
      <c r="U414" t="s">
        <v>1436</v>
      </c>
      <c r="V414" s="13" t="str">
        <f>TEXT(Table1_1[[#This Row],[OrderDate]],"MM YYYY")</f>
        <v>04 2024</v>
      </c>
      <c r="W414" s="11" t="str">
        <f>TEXT(Table1_1[[#This Row],[OrderDate]],"MM")</f>
        <v>04</v>
      </c>
      <c r="X414" s="11"/>
    </row>
    <row r="415" spans="1:24" x14ac:dyDescent="0.25">
      <c r="A415" t="s">
        <v>610</v>
      </c>
      <c r="B415" s="2">
        <v>45360</v>
      </c>
      <c r="C415" s="2">
        <v>45373</v>
      </c>
      <c r="D415" t="s">
        <v>1413</v>
      </c>
      <c r="E415" s="10">
        <v>13</v>
      </c>
      <c r="F415" t="s">
        <v>1406</v>
      </c>
      <c r="G415" t="s">
        <v>645</v>
      </c>
      <c r="H415" t="s">
        <v>649</v>
      </c>
      <c r="I415" t="s">
        <v>672</v>
      </c>
      <c r="J415" t="s">
        <v>1273</v>
      </c>
      <c r="K415">
        <v>7</v>
      </c>
      <c r="L415" s="3">
        <v>985.45</v>
      </c>
      <c r="M415" s="3">
        <v>1802.44</v>
      </c>
      <c r="N415" s="3" t="str">
        <f>IF(Table1_1[[#This Row],[UnitPrice]]&lt;=816.08,"low",IF(Table1_1[[#This Row],[UnitPrice]]&lt;=1640.06,"medium","high"))</f>
        <v>high</v>
      </c>
      <c r="O415" s="4">
        <v>8.9999999999999993E-3</v>
      </c>
      <c r="P415" s="3">
        <v>12503.52628</v>
      </c>
      <c r="Q415" s="3">
        <v>6898.1500000000005</v>
      </c>
      <c r="R415" s="4">
        <v>0.44830363486867503</v>
      </c>
      <c r="S415" t="s">
        <v>659</v>
      </c>
      <c r="T415" s="3">
        <v>5605.3762799999995</v>
      </c>
      <c r="U415" t="s">
        <v>1433</v>
      </c>
      <c r="V415" s="13" t="str">
        <f>TEXT(Table1_1[[#This Row],[OrderDate]],"MM YYYY")</f>
        <v>03 2024</v>
      </c>
      <c r="W415" s="11" t="str">
        <f>TEXT(Table1_1[[#This Row],[OrderDate]],"MM")</f>
        <v>03</v>
      </c>
      <c r="X415" s="11"/>
    </row>
    <row r="416" spans="1:24" x14ac:dyDescent="0.25">
      <c r="A416" t="s">
        <v>172</v>
      </c>
      <c r="B416" s="2">
        <v>45595</v>
      </c>
      <c r="C416" s="2">
        <v>45620</v>
      </c>
      <c r="D416" t="s">
        <v>1413</v>
      </c>
      <c r="E416" s="10">
        <v>25</v>
      </c>
      <c r="F416" t="s">
        <v>1394</v>
      </c>
      <c r="G416" t="s">
        <v>646</v>
      </c>
      <c r="H416" t="s">
        <v>649</v>
      </c>
      <c r="I416" t="s">
        <v>668</v>
      </c>
      <c r="J416" t="s">
        <v>836</v>
      </c>
      <c r="K416">
        <v>11</v>
      </c>
      <c r="L416" s="3">
        <v>811.05</v>
      </c>
      <c r="M416" s="3">
        <v>1217.71</v>
      </c>
      <c r="N416" s="3" t="str">
        <f>IF(Table1_1[[#This Row],[UnitPrice]]&lt;=816.08,"low",IF(Table1_1[[#This Row],[UnitPrice]]&lt;=1640.06,"medium","high"))</f>
        <v>medium</v>
      </c>
      <c r="O416" s="4">
        <v>7.1999999999999995E-2</v>
      </c>
      <c r="P416" s="3">
        <v>12430.383680000003</v>
      </c>
      <c r="Q416" s="3">
        <v>8921.5499999999993</v>
      </c>
      <c r="R416" s="4">
        <v>0.28227879125288602</v>
      </c>
      <c r="S416" t="s">
        <v>659</v>
      </c>
      <c r="T416" s="3">
        <v>3508.8336800000034</v>
      </c>
      <c r="U416" t="s">
        <v>1440</v>
      </c>
      <c r="V416" s="13" t="str">
        <f>TEXT(Table1_1[[#This Row],[OrderDate]],"MM YYYY")</f>
        <v>10 2024</v>
      </c>
      <c r="W416" s="11" t="str">
        <f>TEXT(Table1_1[[#This Row],[OrderDate]],"MM")</f>
        <v>10</v>
      </c>
      <c r="X416" s="11"/>
    </row>
    <row r="417" spans="1:24" x14ac:dyDescent="0.25">
      <c r="A417" t="s">
        <v>454</v>
      </c>
      <c r="B417" s="2">
        <v>45560</v>
      </c>
      <c r="C417" s="2">
        <v>45568</v>
      </c>
      <c r="D417" t="s">
        <v>1413</v>
      </c>
      <c r="E417" s="10">
        <v>8</v>
      </c>
      <c r="F417" t="s">
        <v>1414</v>
      </c>
      <c r="G417" t="s">
        <v>645</v>
      </c>
      <c r="H417" t="s">
        <v>649</v>
      </c>
      <c r="I417" t="s">
        <v>669</v>
      </c>
      <c r="J417" t="s">
        <v>1118</v>
      </c>
      <c r="K417">
        <v>7</v>
      </c>
      <c r="L417" s="3">
        <v>558.19000000000005</v>
      </c>
      <c r="M417" s="3">
        <v>1031.6400000000001</v>
      </c>
      <c r="N417" s="3" t="str">
        <f>IF(Table1_1[[#This Row],[UnitPrice]]&lt;=816.08,"low",IF(Table1_1[[#This Row],[UnitPrice]]&lt;=1640.06,"medium","high"))</f>
        <v>medium</v>
      </c>
      <c r="O417" s="4">
        <v>0</v>
      </c>
      <c r="P417" s="3">
        <v>7221.4800000000005</v>
      </c>
      <c r="Q417" s="3">
        <v>3907.3300000000004</v>
      </c>
      <c r="R417" s="4">
        <v>0.458929471521073</v>
      </c>
      <c r="S417" t="s">
        <v>659</v>
      </c>
      <c r="T417" s="3">
        <v>3314.15</v>
      </c>
      <c r="U417" t="s">
        <v>1437</v>
      </c>
      <c r="V417" s="13" t="str">
        <f>TEXT(Table1_1[[#This Row],[OrderDate]],"MM YYYY")</f>
        <v>09 2024</v>
      </c>
      <c r="W417" s="11" t="str">
        <f>TEXT(Table1_1[[#This Row],[OrderDate]],"MM")</f>
        <v>09</v>
      </c>
      <c r="X417" s="11"/>
    </row>
    <row r="418" spans="1:24" x14ac:dyDescent="0.25">
      <c r="A418" t="s">
        <v>251</v>
      </c>
      <c r="B418" s="2">
        <v>45793</v>
      </c>
      <c r="C418" s="2">
        <v>45804</v>
      </c>
      <c r="D418" t="s">
        <v>1413</v>
      </c>
      <c r="E418" s="10">
        <v>11</v>
      </c>
      <c r="F418" t="s">
        <v>1411</v>
      </c>
      <c r="G418" t="s">
        <v>647</v>
      </c>
      <c r="H418" t="s">
        <v>649</v>
      </c>
      <c r="I418" t="s">
        <v>671</v>
      </c>
      <c r="J418" t="s">
        <v>916</v>
      </c>
      <c r="K418">
        <v>16</v>
      </c>
      <c r="L418" s="3">
        <v>918.12</v>
      </c>
      <c r="M418" s="3">
        <v>1337.69</v>
      </c>
      <c r="N418" s="3" t="str">
        <f>IF(Table1_1[[#This Row],[UnitPrice]]&lt;=816.08,"low",IF(Table1_1[[#This Row],[UnitPrice]]&lt;=1640.06,"medium","high"))</f>
        <v>medium</v>
      </c>
      <c r="O418" s="4">
        <v>9.5000000000000001E-2</v>
      </c>
      <c r="P418" s="3">
        <v>19369.751200000002</v>
      </c>
      <c r="Q418" s="3">
        <v>14689.92</v>
      </c>
      <c r="R418" s="4">
        <v>0.241605127070502</v>
      </c>
      <c r="S418" t="s">
        <v>662</v>
      </c>
      <c r="T418" s="3">
        <v>4679.8312000000024</v>
      </c>
      <c r="U418" t="s">
        <v>1431</v>
      </c>
      <c r="V418" s="13" t="str">
        <f>TEXT(Table1_1[[#This Row],[OrderDate]],"MM YYYY")</f>
        <v>05 2025</v>
      </c>
      <c r="W418" s="11" t="str">
        <f>TEXT(Table1_1[[#This Row],[OrderDate]],"MM")</f>
        <v>05</v>
      </c>
      <c r="X418" s="11"/>
    </row>
    <row r="419" spans="1:24" x14ac:dyDescent="0.25">
      <c r="A419" t="s">
        <v>289</v>
      </c>
      <c r="B419" s="2">
        <v>45229</v>
      </c>
      <c r="C419" s="2">
        <v>45244</v>
      </c>
      <c r="D419" t="s">
        <v>1413</v>
      </c>
      <c r="E419" s="10">
        <v>15</v>
      </c>
      <c r="F419" t="s">
        <v>1388</v>
      </c>
      <c r="G419" t="s">
        <v>642</v>
      </c>
      <c r="H419" t="s">
        <v>649</v>
      </c>
      <c r="I419" t="s">
        <v>672</v>
      </c>
      <c r="J419" t="s">
        <v>954</v>
      </c>
      <c r="K419">
        <v>11</v>
      </c>
      <c r="L419" s="3">
        <v>953.46</v>
      </c>
      <c r="M419" s="3">
        <v>2066.75</v>
      </c>
      <c r="N419" s="3" t="str">
        <f>IF(Table1_1[[#This Row],[UnitPrice]]&lt;=816.08,"low",IF(Table1_1[[#This Row],[UnitPrice]]&lt;=1640.06,"medium","high"))</f>
        <v>high</v>
      </c>
      <c r="O419" s="4">
        <v>0.13800000000000001</v>
      </c>
      <c r="P419" s="3">
        <v>19596.923500000001</v>
      </c>
      <c r="Q419" s="3">
        <v>10488.060000000001</v>
      </c>
      <c r="R419" s="4">
        <v>0.46481089238318402</v>
      </c>
      <c r="S419" t="s">
        <v>662</v>
      </c>
      <c r="T419" s="3">
        <v>9108.8634999999995</v>
      </c>
      <c r="U419" t="s">
        <v>1439</v>
      </c>
      <c r="V419" s="13" t="str">
        <f>TEXT(Table1_1[[#This Row],[OrderDate]],"MM YYYY")</f>
        <v>10 2023</v>
      </c>
      <c r="W419" s="11" t="str">
        <f>TEXT(Table1_1[[#This Row],[OrderDate]],"MM")</f>
        <v>10</v>
      </c>
      <c r="X419" s="11"/>
    </row>
    <row r="420" spans="1:24" x14ac:dyDescent="0.25">
      <c r="A420" t="s">
        <v>521</v>
      </c>
      <c r="B420" s="2">
        <v>45353</v>
      </c>
      <c r="C420" s="2">
        <v>45374</v>
      </c>
      <c r="D420" t="s">
        <v>1413</v>
      </c>
      <c r="E420" s="10">
        <v>21</v>
      </c>
      <c r="F420" t="s">
        <v>1422</v>
      </c>
      <c r="G420" t="s">
        <v>646</v>
      </c>
      <c r="H420" t="s">
        <v>649</v>
      </c>
      <c r="I420" t="s">
        <v>668</v>
      </c>
      <c r="J420" t="s">
        <v>1185</v>
      </c>
      <c r="K420">
        <v>6</v>
      </c>
      <c r="L420" s="3">
        <v>225.01</v>
      </c>
      <c r="M420" s="3">
        <v>333.48</v>
      </c>
      <c r="N420" s="3" t="str">
        <f>IF(Table1_1[[#This Row],[UnitPrice]]&lt;=816.08,"low",IF(Table1_1[[#This Row],[UnitPrice]]&lt;=1640.06,"medium","high"))</f>
        <v>low</v>
      </c>
      <c r="O420" s="4">
        <v>0.11899999999999999</v>
      </c>
      <c r="P420" s="3">
        <v>1762.7752800000001</v>
      </c>
      <c r="Q420" s="3">
        <v>1350.06</v>
      </c>
      <c r="R420" s="4">
        <v>0.23412813004729699</v>
      </c>
      <c r="S420" t="s">
        <v>662</v>
      </c>
      <c r="T420" s="3">
        <v>412.71528000000012</v>
      </c>
      <c r="U420" t="s">
        <v>1433</v>
      </c>
      <c r="V420" s="13" t="str">
        <f>TEXT(Table1_1[[#This Row],[OrderDate]],"MM YYYY")</f>
        <v>03 2024</v>
      </c>
      <c r="W420" s="11" t="str">
        <f>TEXT(Table1_1[[#This Row],[OrderDate]],"MM")</f>
        <v>03</v>
      </c>
      <c r="X420" s="11"/>
    </row>
    <row r="421" spans="1:24" x14ac:dyDescent="0.25">
      <c r="A421" t="s">
        <v>449</v>
      </c>
      <c r="B421" s="2">
        <v>44978</v>
      </c>
      <c r="C421" s="2">
        <v>44997</v>
      </c>
      <c r="D421" t="s">
        <v>1413</v>
      </c>
      <c r="E421" s="10">
        <v>19</v>
      </c>
      <c r="F421" t="s">
        <v>1395</v>
      </c>
      <c r="G421" t="s">
        <v>642</v>
      </c>
      <c r="H421" t="s">
        <v>649</v>
      </c>
      <c r="I421" t="s">
        <v>670</v>
      </c>
      <c r="J421" t="s">
        <v>1113</v>
      </c>
      <c r="K421">
        <v>15</v>
      </c>
      <c r="L421" s="3">
        <v>352.65</v>
      </c>
      <c r="M421" s="3">
        <v>485.86</v>
      </c>
      <c r="N421" s="3" t="str">
        <f>IF(Table1_1[[#This Row],[UnitPrice]]&lt;=816.08,"low",IF(Table1_1[[#This Row],[UnitPrice]]&lt;=1640.06,"medium","high"))</f>
        <v>low</v>
      </c>
      <c r="O421" s="4">
        <v>4.1000000000000002E-2</v>
      </c>
      <c r="P421" s="3">
        <v>6989.0961000000007</v>
      </c>
      <c r="Q421" s="3">
        <v>5289.75</v>
      </c>
      <c r="R421" s="4">
        <v>0.243142471599439</v>
      </c>
      <c r="S421" t="s">
        <v>662</v>
      </c>
      <c r="T421" s="3">
        <v>1699.3461000000007</v>
      </c>
      <c r="U421" t="s">
        <v>1432</v>
      </c>
      <c r="V421" s="13" t="str">
        <f>TEXT(Table1_1[[#This Row],[OrderDate]],"MM YYYY")</f>
        <v>02 2023</v>
      </c>
      <c r="W421" s="11" t="str">
        <f>TEXT(Table1_1[[#This Row],[OrderDate]],"MM")</f>
        <v>02</v>
      </c>
      <c r="X421" s="11"/>
    </row>
    <row r="422" spans="1:24" x14ac:dyDescent="0.25">
      <c r="A422" t="s">
        <v>612</v>
      </c>
      <c r="B422" s="2">
        <v>45880</v>
      </c>
      <c r="C422" s="2">
        <v>45897</v>
      </c>
      <c r="D422" t="s">
        <v>1413</v>
      </c>
      <c r="E422" s="10">
        <v>17</v>
      </c>
      <c r="F422" t="s">
        <v>1404</v>
      </c>
      <c r="G422" t="s">
        <v>643</v>
      </c>
      <c r="H422" t="s">
        <v>649</v>
      </c>
      <c r="I422" t="s">
        <v>670</v>
      </c>
      <c r="J422" t="s">
        <v>1275</v>
      </c>
      <c r="K422">
        <v>10</v>
      </c>
      <c r="L422" s="3">
        <v>416.16</v>
      </c>
      <c r="M422" s="3">
        <v>571.9</v>
      </c>
      <c r="N422" s="3" t="str">
        <f>IF(Table1_1[[#This Row],[UnitPrice]]&lt;=816.08,"low",IF(Table1_1[[#This Row],[UnitPrice]]&lt;=1640.06,"medium","high"))</f>
        <v>low</v>
      </c>
      <c r="O422" s="4">
        <v>7.0999999999999994E-2</v>
      </c>
      <c r="P422" s="3">
        <v>5312.951</v>
      </c>
      <c r="Q422" s="3">
        <v>4161.6000000000004</v>
      </c>
      <c r="R422" s="4">
        <v>0.216706497010795</v>
      </c>
      <c r="S422" t="s">
        <v>662</v>
      </c>
      <c r="T422" s="3">
        <v>1151.3509999999997</v>
      </c>
      <c r="U422" t="s">
        <v>1438</v>
      </c>
      <c r="V422" s="13" t="str">
        <f>TEXT(Table1_1[[#This Row],[OrderDate]],"MM YYYY")</f>
        <v>08 2025</v>
      </c>
      <c r="W422" s="11" t="str">
        <f>TEXT(Table1_1[[#This Row],[OrderDate]],"MM")</f>
        <v>08</v>
      </c>
      <c r="X422" s="11"/>
    </row>
    <row r="423" spans="1:24" x14ac:dyDescent="0.25">
      <c r="A423" t="s">
        <v>228</v>
      </c>
      <c r="B423" s="2">
        <v>45576</v>
      </c>
      <c r="C423" s="2">
        <v>45605</v>
      </c>
      <c r="D423" t="s">
        <v>1413</v>
      </c>
      <c r="E423" s="10">
        <v>29</v>
      </c>
      <c r="F423" t="s">
        <v>1401</v>
      </c>
      <c r="G423" t="s">
        <v>644</v>
      </c>
      <c r="H423" t="s">
        <v>649</v>
      </c>
      <c r="I423" t="s">
        <v>669</v>
      </c>
      <c r="J423" t="s">
        <v>893</v>
      </c>
      <c r="K423">
        <v>6</v>
      </c>
      <c r="L423" s="3">
        <v>391.64</v>
      </c>
      <c r="M423" s="3">
        <v>504.76</v>
      </c>
      <c r="N423" s="3" t="str">
        <f>IF(Table1_1[[#This Row],[UnitPrice]]&lt;=816.08,"low",IF(Table1_1[[#This Row],[UnitPrice]]&lt;=1640.06,"medium","high"))</f>
        <v>low</v>
      </c>
      <c r="O423" s="4">
        <v>4.0000000000000001E-3</v>
      </c>
      <c r="P423" s="3">
        <v>3016.4457600000001</v>
      </c>
      <c r="Q423" s="3">
        <v>2349.84</v>
      </c>
      <c r="R423" s="4">
        <v>0.22099046793402299</v>
      </c>
      <c r="S423" t="s">
        <v>662</v>
      </c>
      <c r="T423" s="3">
        <v>666.60575999999992</v>
      </c>
      <c r="U423" t="s">
        <v>1440</v>
      </c>
      <c r="V423" s="13" t="str">
        <f>TEXT(Table1_1[[#This Row],[OrderDate]],"MM YYYY")</f>
        <v>10 2024</v>
      </c>
      <c r="W423" s="11" t="str">
        <f>TEXT(Table1_1[[#This Row],[OrderDate]],"MM")</f>
        <v>10</v>
      </c>
      <c r="X423" s="11"/>
    </row>
    <row r="424" spans="1:24" x14ac:dyDescent="0.25">
      <c r="A424" t="s">
        <v>587</v>
      </c>
      <c r="B424" s="2">
        <v>45140</v>
      </c>
      <c r="C424" s="2">
        <v>45157</v>
      </c>
      <c r="D424" t="s">
        <v>1413</v>
      </c>
      <c r="E424" s="10">
        <v>17</v>
      </c>
      <c r="F424" t="s">
        <v>1415</v>
      </c>
      <c r="G424" t="s">
        <v>642</v>
      </c>
      <c r="H424" t="s">
        <v>649</v>
      </c>
      <c r="I424" t="s">
        <v>670</v>
      </c>
      <c r="J424" t="s">
        <v>1250</v>
      </c>
      <c r="K424">
        <v>42</v>
      </c>
      <c r="L424" s="3">
        <v>175.38</v>
      </c>
      <c r="M424" s="3">
        <v>347.9</v>
      </c>
      <c r="N424" s="3" t="str">
        <f>IF(Table1_1[[#This Row],[UnitPrice]]&lt;=816.08,"low",IF(Table1_1[[#This Row],[UnitPrice]]&lt;=1640.06,"medium","high"))</f>
        <v>low</v>
      </c>
      <c r="O424" s="4">
        <v>7.1999999999999995E-2</v>
      </c>
      <c r="P424" s="3">
        <v>13559.750400000001</v>
      </c>
      <c r="Q424" s="3">
        <v>7365.96</v>
      </c>
      <c r="R424" s="4">
        <v>0.45677761148169799</v>
      </c>
      <c r="S424" t="s">
        <v>662</v>
      </c>
      <c r="T424" s="3">
        <v>6193.7904000000008</v>
      </c>
      <c r="U424" t="s">
        <v>1430</v>
      </c>
      <c r="V424" s="13" t="str">
        <f>TEXT(Table1_1[[#This Row],[OrderDate]],"MM YYYY")</f>
        <v>08 2023</v>
      </c>
      <c r="W424" s="11" t="str">
        <f>TEXT(Table1_1[[#This Row],[OrderDate]],"MM")</f>
        <v>08</v>
      </c>
      <c r="X424" s="11"/>
    </row>
    <row r="425" spans="1:24" x14ac:dyDescent="0.25">
      <c r="A425" t="s">
        <v>262</v>
      </c>
      <c r="B425" s="2">
        <v>45366</v>
      </c>
      <c r="C425" s="2">
        <v>45391</v>
      </c>
      <c r="D425" t="s">
        <v>1413</v>
      </c>
      <c r="E425" s="10">
        <v>25</v>
      </c>
      <c r="F425" t="s">
        <v>1415</v>
      </c>
      <c r="G425" t="s">
        <v>645</v>
      </c>
      <c r="H425" t="s">
        <v>649</v>
      </c>
      <c r="I425" t="s">
        <v>673</v>
      </c>
      <c r="J425" t="s">
        <v>927</v>
      </c>
      <c r="K425">
        <v>24</v>
      </c>
      <c r="L425" s="3">
        <v>648.64</v>
      </c>
      <c r="M425" s="3">
        <v>815.19</v>
      </c>
      <c r="N425" s="3" t="str">
        <f>IF(Table1_1[[#This Row],[UnitPrice]]&lt;=816.08,"low",IF(Table1_1[[#This Row],[UnitPrice]]&lt;=1640.06,"medium","high"))</f>
        <v>low</v>
      </c>
      <c r="O425" s="4">
        <v>0.22500000000000001</v>
      </c>
      <c r="P425" s="3">
        <v>15162.534000000001</v>
      </c>
      <c r="Q425" s="3">
        <v>15567.36</v>
      </c>
      <c r="R425" s="4">
        <v>-2.6699099240272001E-2</v>
      </c>
      <c r="S425" t="s">
        <v>662</v>
      </c>
      <c r="T425" s="3">
        <v>-404.82599999999911</v>
      </c>
      <c r="U425" t="s">
        <v>1433</v>
      </c>
      <c r="V425" s="13" t="str">
        <f>TEXT(Table1_1[[#This Row],[OrderDate]],"MM YYYY")</f>
        <v>03 2024</v>
      </c>
      <c r="W425" s="11" t="str">
        <f>TEXT(Table1_1[[#This Row],[OrderDate]],"MM")</f>
        <v>03</v>
      </c>
      <c r="X425" s="11"/>
    </row>
    <row r="426" spans="1:24" x14ac:dyDescent="0.25">
      <c r="A426" t="s">
        <v>249</v>
      </c>
      <c r="B426" s="2">
        <v>45381</v>
      </c>
      <c r="C426" s="2">
        <v>45406</v>
      </c>
      <c r="D426" t="s">
        <v>1413</v>
      </c>
      <c r="E426" s="10">
        <v>25</v>
      </c>
      <c r="F426" t="s">
        <v>1420</v>
      </c>
      <c r="G426" t="s">
        <v>644</v>
      </c>
      <c r="H426" t="s">
        <v>649</v>
      </c>
      <c r="I426" t="s">
        <v>672</v>
      </c>
      <c r="J426" t="s">
        <v>914</v>
      </c>
      <c r="K426">
        <v>24</v>
      </c>
      <c r="L426" s="3">
        <v>160.82</v>
      </c>
      <c r="M426" s="3">
        <v>258.52</v>
      </c>
      <c r="N426" s="3" t="str">
        <f>IF(Table1_1[[#This Row],[UnitPrice]]&lt;=816.08,"low",IF(Table1_1[[#This Row],[UnitPrice]]&lt;=1640.06,"medium","high"))</f>
        <v>low</v>
      </c>
      <c r="O426" s="4">
        <v>0.13</v>
      </c>
      <c r="P426" s="3">
        <v>5397.8975999999993</v>
      </c>
      <c r="Q426" s="3">
        <v>3859.68</v>
      </c>
      <c r="R426" s="4">
        <v>0.28496605789631901</v>
      </c>
      <c r="S426" t="s">
        <v>656</v>
      </c>
      <c r="T426" s="3">
        <v>1538.2175999999995</v>
      </c>
      <c r="U426" t="s">
        <v>1433</v>
      </c>
      <c r="V426" s="13" t="str">
        <f>TEXT(Table1_1[[#This Row],[OrderDate]],"MM YYYY")</f>
        <v>03 2024</v>
      </c>
      <c r="W426" s="11" t="str">
        <f>TEXT(Table1_1[[#This Row],[OrderDate]],"MM")</f>
        <v>03</v>
      </c>
      <c r="X426" s="11"/>
    </row>
    <row r="427" spans="1:24" x14ac:dyDescent="0.25">
      <c r="A427" t="s">
        <v>124</v>
      </c>
      <c r="B427" s="2">
        <v>45674</v>
      </c>
      <c r="C427" s="2">
        <v>45681</v>
      </c>
      <c r="D427" t="s">
        <v>1413</v>
      </c>
      <c r="E427" s="10">
        <v>7</v>
      </c>
      <c r="F427" t="s">
        <v>1420</v>
      </c>
      <c r="G427" t="s">
        <v>647</v>
      </c>
      <c r="H427" t="s">
        <v>649</v>
      </c>
      <c r="I427" t="s">
        <v>674</v>
      </c>
      <c r="J427" t="s">
        <v>788</v>
      </c>
      <c r="K427">
        <v>8</v>
      </c>
      <c r="L427" s="3">
        <v>142.09</v>
      </c>
      <c r="M427" s="3">
        <v>218.5</v>
      </c>
      <c r="N427" s="3" t="str">
        <f>IF(Table1_1[[#This Row],[UnitPrice]]&lt;=816.08,"low",IF(Table1_1[[#This Row],[UnitPrice]]&lt;=1640.06,"medium","high"))</f>
        <v>low</v>
      </c>
      <c r="O427" s="4">
        <v>0.11899999999999999</v>
      </c>
      <c r="P427" s="3">
        <v>1539.9880000000001</v>
      </c>
      <c r="Q427" s="3">
        <v>1136.72</v>
      </c>
      <c r="R427" s="4">
        <v>0.261864378163986</v>
      </c>
      <c r="S427" t="s">
        <v>656</v>
      </c>
      <c r="T427" s="3">
        <v>403.26800000000003</v>
      </c>
      <c r="U427" t="s">
        <v>1434</v>
      </c>
      <c r="V427" s="13" t="str">
        <f>TEXT(Table1_1[[#This Row],[OrderDate]],"MM YYYY")</f>
        <v>01 2025</v>
      </c>
      <c r="W427" s="11" t="str">
        <f>TEXT(Table1_1[[#This Row],[OrderDate]],"MM")</f>
        <v>01</v>
      </c>
      <c r="X427" s="11"/>
    </row>
    <row r="428" spans="1:24" x14ac:dyDescent="0.25">
      <c r="A428" t="s">
        <v>513</v>
      </c>
      <c r="B428" s="2">
        <v>45740</v>
      </c>
      <c r="C428" s="2">
        <v>45741</v>
      </c>
      <c r="D428" t="s">
        <v>1413</v>
      </c>
      <c r="E428" s="10">
        <v>1</v>
      </c>
      <c r="F428" t="s">
        <v>1411</v>
      </c>
      <c r="G428" t="s">
        <v>644</v>
      </c>
      <c r="H428" t="s">
        <v>649</v>
      </c>
      <c r="I428" t="s">
        <v>670</v>
      </c>
      <c r="J428" t="s">
        <v>1177</v>
      </c>
      <c r="K428">
        <v>21</v>
      </c>
      <c r="L428" s="3">
        <v>1133.03</v>
      </c>
      <c r="M428" s="3">
        <v>1921.51</v>
      </c>
      <c r="N428" s="3" t="str">
        <f>IF(Table1_1[[#This Row],[UnitPrice]]&lt;=816.08,"low",IF(Table1_1[[#This Row],[UnitPrice]]&lt;=1640.06,"medium","high"))</f>
        <v>high</v>
      </c>
      <c r="O428" s="4">
        <v>0.10100000000000001</v>
      </c>
      <c r="P428" s="3">
        <v>36276.187290000002</v>
      </c>
      <c r="Q428" s="3">
        <v>23793.63</v>
      </c>
      <c r="R428" s="4">
        <v>0.34409782897556501</v>
      </c>
      <c r="S428" t="s">
        <v>656</v>
      </c>
      <c r="T428" s="3">
        <v>12482.557290000001</v>
      </c>
      <c r="U428" t="s">
        <v>1434</v>
      </c>
      <c r="V428" s="13" t="str">
        <f>TEXT(Table1_1[[#This Row],[OrderDate]],"MM YYYY")</f>
        <v>03 2025</v>
      </c>
      <c r="W428" s="11" t="str">
        <f>TEXT(Table1_1[[#This Row],[OrderDate]],"MM")</f>
        <v>03</v>
      </c>
      <c r="X428" s="11"/>
    </row>
    <row r="429" spans="1:24" x14ac:dyDescent="0.25">
      <c r="A429" t="s">
        <v>21</v>
      </c>
      <c r="B429" s="2">
        <v>45319</v>
      </c>
      <c r="C429" s="2">
        <v>45331</v>
      </c>
      <c r="D429" t="s">
        <v>1413</v>
      </c>
      <c r="E429" s="10">
        <v>12</v>
      </c>
      <c r="F429" t="s">
        <v>1390</v>
      </c>
      <c r="G429" t="s">
        <v>642</v>
      </c>
      <c r="H429" t="s">
        <v>649</v>
      </c>
      <c r="I429" t="s">
        <v>674</v>
      </c>
      <c r="J429" t="s">
        <v>685</v>
      </c>
      <c r="K429">
        <v>18</v>
      </c>
      <c r="L429" s="3">
        <v>644.16999999999996</v>
      </c>
      <c r="M429" s="3">
        <v>700.12</v>
      </c>
      <c r="N429" s="3" t="str">
        <f>IF(Table1_1[[#This Row],[UnitPrice]]&lt;=816.08,"low",IF(Table1_1[[#This Row],[UnitPrice]]&lt;=1640.06,"medium","high"))</f>
        <v>low</v>
      </c>
      <c r="O429" s="4">
        <v>6.0000000000000001E-3</v>
      </c>
      <c r="P429" s="3">
        <v>12526.547039999999</v>
      </c>
      <c r="Q429" s="3">
        <v>11595.06</v>
      </c>
      <c r="R429" s="4">
        <v>7.4361037964058102E-2</v>
      </c>
      <c r="S429" t="s">
        <v>656</v>
      </c>
      <c r="T429" s="3">
        <v>931.48703999999998</v>
      </c>
      <c r="U429" t="s">
        <v>1433</v>
      </c>
      <c r="V429" s="13" t="str">
        <f>TEXT(Table1_1[[#This Row],[OrderDate]],"MM YYYY")</f>
        <v>01 2024</v>
      </c>
      <c r="W429" s="11" t="str">
        <f>TEXT(Table1_1[[#This Row],[OrderDate]],"MM")</f>
        <v>01</v>
      </c>
      <c r="X429" s="11"/>
    </row>
    <row r="430" spans="1:24" x14ac:dyDescent="0.25">
      <c r="A430" t="s">
        <v>580</v>
      </c>
      <c r="B430" s="2">
        <v>45760</v>
      </c>
      <c r="C430" s="2">
        <v>45761</v>
      </c>
      <c r="D430" t="s">
        <v>1413</v>
      </c>
      <c r="E430" s="10">
        <v>1</v>
      </c>
      <c r="F430" t="s">
        <v>1387</v>
      </c>
      <c r="G430" t="s">
        <v>647</v>
      </c>
      <c r="H430" t="s">
        <v>649</v>
      </c>
      <c r="I430" t="s">
        <v>668</v>
      </c>
      <c r="J430" t="s">
        <v>1243</v>
      </c>
      <c r="K430">
        <v>34</v>
      </c>
      <c r="L430" s="3">
        <v>138.9</v>
      </c>
      <c r="M430" s="3">
        <v>289.92</v>
      </c>
      <c r="N430" s="3" t="str">
        <f>IF(Table1_1[[#This Row],[UnitPrice]]&lt;=816.08,"low",IF(Table1_1[[#This Row],[UnitPrice]]&lt;=1640.06,"medium","high"))</f>
        <v>low</v>
      </c>
      <c r="O430" s="4">
        <v>2.9000000000000001E-2</v>
      </c>
      <c r="P430" s="3">
        <v>9571.4188800000011</v>
      </c>
      <c r="Q430" s="3">
        <v>4722.6000000000004</v>
      </c>
      <c r="R430" s="4">
        <v>0.50659353025828502</v>
      </c>
      <c r="S430" t="s">
        <v>656</v>
      </c>
      <c r="T430" s="3">
        <v>4848.8188800000007</v>
      </c>
      <c r="U430" t="s">
        <v>1431</v>
      </c>
      <c r="V430" s="13" t="str">
        <f>TEXT(Table1_1[[#This Row],[OrderDate]],"MM YYYY")</f>
        <v>04 2025</v>
      </c>
      <c r="W430" s="11" t="str">
        <f>TEXT(Table1_1[[#This Row],[OrderDate]],"MM")</f>
        <v>04</v>
      </c>
      <c r="X430" s="11"/>
    </row>
    <row r="431" spans="1:24" x14ac:dyDescent="0.25">
      <c r="A431" t="s">
        <v>149</v>
      </c>
      <c r="B431" s="2">
        <v>45616</v>
      </c>
      <c r="C431" s="2">
        <v>45641</v>
      </c>
      <c r="D431" t="s">
        <v>1413</v>
      </c>
      <c r="E431" s="10">
        <v>25</v>
      </c>
      <c r="F431" t="s">
        <v>1404</v>
      </c>
      <c r="G431" t="s">
        <v>642</v>
      </c>
      <c r="H431" t="s">
        <v>649</v>
      </c>
      <c r="I431" t="s">
        <v>669</v>
      </c>
      <c r="J431" t="s">
        <v>813</v>
      </c>
      <c r="K431">
        <v>24</v>
      </c>
      <c r="L431" s="3">
        <v>1203.58</v>
      </c>
      <c r="M431" s="3">
        <v>1856.16</v>
      </c>
      <c r="N431" s="3" t="str">
        <f>IF(Table1_1[[#This Row],[UnitPrice]]&lt;=816.08,"low",IF(Table1_1[[#This Row],[UnitPrice]]&lt;=1640.06,"medium","high"))</f>
        <v>high</v>
      </c>
      <c r="O431" s="4">
        <v>0.129</v>
      </c>
      <c r="P431" s="3">
        <v>38801.168640000004</v>
      </c>
      <c r="Q431" s="3">
        <v>28885.919999999998</v>
      </c>
      <c r="R431" s="4">
        <v>0.25553994860294998</v>
      </c>
      <c r="S431" t="s">
        <v>656</v>
      </c>
      <c r="T431" s="3">
        <v>9915.2486400000053</v>
      </c>
      <c r="U431" t="s">
        <v>1440</v>
      </c>
      <c r="V431" s="13" t="str">
        <f>TEXT(Table1_1[[#This Row],[OrderDate]],"MM YYYY")</f>
        <v>11 2024</v>
      </c>
      <c r="W431" s="11" t="str">
        <f>TEXT(Table1_1[[#This Row],[OrderDate]],"MM")</f>
        <v>11</v>
      </c>
      <c r="X431" s="11"/>
    </row>
    <row r="432" spans="1:24" x14ac:dyDescent="0.25">
      <c r="A432" t="s">
        <v>346</v>
      </c>
      <c r="B432" s="2">
        <v>45484</v>
      </c>
      <c r="C432" s="2">
        <v>45504</v>
      </c>
      <c r="D432" t="s">
        <v>1413</v>
      </c>
      <c r="E432" s="10">
        <v>20</v>
      </c>
      <c r="F432" t="s">
        <v>1394</v>
      </c>
      <c r="G432" t="s">
        <v>645</v>
      </c>
      <c r="H432" t="s">
        <v>649</v>
      </c>
      <c r="I432" t="s">
        <v>671</v>
      </c>
      <c r="J432" t="s">
        <v>1011</v>
      </c>
      <c r="K432">
        <v>11</v>
      </c>
      <c r="L432" s="3">
        <v>647.26</v>
      </c>
      <c r="M432" s="3">
        <v>1374.72</v>
      </c>
      <c r="N432" s="3" t="str">
        <f>IF(Table1_1[[#This Row],[UnitPrice]]&lt;=816.08,"low",IF(Table1_1[[#This Row],[UnitPrice]]&lt;=1640.06,"medium","high"))</f>
        <v>medium</v>
      </c>
      <c r="O432" s="4">
        <v>6.6000000000000003E-2</v>
      </c>
      <c r="P432" s="3">
        <v>14123.87328</v>
      </c>
      <c r="Q432" s="3">
        <v>7119.86</v>
      </c>
      <c r="R432" s="4">
        <v>0.49589890401508901</v>
      </c>
      <c r="S432" t="s">
        <v>656</v>
      </c>
      <c r="T432" s="3">
        <v>7004.0132800000001</v>
      </c>
      <c r="U432" t="s">
        <v>1437</v>
      </c>
      <c r="V432" s="13" t="str">
        <f>TEXT(Table1_1[[#This Row],[OrderDate]],"MM YYYY")</f>
        <v>07 2024</v>
      </c>
      <c r="W432" s="11" t="str">
        <f>TEXT(Table1_1[[#This Row],[OrderDate]],"MM")</f>
        <v>07</v>
      </c>
      <c r="X432" s="11"/>
    </row>
    <row r="433" spans="1:24" x14ac:dyDescent="0.25">
      <c r="A433" t="s">
        <v>504</v>
      </c>
      <c r="B433" s="2">
        <v>45439</v>
      </c>
      <c r="C433" s="2">
        <v>45460</v>
      </c>
      <c r="D433" t="s">
        <v>1413</v>
      </c>
      <c r="E433" s="10">
        <v>21</v>
      </c>
      <c r="F433" t="s">
        <v>1397</v>
      </c>
      <c r="G433" t="s">
        <v>646</v>
      </c>
      <c r="H433" t="s">
        <v>649</v>
      </c>
      <c r="I433" t="s">
        <v>674</v>
      </c>
      <c r="J433" t="s">
        <v>1168</v>
      </c>
      <c r="K433">
        <v>21</v>
      </c>
      <c r="L433" s="3">
        <v>465.02</v>
      </c>
      <c r="M433" s="3">
        <v>651.55999999999995</v>
      </c>
      <c r="N433" s="3" t="str">
        <f>IF(Table1_1[[#This Row],[UnitPrice]]&lt;=816.08,"low",IF(Table1_1[[#This Row],[UnitPrice]]&lt;=1640.06,"medium","high"))</f>
        <v>low</v>
      </c>
      <c r="O433" s="4">
        <v>4.2000000000000003E-2</v>
      </c>
      <c r="P433" s="3">
        <v>13108.084079999999</v>
      </c>
      <c r="Q433" s="3">
        <v>9765.42</v>
      </c>
      <c r="R433" s="4">
        <v>0.25500783025187901</v>
      </c>
      <c r="S433" t="s">
        <v>663</v>
      </c>
      <c r="T433" s="3">
        <v>3342.6640799999986</v>
      </c>
      <c r="U433" t="s">
        <v>1436</v>
      </c>
      <c r="V433" s="13" t="str">
        <f>TEXT(Table1_1[[#This Row],[OrderDate]],"MM YYYY")</f>
        <v>05 2024</v>
      </c>
      <c r="W433" s="11" t="str">
        <f>TEXT(Table1_1[[#This Row],[OrderDate]],"MM")</f>
        <v>05</v>
      </c>
      <c r="X433" s="11"/>
    </row>
    <row r="434" spans="1:24" x14ac:dyDescent="0.25">
      <c r="A434" t="s">
        <v>221</v>
      </c>
      <c r="B434" s="2">
        <v>45852</v>
      </c>
      <c r="C434" s="2">
        <v>45873</v>
      </c>
      <c r="D434" t="s">
        <v>1413</v>
      </c>
      <c r="E434" s="10">
        <v>21</v>
      </c>
      <c r="F434" t="s">
        <v>1418</v>
      </c>
      <c r="G434" t="s">
        <v>645</v>
      </c>
      <c r="H434" t="s">
        <v>649</v>
      </c>
      <c r="I434" t="s">
        <v>673</v>
      </c>
      <c r="J434" t="s">
        <v>886</v>
      </c>
      <c r="K434">
        <v>10</v>
      </c>
      <c r="L434" s="3">
        <v>90.3</v>
      </c>
      <c r="M434" s="3">
        <v>131.76</v>
      </c>
      <c r="N434" s="3" t="str">
        <f>IF(Table1_1[[#This Row],[UnitPrice]]&lt;=816.08,"low",IF(Table1_1[[#This Row],[UnitPrice]]&lt;=1640.06,"medium","high"))</f>
        <v>low</v>
      </c>
      <c r="O434" s="4">
        <v>0.10199999999999999</v>
      </c>
      <c r="P434" s="3">
        <v>1183.2048</v>
      </c>
      <c r="Q434" s="3">
        <v>903</v>
      </c>
      <c r="R434" s="4">
        <v>0.23681851189244699</v>
      </c>
      <c r="S434" t="s">
        <v>663</v>
      </c>
      <c r="T434" s="3">
        <v>280.20479999999998</v>
      </c>
      <c r="U434" t="s">
        <v>1438</v>
      </c>
      <c r="V434" s="13" t="str">
        <f>TEXT(Table1_1[[#This Row],[OrderDate]],"MM YYYY")</f>
        <v>07 2025</v>
      </c>
      <c r="W434" s="11" t="str">
        <f>TEXT(Table1_1[[#This Row],[OrderDate]],"MM")</f>
        <v>07</v>
      </c>
      <c r="X434" s="11"/>
    </row>
    <row r="435" spans="1:24" x14ac:dyDescent="0.25">
      <c r="A435" t="s">
        <v>264</v>
      </c>
      <c r="B435" s="2">
        <v>45592</v>
      </c>
      <c r="C435" s="2">
        <v>45616</v>
      </c>
      <c r="D435" t="s">
        <v>1413</v>
      </c>
      <c r="E435" s="10">
        <v>24</v>
      </c>
      <c r="F435" t="s">
        <v>1407</v>
      </c>
      <c r="G435" t="s">
        <v>644</v>
      </c>
      <c r="H435" t="s">
        <v>649</v>
      </c>
      <c r="I435" t="s">
        <v>673</v>
      </c>
      <c r="J435" t="s">
        <v>929</v>
      </c>
      <c r="K435">
        <v>14</v>
      </c>
      <c r="L435" s="3">
        <v>317.25</v>
      </c>
      <c r="M435" s="3">
        <v>758.92</v>
      </c>
      <c r="N435" s="3" t="str">
        <f>IF(Table1_1[[#This Row],[UnitPrice]]&lt;=816.08,"low",IF(Table1_1[[#This Row],[UnitPrice]]&lt;=1640.06,"medium","high"))</f>
        <v>low</v>
      </c>
      <c r="O435" s="4">
        <v>5.2999999999999999E-2</v>
      </c>
      <c r="P435" s="3">
        <v>10061.761359999999</v>
      </c>
      <c r="Q435" s="3">
        <v>4441.5</v>
      </c>
      <c r="R435" s="4">
        <v>0.55857629284898902</v>
      </c>
      <c r="S435" t="s">
        <v>663</v>
      </c>
      <c r="T435" s="3">
        <v>5620.2613599999986</v>
      </c>
      <c r="U435" t="s">
        <v>1440</v>
      </c>
      <c r="V435" s="13" t="str">
        <f>TEXT(Table1_1[[#This Row],[OrderDate]],"MM YYYY")</f>
        <v>10 2024</v>
      </c>
      <c r="W435" s="11" t="str">
        <f>TEXT(Table1_1[[#This Row],[OrderDate]],"MM")</f>
        <v>10</v>
      </c>
      <c r="X435" s="11"/>
    </row>
    <row r="436" spans="1:24" x14ac:dyDescent="0.25">
      <c r="A436" t="s">
        <v>115</v>
      </c>
      <c r="B436" s="2">
        <v>45549</v>
      </c>
      <c r="C436" s="2">
        <v>45570</v>
      </c>
      <c r="D436" t="s">
        <v>1413</v>
      </c>
      <c r="E436" s="10">
        <v>21</v>
      </c>
      <c r="F436" t="s">
        <v>1401</v>
      </c>
      <c r="G436" t="s">
        <v>646</v>
      </c>
      <c r="H436" t="s">
        <v>649</v>
      </c>
      <c r="I436" t="s">
        <v>672</v>
      </c>
      <c r="J436" t="s">
        <v>779</v>
      </c>
      <c r="K436">
        <v>13</v>
      </c>
      <c r="L436" s="3">
        <v>1405.56</v>
      </c>
      <c r="M436" s="3">
        <v>2968.87</v>
      </c>
      <c r="N436" s="3" t="str">
        <f>IF(Table1_1[[#This Row],[UnitPrice]]&lt;=816.08,"low",IF(Table1_1[[#This Row],[UnitPrice]]&lt;=1640.06,"medium","high"))</f>
        <v>high</v>
      </c>
      <c r="O436" s="4">
        <v>0.16900000000000001</v>
      </c>
      <c r="P436" s="3">
        <v>32072.702609999997</v>
      </c>
      <c r="Q436" s="3">
        <v>18272.28</v>
      </c>
      <c r="R436" s="4">
        <v>0.430285616332724</v>
      </c>
      <c r="S436" t="s">
        <v>663</v>
      </c>
      <c r="T436" s="3">
        <v>13800.422609999998</v>
      </c>
      <c r="U436" t="s">
        <v>1437</v>
      </c>
      <c r="V436" s="13" t="str">
        <f>TEXT(Table1_1[[#This Row],[OrderDate]],"MM YYYY")</f>
        <v>09 2024</v>
      </c>
      <c r="W436" s="11" t="str">
        <f>TEXT(Table1_1[[#This Row],[OrderDate]],"MM")</f>
        <v>09</v>
      </c>
      <c r="X436" s="11"/>
    </row>
    <row r="437" spans="1:24" x14ac:dyDescent="0.25">
      <c r="A437" t="s">
        <v>200</v>
      </c>
      <c r="B437" s="2">
        <v>45325</v>
      </c>
      <c r="C437" s="2">
        <v>45341</v>
      </c>
      <c r="D437" t="s">
        <v>1413</v>
      </c>
      <c r="E437" s="10">
        <v>16</v>
      </c>
      <c r="F437" t="s">
        <v>1394</v>
      </c>
      <c r="G437" t="s">
        <v>646</v>
      </c>
      <c r="H437" t="s">
        <v>649</v>
      </c>
      <c r="I437" t="s">
        <v>672</v>
      </c>
      <c r="J437" t="s">
        <v>865</v>
      </c>
      <c r="K437">
        <v>30</v>
      </c>
      <c r="L437" s="3">
        <v>993.75</v>
      </c>
      <c r="M437" s="3">
        <v>1310.29</v>
      </c>
      <c r="N437" s="3" t="str">
        <f>IF(Table1_1[[#This Row],[UnitPrice]]&lt;=816.08,"low",IF(Table1_1[[#This Row],[UnitPrice]]&lt;=1640.06,"medium","high"))</f>
        <v>medium</v>
      </c>
      <c r="O437" s="4">
        <v>0.215</v>
      </c>
      <c r="P437" s="3">
        <v>30857.3295</v>
      </c>
      <c r="Q437" s="3">
        <v>29812.5</v>
      </c>
      <c r="R437" s="4">
        <v>3.3860010471742197E-2</v>
      </c>
      <c r="S437" t="s">
        <v>663</v>
      </c>
      <c r="T437" s="3">
        <v>1044.8294999999998</v>
      </c>
      <c r="U437" t="s">
        <v>1433</v>
      </c>
      <c r="V437" s="13" t="str">
        <f>TEXT(Table1_1[[#This Row],[OrderDate]],"MM YYYY")</f>
        <v>02 2024</v>
      </c>
      <c r="W437" s="11" t="str">
        <f>TEXT(Table1_1[[#This Row],[OrderDate]],"MM")</f>
        <v>02</v>
      </c>
      <c r="X437" s="11"/>
    </row>
    <row r="438" spans="1:24" x14ac:dyDescent="0.25">
      <c r="A438" t="s">
        <v>247</v>
      </c>
      <c r="B438" s="2">
        <v>45855</v>
      </c>
      <c r="C438" s="2">
        <v>45861</v>
      </c>
      <c r="D438" t="s">
        <v>1413</v>
      </c>
      <c r="E438" s="10">
        <v>6</v>
      </c>
      <c r="F438" t="s">
        <v>1415</v>
      </c>
      <c r="G438" t="s">
        <v>645</v>
      </c>
      <c r="H438" t="s">
        <v>649</v>
      </c>
      <c r="I438" t="s">
        <v>668</v>
      </c>
      <c r="J438" t="s">
        <v>912</v>
      </c>
      <c r="K438">
        <v>22</v>
      </c>
      <c r="L438" s="3">
        <v>1364.89</v>
      </c>
      <c r="M438" s="3">
        <v>2757.54</v>
      </c>
      <c r="N438" s="3" t="str">
        <f>IF(Table1_1[[#This Row],[UnitPrice]]&lt;=816.08,"low",IF(Table1_1[[#This Row],[UnitPrice]]&lt;=1640.06,"medium","high"))</f>
        <v>high</v>
      </c>
      <c r="O438" s="4">
        <v>0.17199999999999999</v>
      </c>
      <c r="P438" s="3">
        <v>50231.348640000004</v>
      </c>
      <c r="Q438" s="3">
        <v>30027.58</v>
      </c>
      <c r="R438" s="4">
        <v>0.40221433799831202</v>
      </c>
      <c r="S438" t="s">
        <v>663</v>
      </c>
      <c r="T438" s="3">
        <v>20203.768640000002</v>
      </c>
      <c r="U438" t="s">
        <v>1438</v>
      </c>
      <c r="V438" s="13" t="str">
        <f>TEXT(Table1_1[[#This Row],[OrderDate]],"MM YYYY")</f>
        <v>07 2025</v>
      </c>
      <c r="W438" s="11" t="str">
        <f>TEXT(Table1_1[[#This Row],[OrderDate]],"MM")</f>
        <v>07</v>
      </c>
      <c r="X438" s="11"/>
    </row>
    <row r="439" spans="1:24" x14ac:dyDescent="0.25">
      <c r="A439" t="s">
        <v>266</v>
      </c>
      <c r="B439" s="2">
        <v>45204</v>
      </c>
      <c r="C439" s="2">
        <v>45205</v>
      </c>
      <c r="D439" t="s">
        <v>1413</v>
      </c>
      <c r="E439" s="10">
        <v>1</v>
      </c>
      <c r="F439" t="s">
        <v>1388</v>
      </c>
      <c r="G439" t="s">
        <v>644</v>
      </c>
      <c r="H439" t="s">
        <v>649</v>
      </c>
      <c r="I439" t="s">
        <v>668</v>
      </c>
      <c r="J439" t="s">
        <v>931</v>
      </c>
      <c r="K439">
        <v>7</v>
      </c>
      <c r="L439" s="3">
        <v>1470.26</v>
      </c>
      <c r="M439" s="3">
        <v>2562.5500000000002</v>
      </c>
      <c r="N439" s="3" t="str">
        <f>IF(Table1_1[[#This Row],[UnitPrice]]&lt;=816.08,"low",IF(Table1_1[[#This Row],[UnitPrice]]&lt;=1640.06,"medium","high"))</f>
        <v>high</v>
      </c>
      <c r="O439" s="4">
        <v>0.17299999999999999</v>
      </c>
      <c r="P439" s="3">
        <v>14834.60195</v>
      </c>
      <c r="Q439" s="3">
        <v>10291.82</v>
      </c>
      <c r="R439" s="4">
        <v>0.30622877279157501</v>
      </c>
      <c r="S439" t="s">
        <v>655</v>
      </c>
      <c r="T439" s="3">
        <v>4542.7819500000005</v>
      </c>
      <c r="U439" t="s">
        <v>1439</v>
      </c>
      <c r="V439" s="13" t="str">
        <f>TEXT(Table1_1[[#This Row],[OrderDate]],"MM YYYY")</f>
        <v>10 2023</v>
      </c>
      <c r="W439" s="11" t="str">
        <f>TEXT(Table1_1[[#This Row],[OrderDate]],"MM")</f>
        <v>10</v>
      </c>
      <c r="X439" s="11"/>
    </row>
    <row r="440" spans="1:24" x14ac:dyDescent="0.25">
      <c r="A440" t="s">
        <v>541</v>
      </c>
      <c r="B440" s="2">
        <v>45727</v>
      </c>
      <c r="C440" s="2">
        <v>45742</v>
      </c>
      <c r="D440" t="s">
        <v>1413</v>
      </c>
      <c r="E440" s="10">
        <v>15</v>
      </c>
      <c r="F440" t="s">
        <v>1390</v>
      </c>
      <c r="G440" t="s">
        <v>646</v>
      </c>
      <c r="H440" t="s">
        <v>649</v>
      </c>
      <c r="I440" t="s">
        <v>671</v>
      </c>
      <c r="J440" t="s">
        <v>1205</v>
      </c>
      <c r="K440">
        <v>24</v>
      </c>
      <c r="L440" s="3">
        <v>116.97</v>
      </c>
      <c r="M440" s="3">
        <v>140.82</v>
      </c>
      <c r="N440" s="3" t="str">
        <f>IF(Table1_1[[#This Row],[UnitPrice]]&lt;=816.08,"low",IF(Table1_1[[#This Row],[UnitPrice]]&lt;=1640.06,"medium","high"))</f>
        <v>low</v>
      </c>
      <c r="O440" s="4">
        <v>0.122</v>
      </c>
      <c r="P440" s="3">
        <v>2967.3590399999998</v>
      </c>
      <c r="Q440" s="3">
        <v>2807.2799999999997</v>
      </c>
      <c r="R440" s="4">
        <v>5.3946636669892203E-2</v>
      </c>
      <c r="S440" t="s">
        <v>655</v>
      </c>
      <c r="T440" s="3">
        <v>160.07904000000008</v>
      </c>
      <c r="U440" t="s">
        <v>1434</v>
      </c>
      <c r="V440" s="13" t="str">
        <f>TEXT(Table1_1[[#This Row],[OrderDate]],"MM YYYY")</f>
        <v>03 2025</v>
      </c>
      <c r="W440" s="11" t="str">
        <f>TEXT(Table1_1[[#This Row],[OrderDate]],"MM")</f>
        <v>03</v>
      </c>
      <c r="X440" s="11"/>
    </row>
    <row r="441" spans="1:24" x14ac:dyDescent="0.25">
      <c r="A441" t="s">
        <v>392</v>
      </c>
      <c r="B441" s="2">
        <v>45861</v>
      </c>
      <c r="C441" s="2">
        <v>45886</v>
      </c>
      <c r="D441" t="s">
        <v>1413</v>
      </c>
      <c r="E441" s="10">
        <v>25</v>
      </c>
      <c r="F441" t="s">
        <v>1392</v>
      </c>
      <c r="G441" t="s">
        <v>643</v>
      </c>
      <c r="H441" t="s">
        <v>649</v>
      </c>
      <c r="I441" t="s">
        <v>669</v>
      </c>
      <c r="J441" t="s">
        <v>1056</v>
      </c>
      <c r="K441">
        <v>6</v>
      </c>
      <c r="L441" s="3">
        <v>1142.06</v>
      </c>
      <c r="M441" s="3">
        <v>1455</v>
      </c>
      <c r="N441" s="3" t="str">
        <f>IF(Table1_1[[#This Row],[UnitPrice]]&lt;=816.08,"low",IF(Table1_1[[#This Row],[UnitPrice]]&lt;=1640.06,"medium","high"))</f>
        <v>medium</v>
      </c>
      <c r="O441" s="4">
        <v>7.8E-2</v>
      </c>
      <c r="P441" s="3">
        <v>8049.06</v>
      </c>
      <c r="Q441" s="3">
        <v>6852.36</v>
      </c>
      <c r="R441" s="4">
        <v>0.14867574598773001</v>
      </c>
      <c r="S441" t="s">
        <v>655</v>
      </c>
      <c r="T441" s="3">
        <v>1196.7000000000007</v>
      </c>
      <c r="U441" t="s">
        <v>1438</v>
      </c>
      <c r="V441" s="13" t="str">
        <f>TEXT(Table1_1[[#This Row],[OrderDate]],"MM YYYY")</f>
        <v>07 2025</v>
      </c>
      <c r="W441" s="11" t="str">
        <f>TEXT(Table1_1[[#This Row],[OrderDate]],"MM")</f>
        <v>07</v>
      </c>
      <c r="X441" s="11"/>
    </row>
    <row r="442" spans="1:24" x14ac:dyDescent="0.25">
      <c r="A442" t="s">
        <v>399</v>
      </c>
      <c r="B442" s="2">
        <v>45225</v>
      </c>
      <c r="C442" s="2">
        <v>45235</v>
      </c>
      <c r="D442" t="s">
        <v>1413</v>
      </c>
      <c r="E442" s="10">
        <v>10</v>
      </c>
      <c r="F442" t="s">
        <v>1408</v>
      </c>
      <c r="G442" t="s">
        <v>644</v>
      </c>
      <c r="H442" t="s">
        <v>649</v>
      </c>
      <c r="I442" t="s">
        <v>672</v>
      </c>
      <c r="J442" t="s">
        <v>1063</v>
      </c>
      <c r="K442">
        <v>11</v>
      </c>
      <c r="L442" s="3">
        <v>20.38</v>
      </c>
      <c r="M442" s="3">
        <v>42.56</v>
      </c>
      <c r="N442" s="3" t="str">
        <f>IF(Table1_1[[#This Row],[UnitPrice]]&lt;=816.08,"low",IF(Table1_1[[#This Row],[UnitPrice]]&lt;=1640.06,"medium","high"))</f>
        <v>low</v>
      </c>
      <c r="O442" s="4">
        <v>7.1999999999999995E-2</v>
      </c>
      <c r="P442" s="3">
        <v>434.45248000000004</v>
      </c>
      <c r="Q442" s="3">
        <v>224.17999999999998</v>
      </c>
      <c r="R442" s="4">
        <v>0.48399419885921702</v>
      </c>
      <c r="S442" t="s">
        <v>655</v>
      </c>
      <c r="T442" s="3">
        <v>210.27248000000006</v>
      </c>
      <c r="U442" t="s">
        <v>1439</v>
      </c>
      <c r="V442" s="13" t="str">
        <f>TEXT(Table1_1[[#This Row],[OrderDate]],"MM YYYY")</f>
        <v>10 2023</v>
      </c>
      <c r="W442" s="11" t="str">
        <f>TEXT(Table1_1[[#This Row],[OrderDate]],"MM")</f>
        <v>10</v>
      </c>
      <c r="X442" s="11"/>
    </row>
    <row r="443" spans="1:24" x14ac:dyDescent="0.25">
      <c r="A443" t="s">
        <v>321</v>
      </c>
      <c r="B443" s="2">
        <v>45435</v>
      </c>
      <c r="C443" s="2">
        <v>45449</v>
      </c>
      <c r="D443" t="s">
        <v>1413</v>
      </c>
      <c r="E443" s="10">
        <v>14</v>
      </c>
      <c r="F443" t="s">
        <v>1421</v>
      </c>
      <c r="G443" t="s">
        <v>644</v>
      </c>
      <c r="H443" t="s">
        <v>649</v>
      </c>
      <c r="I443" t="s">
        <v>670</v>
      </c>
      <c r="J443" t="s">
        <v>986</v>
      </c>
      <c r="K443">
        <v>26</v>
      </c>
      <c r="L443" s="3">
        <v>51.13</v>
      </c>
      <c r="M443" s="3">
        <v>57.53</v>
      </c>
      <c r="N443" s="3" t="str">
        <f>IF(Table1_1[[#This Row],[UnitPrice]]&lt;=816.08,"low",IF(Table1_1[[#This Row],[UnitPrice]]&lt;=1640.06,"medium","high"))</f>
        <v>low</v>
      </c>
      <c r="O443" s="4">
        <v>4.4999999999999998E-2</v>
      </c>
      <c r="P443" s="3">
        <v>1428.4698999999998</v>
      </c>
      <c r="Q443" s="3">
        <v>1329.38</v>
      </c>
      <c r="R443" s="4">
        <v>6.9367859973808205E-2</v>
      </c>
      <c r="S443" t="s">
        <v>655</v>
      </c>
      <c r="T443" s="3">
        <v>99.089899999999716</v>
      </c>
      <c r="U443" t="s">
        <v>1436</v>
      </c>
      <c r="V443" s="13" t="str">
        <f>TEXT(Table1_1[[#This Row],[OrderDate]],"MM YYYY")</f>
        <v>05 2024</v>
      </c>
      <c r="W443" s="11" t="str">
        <f>TEXT(Table1_1[[#This Row],[OrderDate]],"MM")</f>
        <v>05</v>
      </c>
      <c r="X443" s="11"/>
    </row>
    <row r="444" spans="1:24" x14ac:dyDescent="0.25">
      <c r="A444" t="s">
        <v>565</v>
      </c>
      <c r="B444" s="2">
        <v>45535</v>
      </c>
      <c r="C444" s="2">
        <v>45561</v>
      </c>
      <c r="D444" t="s">
        <v>1413</v>
      </c>
      <c r="E444" s="10">
        <v>26</v>
      </c>
      <c r="F444" t="s">
        <v>1403</v>
      </c>
      <c r="G444" t="s">
        <v>643</v>
      </c>
      <c r="H444" t="s">
        <v>649</v>
      </c>
      <c r="I444" t="s">
        <v>671</v>
      </c>
      <c r="J444" t="s">
        <v>1228</v>
      </c>
      <c r="K444">
        <v>11</v>
      </c>
      <c r="L444" s="3">
        <v>1189.03</v>
      </c>
      <c r="M444" s="3">
        <v>2949.62</v>
      </c>
      <c r="N444" s="3" t="str">
        <f>IF(Table1_1[[#This Row],[UnitPrice]]&lt;=816.08,"low",IF(Table1_1[[#This Row],[UnitPrice]]&lt;=1640.06,"medium","high"))</f>
        <v>high</v>
      </c>
      <c r="O444" s="4">
        <v>0.125</v>
      </c>
      <c r="P444" s="3">
        <v>28390.092499999999</v>
      </c>
      <c r="Q444" s="3">
        <v>13079.33</v>
      </c>
      <c r="R444" s="4">
        <v>0.53929949330034799</v>
      </c>
      <c r="S444" t="s">
        <v>655</v>
      </c>
      <c r="T444" s="3">
        <v>15310.762499999999</v>
      </c>
      <c r="U444" t="s">
        <v>1437</v>
      </c>
      <c r="V444" s="13" t="str">
        <f>TEXT(Table1_1[[#This Row],[OrderDate]],"MM YYYY")</f>
        <v>08 2024</v>
      </c>
      <c r="W444" s="11" t="str">
        <f>TEXT(Table1_1[[#This Row],[OrderDate]],"MM")</f>
        <v>08</v>
      </c>
      <c r="X444" s="11"/>
    </row>
    <row r="445" spans="1:24" x14ac:dyDescent="0.25">
      <c r="A445" t="s">
        <v>57</v>
      </c>
      <c r="B445" s="2">
        <v>45100</v>
      </c>
      <c r="C445" s="2">
        <v>45110</v>
      </c>
      <c r="D445" t="s">
        <v>1413</v>
      </c>
      <c r="E445" s="10">
        <v>10</v>
      </c>
      <c r="F445" t="s">
        <v>1389</v>
      </c>
      <c r="G445" t="s">
        <v>645</v>
      </c>
      <c r="H445" t="s">
        <v>649</v>
      </c>
      <c r="I445" t="s">
        <v>669</v>
      </c>
      <c r="J445" t="s">
        <v>721</v>
      </c>
      <c r="K445">
        <v>32</v>
      </c>
      <c r="L445" s="3">
        <v>337.75</v>
      </c>
      <c r="M445" s="3">
        <v>548.89</v>
      </c>
      <c r="N445" s="3" t="str">
        <f>IF(Table1_1[[#This Row],[UnitPrice]]&lt;=816.08,"low",IF(Table1_1[[#This Row],[UnitPrice]]&lt;=1640.06,"medium","high"))</f>
        <v>low</v>
      </c>
      <c r="O445" s="4">
        <v>0</v>
      </c>
      <c r="P445" s="3">
        <v>17564.48</v>
      </c>
      <c r="Q445" s="3">
        <v>10808</v>
      </c>
      <c r="R445" s="4">
        <v>0.38466723751571402</v>
      </c>
      <c r="S445" t="s">
        <v>654</v>
      </c>
      <c r="T445" s="3">
        <v>6756.48</v>
      </c>
      <c r="U445" t="s">
        <v>1435</v>
      </c>
      <c r="V445" s="13" t="str">
        <f>TEXT(Table1_1[[#This Row],[OrderDate]],"MM YYYY")</f>
        <v>06 2023</v>
      </c>
      <c r="W445" s="11" t="str">
        <f>TEXT(Table1_1[[#This Row],[OrderDate]],"MM")</f>
        <v>06</v>
      </c>
      <c r="X445" s="11"/>
    </row>
    <row r="446" spans="1:24" x14ac:dyDescent="0.25">
      <c r="A446" t="s">
        <v>194</v>
      </c>
      <c r="B446" s="2">
        <v>45157</v>
      </c>
      <c r="C446" s="2">
        <v>45161</v>
      </c>
      <c r="D446" t="s">
        <v>1413</v>
      </c>
      <c r="E446" s="10">
        <v>4</v>
      </c>
      <c r="F446" t="s">
        <v>1389</v>
      </c>
      <c r="G446" t="s">
        <v>646</v>
      </c>
      <c r="H446" t="s">
        <v>649</v>
      </c>
      <c r="I446" t="s">
        <v>673</v>
      </c>
      <c r="J446" t="s">
        <v>858</v>
      </c>
      <c r="K446">
        <v>21</v>
      </c>
      <c r="L446" s="3">
        <v>790.63</v>
      </c>
      <c r="M446" s="3">
        <v>1382.31</v>
      </c>
      <c r="N446" s="3" t="str">
        <f>IF(Table1_1[[#This Row],[UnitPrice]]&lt;=816.08,"low",IF(Table1_1[[#This Row],[UnitPrice]]&lt;=1640.06,"medium","high"))</f>
        <v>medium</v>
      </c>
      <c r="O446" s="4">
        <v>0.10100000000000001</v>
      </c>
      <c r="P446" s="3">
        <v>26096.63049</v>
      </c>
      <c r="Q446" s="3">
        <v>16603.23</v>
      </c>
      <c r="R446" s="4">
        <v>0.36377878338116398</v>
      </c>
      <c r="S446" t="s">
        <v>654</v>
      </c>
      <c r="T446" s="3">
        <v>9493.40049</v>
      </c>
      <c r="U446" t="s">
        <v>1430</v>
      </c>
      <c r="V446" s="13" t="str">
        <f>TEXT(Table1_1[[#This Row],[OrderDate]],"MM YYYY")</f>
        <v>08 2023</v>
      </c>
      <c r="W446" s="11" t="str">
        <f>TEXT(Table1_1[[#This Row],[OrderDate]],"MM")</f>
        <v>08</v>
      </c>
      <c r="X446" s="11"/>
    </row>
    <row r="447" spans="1:24" x14ac:dyDescent="0.25">
      <c r="A447" t="s">
        <v>23</v>
      </c>
      <c r="B447" s="2">
        <v>45722</v>
      </c>
      <c r="C447" s="2">
        <v>45747</v>
      </c>
      <c r="D447" t="s">
        <v>1413</v>
      </c>
      <c r="E447" s="10">
        <v>25</v>
      </c>
      <c r="F447" t="s">
        <v>1416</v>
      </c>
      <c r="G447" t="s">
        <v>644</v>
      </c>
      <c r="H447" t="s">
        <v>649</v>
      </c>
      <c r="I447" t="s">
        <v>668</v>
      </c>
      <c r="J447" t="s">
        <v>687</v>
      </c>
      <c r="K447">
        <v>4</v>
      </c>
      <c r="L447" s="3">
        <v>331.57</v>
      </c>
      <c r="M447" s="3">
        <v>548.4</v>
      </c>
      <c r="N447" s="3" t="str">
        <f>IF(Table1_1[[#This Row],[UnitPrice]]&lt;=816.08,"low",IF(Table1_1[[#This Row],[UnitPrice]]&lt;=1640.06,"medium","high"))</f>
        <v>low</v>
      </c>
      <c r="O447" s="4">
        <v>9.4E-2</v>
      </c>
      <c r="P447" s="3">
        <v>1987.4015999999999</v>
      </c>
      <c r="Q447" s="3">
        <v>1326.28</v>
      </c>
      <c r="R447" s="4">
        <v>0.33265626836568901</v>
      </c>
      <c r="S447" t="s">
        <v>654</v>
      </c>
      <c r="T447" s="3">
        <v>661.12159999999994</v>
      </c>
      <c r="U447" t="s">
        <v>1434</v>
      </c>
      <c r="V447" s="13" t="str">
        <f>TEXT(Table1_1[[#This Row],[OrderDate]],"MM YYYY")</f>
        <v>03 2025</v>
      </c>
      <c r="W447" s="11" t="str">
        <f>TEXT(Table1_1[[#This Row],[OrderDate]],"MM")</f>
        <v>03</v>
      </c>
      <c r="X447" s="11"/>
    </row>
    <row r="448" spans="1:24" x14ac:dyDescent="0.25">
      <c r="A448" t="s">
        <v>488</v>
      </c>
      <c r="B448" s="2">
        <v>45123</v>
      </c>
      <c r="C448" s="2">
        <v>45151</v>
      </c>
      <c r="D448" t="s">
        <v>1413</v>
      </c>
      <c r="E448" s="10">
        <v>28</v>
      </c>
      <c r="F448" t="s">
        <v>1406</v>
      </c>
      <c r="G448" t="s">
        <v>644</v>
      </c>
      <c r="H448" t="s">
        <v>649</v>
      </c>
      <c r="I448" t="s">
        <v>672</v>
      </c>
      <c r="J448" t="s">
        <v>1152</v>
      </c>
      <c r="K448">
        <v>8</v>
      </c>
      <c r="L448" s="3">
        <v>1039.03</v>
      </c>
      <c r="M448" s="3">
        <v>2545.81</v>
      </c>
      <c r="N448" s="3" t="str">
        <f>IF(Table1_1[[#This Row],[UnitPrice]]&lt;=816.08,"low",IF(Table1_1[[#This Row],[UnitPrice]]&lt;=1640.06,"medium","high"))</f>
        <v>high</v>
      </c>
      <c r="O448" s="4">
        <v>0.216</v>
      </c>
      <c r="P448" s="3">
        <v>15967.320320000001</v>
      </c>
      <c r="Q448" s="3">
        <v>8312.24</v>
      </c>
      <c r="R448" s="4">
        <v>0.47942172929364801</v>
      </c>
      <c r="S448" t="s">
        <v>654</v>
      </c>
      <c r="T448" s="3">
        <v>7655.0803200000009</v>
      </c>
      <c r="U448" t="s">
        <v>1430</v>
      </c>
      <c r="V448" s="13" t="str">
        <f>TEXT(Table1_1[[#This Row],[OrderDate]],"MM YYYY")</f>
        <v>07 2023</v>
      </c>
      <c r="W448" s="11" t="str">
        <f>TEXT(Table1_1[[#This Row],[OrderDate]],"MM")</f>
        <v>07</v>
      </c>
      <c r="X448" s="11"/>
    </row>
    <row r="449" spans="1:24" x14ac:dyDescent="0.25">
      <c r="A449" t="s">
        <v>118</v>
      </c>
      <c r="B449" s="2">
        <v>45518</v>
      </c>
      <c r="C449" s="2">
        <v>45539</v>
      </c>
      <c r="D449" t="s">
        <v>1413</v>
      </c>
      <c r="E449" s="10">
        <v>21</v>
      </c>
      <c r="F449" t="s">
        <v>1406</v>
      </c>
      <c r="G449" t="s">
        <v>644</v>
      </c>
      <c r="H449" t="s">
        <v>649</v>
      </c>
      <c r="I449" t="s">
        <v>671</v>
      </c>
      <c r="J449" t="s">
        <v>782</v>
      </c>
      <c r="K449">
        <v>25</v>
      </c>
      <c r="L449" s="3">
        <v>1138.8</v>
      </c>
      <c r="M449" s="3">
        <v>2250.81</v>
      </c>
      <c r="N449" s="3" t="str">
        <f>IF(Table1_1[[#This Row],[UnitPrice]]&lt;=816.08,"low",IF(Table1_1[[#This Row],[UnitPrice]]&lt;=1640.06,"medium","high"))</f>
        <v>high</v>
      </c>
      <c r="O449" s="4">
        <v>0.123</v>
      </c>
      <c r="P449" s="3">
        <v>49349.009250000003</v>
      </c>
      <c r="Q449" s="3">
        <v>28470</v>
      </c>
      <c r="R449" s="4">
        <v>0.42308872188756202</v>
      </c>
      <c r="S449" t="s">
        <v>654</v>
      </c>
      <c r="T449" s="3">
        <v>20879.009250000003</v>
      </c>
      <c r="U449" t="s">
        <v>1437</v>
      </c>
      <c r="V449" s="13" t="str">
        <f>TEXT(Table1_1[[#This Row],[OrderDate]],"MM YYYY")</f>
        <v>08 2024</v>
      </c>
      <c r="W449" s="11" t="str">
        <f>TEXT(Table1_1[[#This Row],[OrderDate]],"MM")</f>
        <v>08</v>
      </c>
      <c r="X449" s="11"/>
    </row>
    <row r="450" spans="1:24" x14ac:dyDescent="0.25">
      <c r="A450" t="s">
        <v>117</v>
      </c>
      <c r="B450" s="2">
        <v>45057</v>
      </c>
      <c r="C450" s="2">
        <v>45084</v>
      </c>
      <c r="D450" t="s">
        <v>1413</v>
      </c>
      <c r="E450" s="10">
        <v>27</v>
      </c>
      <c r="F450" t="s">
        <v>1393</v>
      </c>
      <c r="G450" t="s">
        <v>642</v>
      </c>
      <c r="H450" t="s">
        <v>649</v>
      </c>
      <c r="I450" t="s">
        <v>671</v>
      </c>
      <c r="J450" t="s">
        <v>781</v>
      </c>
      <c r="K450">
        <v>23</v>
      </c>
      <c r="L450" s="3">
        <v>12.85</v>
      </c>
      <c r="M450" s="3">
        <v>15.41</v>
      </c>
      <c r="N450" s="3" t="str">
        <f>IF(Table1_1[[#This Row],[UnitPrice]]&lt;=816.08,"low",IF(Table1_1[[#This Row],[UnitPrice]]&lt;=1640.06,"medium","high"))</f>
        <v>low</v>
      </c>
      <c r="O450" s="4">
        <v>0.13700000000000001</v>
      </c>
      <c r="P450" s="3">
        <v>305.87308999999999</v>
      </c>
      <c r="Q450" s="3">
        <v>295.55</v>
      </c>
      <c r="R450" s="4">
        <v>3.3749585489851297E-2</v>
      </c>
      <c r="S450" t="s">
        <v>654</v>
      </c>
      <c r="T450" s="3">
        <v>10.323089999999979</v>
      </c>
      <c r="U450" t="s">
        <v>1435</v>
      </c>
      <c r="V450" s="13" t="str">
        <f>TEXT(Table1_1[[#This Row],[OrderDate]],"MM YYYY")</f>
        <v>05 2023</v>
      </c>
      <c r="W450" s="11" t="str">
        <f>TEXT(Table1_1[[#This Row],[OrderDate]],"MM")</f>
        <v>05</v>
      </c>
      <c r="X450" s="11"/>
    </row>
    <row r="451" spans="1:24" x14ac:dyDescent="0.25">
      <c r="A451" t="s">
        <v>204</v>
      </c>
      <c r="B451" s="2">
        <v>45050</v>
      </c>
      <c r="C451" s="2">
        <v>45072</v>
      </c>
      <c r="D451" t="s">
        <v>1413</v>
      </c>
      <c r="E451" s="10">
        <v>22</v>
      </c>
      <c r="F451" t="s">
        <v>1419</v>
      </c>
      <c r="G451" t="s">
        <v>647</v>
      </c>
      <c r="H451" t="s">
        <v>649</v>
      </c>
      <c r="I451" t="s">
        <v>670</v>
      </c>
      <c r="J451" t="s">
        <v>869</v>
      </c>
      <c r="K451">
        <v>15</v>
      </c>
      <c r="L451" s="3">
        <v>249.71</v>
      </c>
      <c r="M451" s="3">
        <v>361.33</v>
      </c>
      <c r="N451" s="3" t="str">
        <f>IF(Table1_1[[#This Row],[UnitPrice]]&lt;=816.08,"low",IF(Table1_1[[#This Row],[UnitPrice]]&lt;=1640.06,"medium","high"))</f>
        <v>low</v>
      </c>
      <c r="O451" s="4">
        <v>9.4E-2</v>
      </c>
      <c r="P451" s="3">
        <v>4910.4746999999998</v>
      </c>
      <c r="Q451" s="3">
        <v>3745.65</v>
      </c>
      <c r="R451" s="4">
        <v>0.237212239378812</v>
      </c>
      <c r="S451" t="s">
        <v>654</v>
      </c>
      <c r="T451" s="3">
        <v>1164.8246999999997</v>
      </c>
      <c r="U451" t="s">
        <v>1435</v>
      </c>
      <c r="V451" s="13" t="str">
        <f>TEXT(Table1_1[[#This Row],[OrderDate]],"MM YYYY")</f>
        <v>05 2023</v>
      </c>
      <c r="W451" s="11" t="str">
        <f>TEXT(Table1_1[[#This Row],[OrderDate]],"MM")</f>
        <v>05</v>
      </c>
      <c r="X451" s="11"/>
    </row>
    <row r="452" spans="1:24" x14ac:dyDescent="0.25">
      <c r="A452" t="s">
        <v>147</v>
      </c>
      <c r="B452" s="2">
        <v>45640</v>
      </c>
      <c r="C452" s="2">
        <v>45669</v>
      </c>
      <c r="D452" t="s">
        <v>1413</v>
      </c>
      <c r="E452" s="10">
        <v>29</v>
      </c>
      <c r="F452" t="s">
        <v>1394</v>
      </c>
      <c r="G452" t="s">
        <v>643</v>
      </c>
      <c r="H452" t="s">
        <v>649</v>
      </c>
      <c r="I452" t="s">
        <v>668</v>
      </c>
      <c r="J452" t="s">
        <v>811</v>
      </c>
      <c r="K452">
        <v>7</v>
      </c>
      <c r="L452" s="3">
        <v>1412.15</v>
      </c>
      <c r="M452" s="3">
        <v>1631.04</v>
      </c>
      <c r="N452" s="3" t="str">
        <f>IF(Table1_1[[#This Row],[UnitPrice]]&lt;=816.08,"low",IF(Table1_1[[#This Row],[UnitPrice]]&lt;=1640.06,"medium","high"))</f>
        <v>medium</v>
      </c>
      <c r="O452" s="4">
        <v>8.9999999999999993E-3</v>
      </c>
      <c r="P452" s="3">
        <v>11314.524479999998</v>
      </c>
      <c r="Q452" s="3">
        <v>9885.0500000000011</v>
      </c>
      <c r="R452" s="4">
        <v>0.12633977526203499</v>
      </c>
      <c r="S452" t="s">
        <v>654</v>
      </c>
      <c r="T452" s="3">
        <v>1429.4744799999971</v>
      </c>
      <c r="U452" t="s">
        <v>1440</v>
      </c>
      <c r="V452" s="13" t="str">
        <f>TEXT(Table1_1[[#This Row],[OrderDate]],"MM YYYY")</f>
        <v>12 2024</v>
      </c>
      <c r="W452" s="11" t="str">
        <f>TEXT(Table1_1[[#This Row],[OrderDate]],"MM")</f>
        <v>12</v>
      </c>
      <c r="X452" s="11"/>
    </row>
    <row r="453" spans="1:24" x14ac:dyDescent="0.25">
      <c r="A453" t="s">
        <v>121</v>
      </c>
      <c r="B453" s="2">
        <v>45452</v>
      </c>
      <c r="C453" s="2">
        <v>45480</v>
      </c>
      <c r="D453" t="s">
        <v>1413</v>
      </c>
      <c r="E453" s="10">
        <v>28</v>
      </c>
      <c r="F453" t="s">
        <v>1394</v>
      </c>
      <c r="G453" t="s">
        <v>642</v>
      </c>
      <c r="H453" t="s">
        <v>649</v>
      </c>
      <c r="I453" t="s">
        <v>668</v>
      </c>
      <c r="J453" t="s">
        <v>785</v>
      </c>
      <c r="K453">
        <v>10</v>
      </c>
      <c r="L453" s="3">
        <v>550.22</v>
      </c>
      <c r="M453" s="3">
        <v>1025.05</v>
      </c>
      <c r="N453" s="3" t="str">
        <f>IF(Table1_1[[#This Row],[UnitPrice]]&lt;=816.08,"low",IF(Table1_1[[#This Row],[UnitPrice]]&lt;=1640.06,"medium","high"))</f>
        <v>medium</v>
      </c>
      <c r="O453" s="4">
        <v>0</v>
      </c>
      <c r="P453" s="3">
        <v>10250.5</v>
      </c>
      <c r="Q453" s="3">
        <v>5502.2000000000007</v>
      </c>
      <c r="R453" s="4">
        <v>0.46322618408858102</v>
      </c>
      <c r="S453" t="s">
        <v>654</v>
      </c>
      <c r="T453" s="3">
        <v>4748.2999999999993</v>
      </c>
      <c r="U453" t="s">
        <v>1436</v>
      </c>
      <c r="V453" s="13" t="str">
        <f>TEXT(Table1_1[[#This Row],[OrderDate]],"MM YYYY")</f>
        <v>06 2024</v>
      </c>
      <c r="W453" s="11" t="str">
        <f>TEXT(Table1_1[[#This Row],[OrderDate]],"MM")</f>
        <v>06</v>
      </c>
      <c r="X453" s="11"/>
    </row>
    <row r="454" spans="1:24" x14ac:dyDescent="0.25">
      <c r="A454" t="s">
        <v>66</v>
      </c>
      <c r="B454" s="2">
        <v>45753</v>
      </c>
      <c r="C454" s="2">
        <v>45777</v>
      </c>
      <c r="D454" t="s">
        <v>1413</v>
      </c>
      <c r="E454" s="10">
        <v>24</v>
      </c>
      <c r="F454" t="s">
        <v>1416</v>
      </c>
      <c r="G454" t="s">
        <v>643</v>
      </c>
      <c r="H454" t="s">
        <v>649</v>
      </c>
      <c r="I454" t="s">
        <v>673</v>
      </c>
      <c r="J454" t="s">
        <v>730</v>
      </c>
      <c r="K454">
        <v>12</v>
      </c>
      <c r="L454" s="3">
        <v>855.78</v>
      </c>
      <c r="M454" s="3">
        <v>977.38</v>
      </c>
      <c r="N454" s="3" t="str">
        <f>IF(Table1_1[[#This Row],[UnitPrice]]&lt;=816.08,"low",IF(Table1_1[[#This Row],[UnitPrice]]&lt;=1640.06,"medium","high"))</f>
        <v>medium</v>
      </c>
      <c r="O454" s="4">
        <v>0.14699999999999999</v>
      </c>
      <c r="P454" s="3">
        <v>10004.461679999999</v>
      </c>
      <c r="Q454" s="3">
        <v>10269.36</v>
      </c>
      <c r="R454" s="4">
        <v>-2.6478018355506599E-2</v>
      </c>
      <c r="S454" t="s">
        <v>664</v>
      </c>
      <c r="T454" s="3">
        <v>-264.89832000000206</v>
      </c>
      <c r="U454" t="s">
        <v>1431</v>
      </c>
      <c r="V454" s="13" t="str">
        <f>TEXT(Table1_1[[#This Row],[OrderDate]],"MM YYYY")</f>
        <v>04 2025</v>
      </c>
      <c r="W454" s="11" t="str">
        <f>TEXT(Table1_1[[#This Row],[OrderDate]],"MM")</f>
        <v>04</v>
      </c>
      <c r="X454" s="11"/>
    </row>
    <row r="455" spans="1:24" x14ac:dyDescent="0.25">
      <c r="A455" t="s">
        <v>52</v>
      </c>
      <c r="B455" s="2">
        <v>45302</v>
      </c>
      <c r="C455" s="2">
        <v>45324</v>
      </c>
      <c r="D455" t="s">
        <v>1413</v>
      </c>
      <c r="E455" s="10">
        <v>22</v>
      </c>
      <c r="F455" t="s">
        <v>1402</v>
      </c>
      <c r="G455" t="s">
        <v>645</v>
      </c>
      <c r="H455" t="s">
        <v>649</v>
      </c>
      <c r="I455" t="s">
        <v>670</v>
      </c>
      <c r="J455" t="s">
        <v>716</v>
      </c>
      <c r="K455">
        <v>19</v>
      </c>
      <c r="L455" s="3">
        <v>1206.2</v>
      </c>
      <c r="M455" s="3">
        <v>1759.79</v>
      </c>
      <c r="N455" s="3" t="str">
        <f>IF(Table1_1[[#This Row],[UnitPrice]]&lt;=816.08,"low",IF(Table1_1[[#This Row],[UnitPrice]]&lt;=1640.06,"medium","high"))</f>
        <v>high</v>
      </c>
      <c r="O455" s="4">
        <v>0</v>
      </c>
      <c r="P455" s="3">
        <v>33436.01</v>
      </c>
      <c r="Q455" s="3">
        <v>22917.8</v>
      </c>
      <c r="R455" s="4">
        <v>0.31457730751964702</v>
      </c>
      <c r="S455" t="s">
        <v>664</v>
      </c>
      <c r="T455" s="3">
        <v>10518.210000000003</v>
      </c>
      <c r="U455" t="s">
        <v>1433</v>
      </c>
      <c r="V455" s="13" t="str">
        <f>TEXT(Table1_1[[#This Row],[OrderDate]],"MM YYYY")</f>
        <v>01 2024</v>
      </c>
      <c r="W455" s="11" t="str">
        <f>TEXT(Table1_1[[#This Row],[OrderDate]],"MM")</f>
        <v>01</v>
      </c>
      <c r="X455" s="11"/>
    </row>
    <row r="456" spans="1:24" x14ac:dyDescent="0.25">
      <c r="A456" t="s">
        <v>483</v>
      </c>
      <c r="B456" s="2">
        <v>45328</v>
      </c>
      <c r="C456" s="2">
        <v>45350</v>
      </c>
      <c r="D456" t="s">
        <v>1413</v>
      </c>
      <c r="E456" s="10">
        <v>22</v>
      </c>
      <c r="F456" t="s">
        <v>1383</v>
      </c>
      <c r="G456" t="s">
        <v>644</v>
      </c>
      <c r="H456" t="s">
        <v>649</v>
      </c>
      <c r="I456" t="s">
        <v>673</v>
      </c>
      <c r="J456" t="s">
        <v>1147</v>
      </c>
      <c r="K456">
        <v>15</v>
      </c>
      <c r="L456" s="3">
        <v>834.93</v>
      </c>
      <c r="M456" s="3">
        <v>1588.53</v>
      </c>
      <c r="N456" s="3" t="str">
        <f>IF(Table1_1[[#This Row],[UnitPrice]]&lt;=816.08,"low",IF(Table1_1[[#This Row],[UnitPrice]]&lt;=1640.06,"medium","high"))</f>
        <v>medium</v>
      </c>
      <c r="O456" s="4">
        <v>0.126</v>
      </c>
      <c r="P456" s="3">
        <v>20825.6283</v>
      </c>
      <c r="Q456" s="3">
        <v>12523.949999999999</v>
      </c>
      <c r="R456" s="4">
        <v>0.39862798761274398</v>
      </c>
      <c r="S456" t="s">
        <v>664</v>
      </c>
      <c r="T456" s="3">
        <v>8301.6783000000014</v>
      </c>
      <c r="U456" t="s">
        <v>1433</v>
      </c>
      <c r="V456" s="13" t="str">
        <f>TEXT(Table1_1[[#This Row],[OrderDate]],"MM YYYY")</f>
        <v>02 2024</v>
      </c>
      <c r="W456" s="11" t="str">
        <f>TEXT(Table1_1[[#This Row],[OrderDate]],"MM")</f>
        <v>02</v>
      </c>
      <c r="X456" s="11"/>
    </row>
    <row r="457" spans="1:24" x14ac:dyDescent="0.25">
      <c r="A457" t="s">
        <v>628</v>
      </c>
      <c r="B457" s="2">
        <v>45849</v>
      </c>
      <c r="C457" s="2">
        <v>45854</v>
      </c>
      <c r="D457" t="s">
        <v>1413</v>
      </c>
      <c r="E457" s="10">
        <v>5</v>
      </c>
      <c r="F457" t="s">
        <v>1399</v>
      </c>
      <c r="G457" t="s">
        <v>647</v>
      </c>
      <c r="H457" t="s">
        <v>649</v>
      </c>
      <c r="I457" t="s">
        <v>669</v>
      </c>
      <c r="J457" t="s">
        <v>1291</v>
      </c>
      <c r="K457">
        <v>8</v>
      </c>
      <c r="L457" s="3">
        <v>930.03</v>
      </c>
      <c r="M457" s="3">
        <v>1086.68</v>
      </c>
      <c r="N457" s="3" t="str">
        <f>IF(Table1_1[[#This Row],[UnitPrice]]&lt;=816.08,"low",IF(Table1_1[[#This Row],[UnitPrice]]&lt;=1640.06,"medium","high"))</f>
        <v>medium</v>
      </c>
      <c r="O457" s="4">
        <v>0.109</v>
      </c>
      <c r="P457" s="3">
        <v>7745.8550400000004</v>
      </c>
      <c r="Q457" s="3">
        <v>7440.24</v>
      </c>
      <c r="R457" s="4">
        <v>3.9455300728168601E-2</v>
      </c>
      <c r="S457" t="s">
        <v>664</v>
      </c>
      <c r="T457" s="3">
        <v>305.61504000000059</v>
      </c>
      <c r="U457" t="s">
        <v>1438</v>
      </c>
      <c r="V457" s="13" t="str">
        <f>TEXT(Table1_1[[#This Row],[OrderDate]],"MM YYYY")</f>
        <v>07 2025</v>
      </c>
      <c r="W457" s="11" t="str">
        <f>TEXT(Table1_1[[#This Row],[OrderDate]],"MM")</f>
        <v>07</v>
      </c>
      <c r="X457" s="11"/>
    </row>
    <row r="458" spans="1:24" x14ac:dyDescent="0.25">
      <c r="A458" t="s">
        <v>212</v>
      </c>
      <c r="B458" s="2">
        <v>45153</v>
      </c>
      <c r="C458" s="2">
        <v>45176</v>
      </c>
      <c r="D458" t="s">
        <v>1413</v>
      </c>
      <c r="E458" s="10">
        <v>23</v>
      </c>
      <c r="F458" t="s">
        <v>1428</v>
      </c>
      <c r="G458" t="s">
        <v>647</v>
      </c>
      <c r="H458" t="s">
        <v>649</v>
      </c>
      <c r="I458" t="s">
        <v>671</v>
      </c>
      <c r="J458" t="s">
        <v>877</v>
      </c>
      <c r="K458">
        <v>42</v>
      </c>
      <c r="L458" s="3">
        <v>590.33000000000004</v>
      </c>
      <c r="M458" s="3">
        <v>973.04</v>
      </c>
      <c r="N458" s="3" t="str">
        <f>IF(Table1_1[[#This Row],[UnitPrice]]&lt;=816.08,"low",IF(Table1_1[[#This Row],[UnitPrice]]&lt;=1640.06,"medium","high"))</f>
        <v>medium</v>
      </c>
      <c r="O458" s="4">
        <v>0</v>
      </c>
      <c r="P458" s="3">
        <v>40867.68</v>
      </c>
      <c r="Q458" s="3">
        <v>24793.86</v>
      </c>
      <c r="R458" s="4">
        <v>0.39331373838691103</v>
      </c>
      <c r="S458" t="s">
        <v>664</v>
      </c>
      <c r="T458" s="3">
        <v>16073.82</v>
      </c>
      <c r="U458" t="s">
        <v>1430</v>
      </c>
      <c r="V458" s="13" t="str">
        <f>TEXT(Table1_1[[#This Row],[OrderDate]],"MM YYYY")</f>
        <v>08 2023</v>
      </c>
      <c r="W458" s="11" t="str">
        <f>TEXT(Table1_1[[#This Row],[OrderDate]],"MM")</f>
        <v>08</v>
      </c>
      <c r="X458" s="11"/>
    </row>
    <row r="459" spans="1:24" x14ac:dyDescent="0.25">
      <c r="A459" t="s">
        <v>166</v>
      </c>
      <c r="B459" s="2">
        <v>45511</v>
      </c>
      <c r="C459" s="2">
        <v>45521</v>
      </c>
      <c r="D459" t="s">
        <v>1413</v>
      </c>
      <c r="E459" s="10">
        <v>10</v>
      </c>
      <c r="F459" t="s">
        <v>1387</v>
      </c>
      <c r="G459" t="s">
        <v>645</v>
      </c>
      <c r="H459" t="s">
        <v>649</v>
      </c>
      <c r="I459" t="s">
        <v>670</v>
      </c>
      <c r="J459" t="s">
        <v>830</v>
      </c>
      <c r="K459">
        <v>12</v>
      </c>
      <c r="L459" s="3">
        <v>436.58</v>
      </c>
      <c r="M459" s="3">
        <v>527.48</v>
      </c>
      <c r="N459" s="3" t="str">
        <f>IF(Table1_1[[#This Row],[UnitPrice]]&lt;=816.08,"low",IF(Table1_1[[#This Row],[UnitPrice]]&lt;=1640.06,"medium","high"))</f>
        <v>low</v>
      </c>
      <c r="O459" s="4">
        <v>0.111</v>
      </c>
      <c r="P459" s="3">
        <v>5627.1566400000002</v>
      </c>
      <c r="Q459" s="3">
        <v>5238.96</v>
      </c>
      <c r="R459" s="4">
        <v>6.8986286473802505E-2</v>
      </c>
      <c r="S459" t="s">
        <v>664</v>
      </c>
      <c r="T459" s="3">
        <v>388.19664000000012</v>
      </c>
      <c r="U459" t="s">
        <v>1437</v>
      </c>
      <c r="V459" s="13" t="str">
        <f>TEXT(Table1_1[[#This Row],[OrderDate]],"MM YYYY")</f>
        <v>08 2024</v>
      </c>
      <c r="W459" s="11" t="str">
        <f>TEXT(Table1_1[[#This Row],[OrderDate]],"MM")</f>
        <v>08</v>
      </c>
      <c r="X459" s="11"/>
    </row>
    <row r="460" spans="1:24" x14ac:dyDescent="0.25">
      <c r="A460" t="s">
        <v>284</v>
      </c>
      <c r="B460" s="2">
        <v>45367</v>
      </c>
      <c r="C460" s="2">
        <v>45395</v>
      </c>
      <c r="D460" t="s">
        <v>1413</v>
      </c>
      <c r="E460" s="10">
        <v>28</v>
      </c>
      <c r="F460" t="s">
        <v>1404</v>
      </c>
      <c r="G460" t="s">
        <v>646</v>
      </c>
      <c r="H460" t="s">
        <v>649</v>
      </c>
      <c r="I460" t="s">
        <v>669</v>
      </c>
      <c r="J460" t="s">
        <v>949</v>
      </c>
      <c r="K460">
        <v>21</v>
      </c>
      <c r="L460" s="3">
        <v>287.61</v>
      </c>
      <c r="M460" s="3">
        <v>628.54</v>
      </c>
      <c r="N460" s="3" t="str">
        <f>IF(Table1_1[[#This Row],[UnitPrice]]&lt;=816.08,"low",IF(Table1_1[[#This Row],[UnitPrice]]&lt;=1640.06,"medium","high"))</f>
        <v>low</v>
      </c>
      <c r="O460" s="4">
        <v>0.13500000000000001</v>
      </c>
      <c r="P460" s="3">
        <v>11417.429099999999</v>
      </c>
      <c r="Q460" s="3">
        <v>6039.81</v>
      </c>
      <c r="R460" s="4">
        <v>0.47100087531964602</v>
      </c>
      <c r="S460" t="s">
        <v>664</v>
      </c>
      <c r="T460" s="3">
        <v>5377.619099999999</v>
      </c>
      <c r="U460" t="s">
        <v>1433</v>
      </c>
      <c r="V460" s="13" t="str">
        <f>TEXT(Table1_1[[#This Row],[OrderDate]],"MM YYYY")</f>
        <v>03 2024</v>
      </c>
      <c r="W460" s="11" t="str">
        <f>TEXT(Table1_1[[#This Row],[OrderDate]],"MM")</f>
        <v>03</v>
      </c>
      <c r="X460" s="11"/>
    </row>
    <row r="461" spans="1:24" x14ac:dyDescent="0.25">
      <c r="A461" t="s">
        <v>205</v>
      </c>
      <c r="B461" s="2">
        <v>45557</v>
      </c>
      <c r="C461" s="2">
        <v>45566</v>
      </c>
      <c r="D461" t="s">
        <v>1413</v>
      </c>
      <c r="E461" s="10">
        <v>9</v>
      </c>
      <c r="F461" t="s">
        <v>1417</v>
      </c>
      <c r="G461" t="s">
        <v>644</v>
      </c>
      <c r="H461" t="s">
        <v>649</v>
      </c>
      <c r="I461" t="s">
        <v>673</v>
      </c>
      <c r="J461" t="s">
        <v>870</v>
      </c>
      <c r="K461">
        <v>13</v>
      </c>
      <c r="L461" s="3">
        <v>1378.8</v>
      </c>
      <c r="M461" s="3">
        <v>1952.04</v>
      </c>
      <c r="N461" s="3" t="str">
        <f>IF(Table1_1[[#This Row],[UnitPrice]]&lt;=816.08,"low",IF(Table1_1[[#This Row],[UnitPrice]]&lt;=1640.06,"medium","high"))</f>
        <v>high</v>
      </c>
      <c r="O461" s="4">
        <v>0.159</v>
      </c>
      <c r="P461" s="3">
        <v>21341.653320000001</v>
      </c>
      <c r="Q461" s="3">
        <v>17924.399999999998</v>
      </c>
      <c r="R461" s="4">
        <v>0.160121302167231</v>
      </c>
      <c r="S461" t="s">
        <v>664</v>
      </c>
      <c r="T461" s="3">
        <v>3417.2533200000034</v>
      </c>
      <c r="U461" t="s">
        <v>1437</v>
      </c>
      <c r="V461" s="13" t="str">
        <f>TEXT(Table1_1[[#This Row],[OrderDate]],"MM YYYY")</f>
        <v>09 2024</v>
      </c>
      <c r="W461" s="11" t="str">
        <f>TEXT(Table1_1[[#This Row],[OrderDate]],"MM")</f>
        <v>09</v>
      </c>
      <c r="X461" s="11"/>
    </row>
    <row r="462" spans="1:24" x14ac:dyDescent="0.25">
      <c r="A462" t="s">
        <v>373</v>
      </c>
      <c r="B462" s="2">
        <v>45360</v>
      </c>
      <c r="C462" s="2">
        <v>45377</v>
      </c>
      <c r="D462" t="s">
        <v>1413</v>
      </c>
      <c r="E462" s="10">
        <v>17</v>
      </c>
      <c r="F462" t="s">
        <v>1394</v>
      </c>
      <c r="G462" t="s">
        <v>647</v>
      </c>
      <c r="H462" t="s">
        <v>649</v>
      </c>
      <c r="I462" t="s">
        <v>673</v>
      </c>
      <c r="J462" t="s">
        <v>1038</v>
      </c>
      <c r="K462">
        <v>9</v>
      </c>
      <c r="L462" s="3">
        <v>1029.67</v>
      </c>
      <c r="M462" s="3">
        <v>1118.43</v>
      </c>
      <c r="N462" s="3" t="str">
        <f>IF(Table1_1[[#This Row],[UnitPrice]]&lt;=816.08,"low",IF(Table1_1[[#This Row],[UnitPrice]]&lt;=1640.06,"medium","high"))</f>
        <v>medium</v>
      </c>
      <c r="O462" s="4">
        <v>0.27200000000000002</v>
      </c>
      <c r="P462" s="3">
        <v>7327.9533600000004</v>
      </c>
      <c r="Q462" s="3">
        <v>9267.0300000000007</v>
      </c>
      <c r="R462" s="4">
        <v>-0.264613671067361</v>
      </c>
      <c r="S462" t="s">
        <v>664</v>
      </c>
      <c r="T462" s="3">
        <v>-1939.0766400000002</v>
      </c>
      <c r="U462" t="s">
        <v>1433</v>
      </c>
      <c r="V462" s="13" t="str">
        <f>TEXT(Table1_1[[#This Row],[OrderDate]],"MM YYYY")</f>
        <v>03 2024</v>
      </c>
      <c r="W462" s="11" t="str">
        <f>TEXT(Table1_1[[#This Row],[OrderDate]],"MM")</f>
        <v>03</v>
      </c>
      <c r="X462" s="11"/>
    </row>
    <row r="463" spans="1:24" x14ac:dyDescent="0.25">
      <c r="A463" t="s">
        <v>441</v>
      </c>
      <c r="B463" s="2">
        <v>45654</v>
      </c>
      <c r="C463" s="2">
        <v>45665</v>
      </c>
      <c r="D463" t="s">
        <v>1413</v>
      </c>
      <c r="E463" s="10">
        <v>11</v>
      </c>
      <c r="F463" t="s">
        <v>1394</v>
      </c>
      <c r="G463" t="s">
        <v>647</v>
      </c>
      <c r="H463" t="s">
        <v>649</v>
      </c>
      <c r="I463" t="s">
        <v>672</v>
      </c>
      <c r="J463" t="s">
        <v>1105</v>
      </c>
      <c r="K463">
        <v>17</v>
      </c>
      <c r="L463" s="3">
        <v>1201.31</v>
      </c>
      <c r="M463" s="3">
        <v>2764.65</v>
      </c>
      <c r="N463" s="3" t="str">
        <f>IF(Table1_1[[#This Row],[UnitPrice]]&lt;=816.08,"low",IF(Table1_1[[#This Row],[UnitPrice]]&lt;=1640.06,"medium","high"))</f>
        <v>high</v>
      </c>
      <c r="O463" s="4">
        <v>0</v>
      </c>
      <c r="P463" s="3">
        <v>46999.05</v>
      </c>
      <c r="Q463" s="3">
        <v>20422.27</v>
      </c>
      <c r="R463" s="4">
        <v>0.56547483406579502</v>
      </c>
      <c r="S463" t="s">
        <v>664</v>
      </c>
      <c r="T463" s="3">
        <v>26576.780000000002</v>
      </c>
      <c r="U463" t="s">
        <v>1440</v>
      </c>
      <c r="V463" s="13" t="str">
        <f>TEXT(Table1_1[[#This Row],[OrderDate]],"MM YYYY")</f>
        <v>12 2024</v>
      </c>
      <c r="W463" s="11" t="str">
        <f>TEXT(Table1_1[[#This Row],[OrderDate]],"MM")</f>
        <v>12</v>
      </c>
      <c r="X463" s="11"/>
    </row>
    <row r="464" spans="1:24" x14ac:dyDescent="0.25">
      <c r="A464" t="s">
        <v>572</v>
      </c>
      <c r="B464" s="2">
        <v>45626</v>
      </c>
      <c r="C464" s="2">
        <v>45645</v>
      </c>
      <c r="D464" t="s">
        <v>1413</v>
      </c>
      <c r="E464" s="10">
        <v>19</v>
      </c>
      <c r="F464" t="s">
        <v>1383</v>
      </c>
      <c r="G464" t="s">
        <v>642</v>
      </c>
      <c r="H464" t="s">
        <v>649</v>
      </c>
      <c r="I464" t="s">
        <v>671</v>
      </c>
      <c r="J464" t="s">
        <v>1235</v>
      </c>
      <c r="K464">
        <v>5</v>
      </c>
      <c r="L464" s="3">
        <v>1195.98</v>
      </c>
      <c r="M464" s="3">
        <v>1841.9</v>
      </c>
      <c r="N464" s="3" t="str">
        <f>IF(Table1_1[[#This Row],[UnitPrice]]&lt;=816.08,"low",IF(Table1_1[[#This Row],[UnitPrice]]&lt;=1640.06,"medium","high"))</f>
        <v>high</v>
      </c>
      <c r="O464" s="4">
        <v>5.5E-2</v>
      </c>
      <c r="P464" s="3">
        <v>8702.9774999999991</v>
      </c>
      <c r="Q464" s="3">
        <v>5979.9</v>
      </c>
      <c r="R464" s="4">
        <v>0.31289032977506798</v>
      </c>
      <c r="S464" t="s">
        <v>657</v>
      </c>
      <c r="T464" s="3">
        <v>2723.0774999999994</v>
      </c>
      <c r="U464" t="s">
        <v>1440</v>
      </c>
      <c r="V464" s="13" t="str">
        <f>TEXT(Table1_1[[#This Row],[OrderDate]],"MM YYYY")</f>
        <v>11 2024</v>
      </c>
      <c r="W464" s="11" t="str">
        <f>TEXT(Table1_1[[#This Row],[OrderDate]],"MM")</f>
        <v>11</v>
      </c>
      <c r="X464" s="11"/>
    </row>
    <row r="465" spans="1:24" x14ac:dyDescent="0.25">
      <c r="A465" t="s">
        <v>482</v>
      </c>
      <c r="B465" s="2">
        <v>45841</v>
      </c>
      <c r="C465" s="2">
        <v>45861</v>
      </c>
      <c r="D465" t="s">
        <v>1413</v>
      </c>
      <c r="E465" s="10">
        <v>20</v>
      </c>
      <c r="F465" t="s">
        <v>1411</v>
      </c>
      <c r="G465" t="s">
        <v>646</v>
      </c>
      <c r="H465" t="s">
        <v>649</v>
      </c>
      <c r="I465" t="s">
        <v>668</v>
      </c>
      <c r="J465" t="s">
        <v>1146</v>
      </c>
      <c r="K465">
        <v>13</v>
      </c>
      <c r="L465" s="3">
        <v>647.36</v>
      </c>
      <c r="M465" s="3">
        <v>1383.6</v>
      </c>
      <c r="N465" s="3" t="str">
        <f>IF(Table1_1[[#This Row],[UnitPrice]]&lt;=816.08,"low",IF(Table1_1[[#This Row],[UnitPrice]]&lt;=1640.06,"medium","high"))</f>
        <v>medium</v>
      </c>
      <c r="O465" s="4">
        <v>7.3999999999999996E-2</v>
      </c>
      <c r="P465" s="3">
        <v>16655.7768</v>
      </c>
      <c r="Q465" s="3">
        <v>8415.68</v>
      </c>
      <c r="R465" s="4">
        <v>0.49472906000997802</v>
      </c>
      <c r="S465" t="s">
        <v>665</v>
      </c>
      <c r="T465" s="3">
        <v>8240.0967999999993</v>
      </c>
      <c r="U465" t="s">
        <v>1438</v>
      </c>
      <c r="V465" s="13" t="str">
        <f>TEXT(Table1_1[[#This Row],[OrderDate]],"MM YYYY")</f>
        <v>07 2025</v>
      </c>
      <c r="W465" s="11" t="str">
        <f>TEXT(Table1_1[[#This Row],[OrderDate]],"MM")</f>
        <v>07</v>
      </c>
      <c r="X465" s="11"/>
    </row>
    <row r="466" spans="1:24" x14ac:dyDescent="0.25">
      <c r="A466" t="s">
        <v>116</v>
      </c>
      <c r="B466" s="2">
        <v>45433</v>
      </c>
      <c r="C466" s="2">
        <v>45439</v>
      </c>
      <c r="D466" t="s">
        <v>1413</v>
      </c>
      <c r="E466" s="10">
        <v>6</v>
      </c>
      <c r="F466" t="s">
        <v>1398</v>
      </c>
      <c r="G466" t="s">
        <v>644</v>
      </c>
      <c r="H466" t="s">
        <v>649</v>
      </c>
      <c r="I466" t="s">
        <v>668</v>
      </c>
      <c r="J466" t="s">
        <v>780</v>
      </c>
      <c r="K466">
        <v>4</v>
      </c>
      <c r="L466" s="3">
        <v>1157.51</v>
      </c>
      <c r="M466" s="3">
        <v>1394.3</v>
      </c>
      <c r="N466" s="3" t="str">
        <f>IF(Table1_1[[#This Row],[UnitPrice]]&lt;=816.08,"low",IF(Table1_1[[#This Row],[UnitPrice]]&lt;=1640.06,"medium","high"))</f>
        <v>medium</v>
      </c>
      <c r="O466" s="4">
        <v>0.27800000000000002</v>
      </c>
      <c r="P466" s="3">
        <v>4026.7383999999997</v>
      </c>
      <c r="Q466" s="3">
        <v>4630.04</v>
      </c>
      <c r="R466" s="4">
        <v>-0.14982388724333301</v>
      </c>
      <c r="S466" t="s">
        <v>665</v>
      </c>
      <c r="T466" s="3">
        <v>-603.30160000000024</v>
      </c>
      <c r="U466" t="s">
        <v>1436</v>
      </c>
      <c r="V466" s="13" t="str">
        <f>TEXT(Table1_1[[#This Row],[OrderDate]],"MM YYYY")</f>
        <v>05 2024</v>
      </c>
      <c r="W466" s="11" t="str">
        <f>TEXT(Table1_1[[#This Row],[OrderDate]],"MM")</f>
        <v>05</v>
      </c>
      <c r="X466" s="11"/>
    </row>
    <row r="467" spans="1:24" x14ac:dyDescent="0.25">
      <c r="A467" t="s">
        <v>81</v>
      </c>
      <c r="B467" s="2">
        <v>45369</v>
      </c>
      <c r="C467" s="2">
        <v>45372</v>
      </c>
      <c r="D467" t="s">
        <v>1413</v>
      </c>
      <c r="E467" s="10">
        <v>3</v>
      </c>
      <c r="F467" t="s">
        <v>1400</v>
      </c>
      <c r="G467" t="s">
        <v>646</v>
      </c>
      <c r="H467" t="s">
        <v>649</v>
      </c>
      <c r="I467" t="s">
        <v>674</v>
      </c>
      <c r="J467" t="s">
        <v>745</v>
      </c>
      <c r="K467">
        <v>40</v>
      </c>
      <c r="L467" s="3">
        <v>910.63</v>
      </c>
      <c r="M467" s="3">
        <v>1269.4000000000001</v>
      </c>
      <c r="N467" s="3" t="str">
        <f>IF(Table1_1[[#This Row],[UnitPrice]]&lt;=816.08,"low",IF(Table1_1[[#This Row],[UnitPrice]]&lt;=1640.06,"medium","high"))</f>
        <v>medium</v>
      </c>
      <c r="O467" s="4">
        <v>6.8000000000000005E-2</v>
      </c>
      <c r="P467" s="3">
        <v>47323.231999999996</v>
      </c>
      <c r="Q467" s="3">
        <v>36425.199999999997</v>
      </c>
      <c r="R467" s="4">
        <v>0.230289258349895</v>
      </c>
      <c r="S467" t="s">
        <v>665</v>
      </c>
      <c r="T467" s="3">
        <v>10898.031999999999</v>
      </c>
      <c r="U467" t="s">
        <v>1433</v>
      </c>
      <c r="V467" s="13" t="str">
        <f>TEXT(Table1_1[[#This Row],[OrderDate]],"MM YYYY")</f>
        <v>03 2024</v>
      </c>
      <c r="W467" s="11" t="str">
        <f>TEXT(Table1_1[[#This Row],[OrderDate]],"MM")</f>
        <v>03</v>
      </c>
      <c r="X467" s="11"/>
    </row>
    <row r="468" spans="1:24" x14ac:dyDescent="0.25">
      <c r="A468" t="s">
        <v>183</v>
      </c>
      <c r="B468" s="2">
        <v>44981</v>
      </c>
      <c r="C468" s="2">
        <v>44994</v>
      </c>
      <c r="D468" t="s">
        <v>1413</v>
      </c>
      <c r="E468" s="10">
        <v>13</v>
      </c>
      <c r="F468" t="s">
        <v>1428</v>
      </c>
      <c r="G468" t="s">
        <v>647</v>
      </c>
      <c r="H468" t="s">
        <v>649</v>
      </c>
      <c r="I468" t="s">
        <v>668</v>
      </c>
      <c r="J468" t="s">
        <v>847</v>
      </c>
      <c r="K468">
        <v>6</v>
      </c>
      <c r="L468" s="3">
        <v>6.85</v>
      </c>
      <c r="M468" s="3">
        <v>10.18</v>
      </c>
      <c r="N468" s="3" t="str">
        <f>IF(Table1_1[[#This Row],[UnitPrice]]&lt;=816.08,"low",IF(Table1_1[[#This Row],[UnitPrice]]&lt;=1640.06,"medium","high"))</f>
        <v>low</v>
      </c>
      <c r="O468" s="4">
        <v>4.7E-2</v>
      </c>
      <c r="P468" s="3">
        <v>58.209239999999994</v>
      </c>
      <c r="Q468" s="3">
        <v>41.099999999999994</v>
      </c>
      <c r="R468" s="4">
        <v>0.29392653125173901</v>
      </c>
      <c r="S468" t="s">
        <v>665</v>
      </c>
      <c r="T468" s="3">
        <v>17.10924</v>
      </c>
      <c r="U468" t="s">
        <v>1432</v>
      </c>
      <c r="V468" s="13" t="str">
        <f>TEXT(Table1_1[[#This Row],[OrderDate]],"MM YYYY")</f>
        <v>02 2023</v>
      </c>
      <c r="W468" s="11" t="str">
        <f>TEXT(Table1_1[[#This Row],[OrderDate]],"MM")</f>
        <v>02</v>
      </c>
      <c r="X468" s="11"/>
    </row>
    <row r="469" spans="1:24" x14ac:dyDescent="0.25">
      <c r="A469" t="s">
        <v>304</v>
      </c>
      <c r="B469" s="2">
        <v>45758</v>
      </c>
      <c r="C469" s="2">
        <v>45781</v>
      </c>
      <c r="D469" t="s">
        <v>1413</v>
      </c>
      <c r="E469" s="10">
        <v>23</v>
      </c>
      <c r="F469" t="s">
        <v>1387</v>
      </c>
      <c r="G469" t="s">
        <v>646</v>
      </c>
      <c r="H469" t="s">
        <v>649</v>
      </c>
      <c r="I469" t="s">
        <v>668</v>
      </c>
      <c r="J469" t="s">
        <v>969</v>
      </c>
      <c r="K469">
        <v>7</v>
      </c>
      <c r="L469" s="3">
        <v>786.2</v>
      </c>
      <c r="M469" s="3">
        <v>1075.3</v>
      </c>
      <c r="N469" s="3" t="str">
        <f>IF(Table1_1[[#This Row],[UnitPrice]]&lt;=816.08,"low",IF(Table1_1[[#This Row],[UnitPrice]]&lt;=1640.06,"medium","high"))</f>
        <v>medium</v>
      </c>
      <c r="O469" s="4">
        <v>0.08</v>
      </c>
      <c r="P469" s="3">
        <v>6924.9319999999998</v>
      </c>
      <c r="Q469" s="3">
        <v>5503.4000000000005</v>
      </c>
      <c r="R469" s="4">
        <v>0.20527739478163801</v>
      </c>
      <c r="S469" t="s">
        <v>665</v>
      </c>
      <c r="T469" s="3">
        <v>1421.5319999999992</v>
      </c>
      <c r="U469" t="s">
        <v>1431</v>
      </c>
      <c r="V469" s="13" t="str">
        <f>TEXT(Table1_1[[#This Row],[OrderDate]],"MM YYYY")</f>
        <v>04 2025</v>
      </c>
      <c r="W469" s="11" t="str">
        <f>TEXT(Table1_1[[#This Row],[OrderDate]],"MM")</f>
        <v>04</v>
      </c>
      <c r="X469" s="11"/>
    </row>
    <row r="470" spans="1:24" x14ac:dyDescent="0.25">
      <c r="A470" t="s">
        <v>533</v>
      </c>
      <c r="B470" s="2">
        <v>45406</v>
      </c>
      <c r="C470" s="2">
        <v>45422</v>
      </c>
      <c r="D470" t="s">
        <v>1413</v>
      </c>
      <c r="E470" s="10">
        <v>16</v>
      </c>
      <c r="F470" t="s">
        <v>1383</v>
      </c>
      <c r="G470" t="s">
        <v>644</v>
      </c>
      <c r="H470" t="s">
        <v>649</v>
      </c>
      <c r="I470" t="s">
        <v>673</v>
      </c>
      <c r="J470" t="s">
        <v>1197</v>
      </c>
      <c r="K470">
        <v>15</v>
      </c>
      <c r="L470" s="3">
        <v>513.30999999999995</v>
      </c>
      <c r="M470" s="3">
        <v>1186.26</v>
      </c>
      <c r="N470" s="3" t="str">
        <f>IF(Table1_1[[#This Row],[UnitPrice]]&lt;=816.08,"low",IF(Table1_1[[#This Row],[UnitPrice]]&lt;=1640.06,"medium","high"))</f>
        <v>medium</v>
      </c>
      <c r="O470" s="4">
        <v>9.4E-2</v>
      </c>
      <c r="P470" s="3">
        <v>16121.273400000002</v>
      </c>
      <c r="Q470" s="3">
        <v>7699.65</v>
      </c>
      <c r="R470" s="4">
        <v>0.52239194702820402</v>
      </c>
      <c r="S470" t="s">
        <v>666</v>
      </c>
      <c r="T470" s="3">
        <v>8421.6234000000022</v>
      </c>
      <c r="U470" t="s">
        <v>1436</v>
      </c>
      <c r="V470" s="13" t="str">
        <f>TEXT(Table1_1[[#This Row],[OrderDate]],"MM YYYY")</f>
        <v>04 2024</v>
      </c>
      <c r="W470" s="11" t="str">
        <f>TEXT(Table1_1[[#This Row],[OrderDate]],"MM")</f>
        <v>04</v>
      </c>
      <c r="X470" s="11"/>
    </row>
    <row r="471" spans="1:24" x14ac:dyDescent="0.25">
      <c r="A471" t="s">
        <v>143</v>
      </c>
      <c r="B471" s="2">
        <v>44953</v>
      </c>
      <c r="C471" s="2">
        <v>44957</v>
      </c>
      <c r="D471" t="s">
        <v>1413</v>
      </c>
      <c r="E471" s="10">
        <v>4</v>
      </c>
      <c r="F471" t="s">
        <v>1406</v>
      </c>
      <c r="G471" t="s">
        <v>647</v>
      </c>
      <c r="H471" t="s">
        <v>649</v>
      </c>
      <c r="I471" t="s">
        <v>672</v>
      </c>
      <c r="J471" t="s">
        <v>807</v>
      </c>
      <c r="K471">
        <v>17</v>
      </c>
      <c r="L471" s="3">
        <v>941.2</v>
      </c>
      <c r="M471" s="3">
        <v>668.02</v>
      </c>
      <c r="N471" s="3" t="str">
        <f>IF(Table1_1[[#This Row],[UnitPrice]]&lt;=816.08,"low",IF(Table1_1[[#This Row],[UnitPrice]]&lt;=1640.06,"medium","high"))</f>
        <v>low</v>
      </c>
      <c r="O471" s="4">
        <v>0.22</v>
      </c>
      <c r="P471" s="3">
        <v>8857.9452000000001</v>
      </c>
      <c r="Q471" s="3">
        <v>16000.400000000001</v>
      </c>
      <c r="R471" s="4">
        <v>-0.80633314371825204</v>
      </c>
      <c r="S471" t="s">
        <v>666</v>
      </c>
      <c r="T471" s="3">
        <v>-7142.4548000000013</v>
      </c>
      <c r="U471" t="s">
        <v>1432</v>
      </c>
      <c r="V471" s="13" t="str">
        <f>TEXT(Table1_1[[#This Row],[OrderDate]],"MM YYYY")</f>
        <v>01 2023</v>
      </c>
      <c r="W471" s="11" t="str">
        <f>TEXT(Table1_1[[#This Row],[OrderDate]],"MM")</f>
        <v>01</v>
      </c>
      <c r="X471" s="11"/>
    </row>
    <row r="472" spans="1:24" x14ac:dyDescent="0.25">
      <c r="A472" t="s">
        <v>178</v>
      </c>
      <c r="B472" s="2">
        <v>45435</v>
      </c>
      <c r="C472" s="2">
        <v>45457</v>
      </c>
      <c r="D472" t="s">
        <v>1413</v>
      </c>
      <c r="E472" s="10">
        <v>22</v>
      </c>
      <c r="F472" t="s">
        <v>1391</v>
      </c>
      <c r="G472" t="s">
        <v>646</v>
      </c>
      <c r="H472" t="s">
        <v>649</v>
      </c>
      <c r="I472" t="s">
        <v>673</v>
      </c>
      <c r="J472" t="s">
        <v>842</v>
      </c>
      <c r="K472">
        <v>12</v>
      </c>
      <c r="L472" s="3">
        <v>1481.74</v>
      </c>
      <c r="M472" s="3">
        <v>1848.97</v>
      </c>
      <c r="N472" s="3" t="str">
        <f>IF(Table1_1[[#This Row],[UnitPrice]]&lt;=816.08,"low",IF(Table1_1[[#This Row],[UnitPrice]]&lt;=1640.06,"medium","high"))</f>
        <v>high</v>
      </c>
      <c r="O472" s="4">
        <v>0.254</v>
      </c>
      <c r="P472" s="3">
        <v>16551.979439999999</v>
      </c>
      <c r="Q472" s="3">
        <v>17780.88</v>
      </c>
      <c r="R472" s="4">
        <v>-7.4244930309072601E-2</v>
      </c>
      <c r="S472" t="s">
        <v>666</v>
      </c>
      <c r="T472" s="3">
        <v>-1228.9005600000019</v>
      </c>
      <c r="U472" t="s">
        <v>1436</v>
      </c>
      <c r="V472" s="13" t="str">
        <f>TEXT(Table1_1[[#This Row],[OrderDate]],"MM YYYY")</f>
        <v>05 2024</v>
      </c>
      <c r="W472" s="11" t="str">
        <f>TEXT(Table1_1[[#This Row],[OrderDate]],"MM")</f>
        <v>05</v>
      </c>
      <c r="X472" s="11"/>
    </row>
    <row r="473" spans="1:24" x14ac:dyDescent="0.25">
      <c r="A473" t="s">
        <v>420</v>
      </c>
      <c r="B473" s="2">
        <v>45534</v>
      </c>
      <c r="C473" s="2">
        <v>45540</v>
      </c>
      <c r="D473" t="s">
        <v>1413</v>
      </c>
      <c r="E473" s="10">
        <v>6</v>
      </c>
      <c r="F473" t="s">
        <v>1407</v>
      </c>
      <c r="G473" t="s">
        <v>643</v>
      </c>
      <c r="H473" t="s">
        <v>649</v>
      </c>
      <c r="I473" t="s">
        <v>672</v>
      </c>
      <c r="J473" t="s">
        <v>1084</v>
      </c>
      <c r="K473">
        <v>23</v>
      </c>
      <c r="L473" s="3">
        <v>466.16</v>
      </c>
      <c r="M473" s="3">
        <v>876.81</v>
      </c>
      <c r="N473" s="3" t="str">
        <f>IF(Table1_1[[#This Row],[UnitPrice]]&lt;=816.08,"low",IF(Table1_1[[#This Row],[UnitPrice]]&lt;=1640.06,"medium","high"))</f>
        <v>medium</v>
      </c>
      <c r="O473" s="4">
        <v>0.24099999999999999</v>
      </c>
      <c r="P473" s="3">
        <v>15306.472169999997</v>
      </c>
      <c r="Q473" s="3">
        <v>10721.68</v>
      </c>
      <c r="R473" s="4">
        <v>0.299532911246916</v>
      </c>
      <c r="S473" t="s">
        <v>666</v>
      </c>
      <c r="T473" s="3">
        <v>4584.792169999997</v>
      </c>
      <c r="U473" t="s">
        <v>1437</v>
      </c>
      <c r="V473" s="13" t="str">
        <f>TEXT(Table1_1[[#This Row],[OrderDate]],"MM YYYY")</f>
        <v>08 2024</v>
      </c>
      <c r="W473" s="11" t="str">
        <f>TEXT(Table1_1[[#This Row],[OrderDate]],"MM")</f>
        <v>08</v>
      </c>
      <c r="X473" s="11"/>
    </row>
    <row r="474" spans="1:24" x14ac:dyDescent="0.25">
      <c r="A474" t="s">
        <v>35</v>
      </c>
      <c r="B474" s="2">
        <v>44964</v>
      </c>
      <c r="C474" s="2">
        <v>44969</v>
      </c>
      <c r="D474" t="s">
        <v>1413</v>
      </c>
      <c r="E474" s="10">
        <v>5</v>
      </c>
      <c r="F474" t="s">
        <v>1417</v>
      </c>
      <c r="G474" t="s">
        <v>643</v>
      </c>
      <c r="H474" t="s">
        <v>649</v>
      </c>
      <c r="I474" t="s">
        <v>668</v>
      </c>
      <c r="J474" t="s">
        <v>699</v>
      </c>
      <c r="K474">
        <v>12</v>
      </c>
      <c r="L474" s="3">
        <v>948.55</v>
      </c>
      <c r="M474" s="3">
        <v>2089.16</v>
      </c>
      <c r="N474" s="3" t="str">
        <f>IF(Table1_1[[#This Row],[UnitPrice]]&lt;=816.08,"low",IF(Table1_1[[#This Row],[UnitPrice]]&lt;=1640.06,"medium","high"))</f>
        <v>high</v>
      </c>
      <c r="O474" s="4">
        <v>7.0000000000000001E-3</v>
      </c>
      <c r="P474" s="3">
        <v>24894.430559999997</v>
      </c>
      <c r="Q474" s="3">
        <v>11382.599999999999</v>
      </c>
      <c r="R474" s="4">
        <v>0.54276519912492405</v>
      </c>
      <c r="S474" t="s">
        <v>666</v>
      </c>
      <c r="T474" s="3">
        <v>13511.830559999999</v>
      </c>
      <c r="U474" t="s">
        <v>1432</v>
      </c>
      <c r="V474" s="13" t="str">
        <f>TEXT(Table1_1[[#This Row],[OrderDate]],"MM YYYY")</f>
        <v>02 2023</v>
      </c>
      <c r="W474" s="11" t="str">
        <f>TEXT(Table1_1[[#This Row],[OrderDate]],"MM")</f>
        <v>02</v>
      </c>
      <c r="X474" s="11"/>
    </row>
    <row r="475" spans="1:24" x14ac:dyDescent="0.25">
      <c r="A475" t="s">
        <v>638</v>
      </c>
      <c r="B475" s="2">
        <v>45100</v>
      </c>
      <c r="C475" s="2">
        <v>45125</v>
      </c>
      <c r="D475" t="s">
        <v>1413</v>
      </c>
      <c r="E475" s="10">
        <v>25</v>
      </c>
      <c r="F475" t="s">
        <v>1415</v>
      </c>
      <c r="G475" t="s">
        <v>647</v>
      </c>
      <c r="H475" t="s">
        <v>649</v>
      </c>
      <c r="I475" t="s">
        <v>671</v>
      </c>
      <c r="J475" t="s">
        <v>1301</v>
      </c>
      <c r="K475">
        <v>6</v>
      </c>
      <c r="L475" s="3">
        <v>807.02</v>
      </c>
      <c r="M475" s="3">
        <v>1435.54</v>
      </c>
      <c r="N475" s="3" t="str">
        <f>IF(Table1_1[[#This Row],[UnitPrice]]&lt;=816.08,"low",IF(Table1_1[[#This Row],[UnitPrice]]&lt;=1640.06,"medium","high"))</f>
        <v>medium</v>
      </c>
      <c r="O475" s="4">
        <v>0</v>
      </c>
      <c r="P475" s="3">
        <v>8613.24</v>
      </c>
      <c r="Q475" s="3">
        <v>4842.12</v>
      </c>
      <c r="R475" s="4">
        <v>0.43782827368098398</v>
      </c>
      <c r="S475" t="s">
        <v>666</v>
      </c>
      <c r="T475" s="3">
        <v>3771.12</v>
      </c>
      <c r="U475" t="s">
        <v>1435</v>
      </c>
      <c r="V475" s="13" t="str">
        <f>TEXT(Table1_1[[#This Row],[OrderDate]],"MM YYYY")</f>
        <v>06 2023</v>
      </c>
      <c r="W475" s="11" t="str">
        <f>TEXT(Table1_1[[#This Row],[OrderDate]],"MM")</f>
        <v>06</v>
      </c>
      <c r="X475" s="11"/>
    </row>
    <row r="476" spans="1:24" x14ac:dyDescent="0.25">
      <c r="A476" t="s">
        <v>160</v>
      </c>
      <c r="B476" s="2">
        <v>45558</v>
      </c>
      <c r="C476" s="2">
        <v>45583</v>
      </c>
      <c r="D476" t="s">
        <v>1413</v>
      </c>
      <c r="E476" s="10">
        <v>25</v>
      </c>
      <c r="F476" t="s">
        <v>1415</v>
      </c>
      <c r="G476" t="s">
        <v>646</v>
      </c>
      <c r="H476" t="s">
        <v>649</v>
      </c>
      <c r="I476" t="s">
        <v>671</v>
      </c>
      <c r="J476" t="s">
        <v>824</v>
      </c>
      <c r="K476">
        <v>18</v>
      </c>
      <c r="L476" s="3">
        <v>1297</v>
      </c>
      <c r="M476" s="3">
        <v>2411.52</v>
      </c>
      <c r="N476" s="3" t="str">
        <f>IF(Table1_1[[#This Row],[UnitPrice]]&lt;=816.08,"low",IF(Table1_1[[#This Row],[UnitPrice]]&lt;=1640.06,"medium","high"))</f>
        <v>high</v>
      </c>
      <c r="O476" s="4">
        <v>2.1000000000000001E-2</v>
      </c>
      <c r="P476" s="3">
        <v>42495.805439999996</v>
      </c>
      <c r="Q476" s="3">
        <v>23346</v>
      </c>
      <c r="R476" s="4">
        <v>0.45062813239385902</v>
      </c>
      <c r="S476" t="s">
        <v>666</v>
      </c>
      <c r="T476" s="3">
        <v>19149.805439999996</v>
      </c>
      <c r="U476" t="s">
        <v>1437</v>
      </c>
      <c r="V476" s="13" t="str">
        <f>TEXT(Table1_1[[#This Row],[OrderDate]],"MM YYYY")</f>
        <v>09 2024</v>
      </c>
      <c r="W476" s="11" t="str">
        <f>TEXT(Table1_1[[#This Row],[OrderDate]],"MM")</f>
        <v>09</v>
      </c>
      <c r="X476" s="11"/>
    </row>
    <row r="477" spans="1:24" x14ac:dyDescent="0.25">
      <c r="A477" t="s">
        <v>550</v>
      </c>
      <c r="B477" s="2">
        <v>44952</v>
      </c>
      <c r="C477" s="2">
        <v>44972</v>
      </c>
      <c r="D477" t="s">
        <v>1413</v>
      </c>
      <c r="E477" s="10">
        <v>20</v>
      </c>
      <c r="F477" t="s">
        <v>1390</v>
      </c>
      <c r="G477" t="s">
        <v>646</v>
      </c>
      <c r="H477" t="s">
        <v>649</v>
      </c>
      <c r="I477" t="s">
        <v>670</v>
      </c>
      <c r="J477" t="s">
        <v>1213</v>
      </c>
      <c r="K477">
        <v>22</v>
      </c>
      <c r="L477" s="3">
        <v>492.62</v>
      </c>
      <c r="M477" s="3">
        <v>366.7</v>
      </c>
      <c r="N477" s="3" t="str">
        <f>IF(Table1_1[[#This Row],[UnitPrice]]&lt;=816.08,"low",IF(Table1_1[[#This Row],[UnitPrice]]&lt;=1640.06,"medium","high"))</f>
        <v>low</v>
      </c>
      <c r="O477" s="4">
        <v>8.8999999999999996E-2</v>
      </c>
      <c r="P477" s="3">
        <v>7349.4013999999997</v>
      </c>
      <c r="Q477" s="3">
        <v>10837.64</v>
      </c>
      <c r="R477" s="4">
        <v>-0.47462894052840798</v>
      </c>
      <c r="S477" t="s">
        <v>660</v>
      </c>
      <c r="T477" s="3">
        <v>-3488.2385999999997</v>
      </c>
      <c r="U477" t="s">
        <v>1432</v>
      </c>
      <c r="V477" s="13" t="str">
        <f>TEXT(Table1_1[[#This Row],[OrderDate]],"MM YYYY")</f>
        <v>01 2023</v>
      </c>
      <c r="W477" s="11" t="str">
        <f>TEXT(Table1_1[[#This Row],[OrderDate]],"MM")</f>
        <v>01</v>
      </c>
      <c r="X477" s="11"/>
    </row>
    <row r="478" spans="1:24" x14ac:dyDescent="0.25">
      <c r="A478" t="s">
        <v>59</v>
      </c>
      <c r="B478" s="2">
        <v>45579</v>
      </c>
      <c r="C478" s="2">
        <v>45604</v>
      </c>
      <c r="D478" t="s">
        <v>1413</v>
      </c>
      <c r="E478" s="10">
        <v>25</v>
      </c>
      <c r="F478" t="s">
        <v>1386</v>
      </c>
      <c r="G478" t="s">
        <v>647</v>
      </c>
      <c r="H478" t="s">
        <v>649</v>
      </c>
      <c r="I478" t="s">
        <v>670</v>
      </c>
      <c r="J478" t="s">
        <v>723</v>
      </c>
      <c r="K478">
        <v>5</v>
      </c>
      <c r="L478" s="3">
        <v>859.35</v>
      </c>
      <c r="M478" s="3">
        <v>1825.61</v>
      </c>
      <c r="N478" s="3" t="str">
        <f>IF(Table1_1[[#This Row],[UnitPrice]]&lt;=816.08,"low",IF(Table1_1[[#This Row],[UnitPrice]]&lt;=1640.06,"medium","high"))</f>
        <v>high</v>
      </c>
      <c r="O478" s="4">
        <v>0.187</v>
      </c>
      <c r="P478" s="3">
        <v>7421.1046499999993</v>
      </c>
      <c r="Q478" s="3">
        <v>4296.75</v>
      </c>
      <c r="R478" s="4">
        <v>0.42100937762682</v>
      </c>
      <c r="S478" t="s">
        <v>660</v>
      </c>
      <c r="T478" s="3">
        <v>3124.3546499999993</v>
      </c>
      <c r="U478" t="s">
        <v>1440</v>
      </c>
      <c r="V478" s="13" t="str">
        <f>TEXT(Table1_1[[#This Row],[OrderDate]],"MM YYYY")</f>
        <v>10 2024</v>
      </c>
      <c r="W478" s="11" t="str">
        <f>TEXT(Table1_1[[#This Row],[OrderDate]],"MM")</f>
        <v>10</v>
      </c>
      <c r="X478" s="11"/>
    </row>
    <row r="479" spans="1:24" x14ac:dyDescent="0.25">
      <c r="A479" t="s">
        <v>578</v>
      </c>
      <c r="B479" s="2">
        <v>45600</v>
      </c>
      <c r="C479" s="2">
        <v>45603</v>
      </c>
      <c r="D479" t="s">
        <v>1413</v>
      </c>
      <c r="E479" s="10">
        <v>3</v>
      </c>
      <c r="F479" t="s">
        <v>1396</v>
      </c>
      <c r="G479" t="s">
        <v>642</v>
      </c>
      <c r="H479" t="s">
        <v>649</v>
      </c>
      <c r="I479" t="s">
        <v>673</v>
      </c>
      <c r="J479" t="s">
        <v>1241</v>
      </c>
      <c r="K479">
        <v>14</v>
      </c>
      <c r="L479" s="3">
        <v>740.68</v>
      </c>
      <c r="M479" s="3">
        <v>1837.19</v>
      </c>
      <c r="N479" s="3" t="str">
        <f>IF(Table1_1[[#This Row],[UnitPrice]]&lt;=816.08,"low",IF(Table1_1[[#This Row],[UnitPrice]]&lt;=1640.06,"medium","high"))</f>
        <v>high</v>
      </c>
      <c r="O479" s="4">
        <v>0.19700000000000001</v>
      </c>
      <c r="P479" s="3">
        <v>20653.689979999999</v>
      </c>
      <c r="Q479" s="3">
        <v>10369.519999999999</v>
      </c>
      <c r="R479" s="4">
        <v>0.49793378277483002</v>
      </c>
      <c r="S479" t="s">
        <v>660</v>
      </c>
      <c r="T479" s="3">
        <v>10284.169980000001</v>
      </c>
      <c r="U479" t="s">
        <v>1440</v>
      </c>
      <c r="V479" s="13" t="str">
        <f>TEXT(Table1_1[[#This Row],[OrderDate]],"MM YYYY")</f>
        <v>11 2024</v>
      </c>
      <c r="W479" s="11" t="str">
        <f>TEXT(Table1_1[[#This Row],[OrderDate]],"MM")</f>
        <v>11</v>
      </c>
      <c r="X479" s="11"/>
    </row>
    <row r="480" spans="1:24" x14ac:dyDescent="0.25">
      <c r="A480" t="s">
        <v>376</v>
      </c>
      <c r="B480" s="2">
        <v>45445</v>
      </c>
      <c r="C480" s="2">
        <v>45458</v>
      </c>
      <c r="D480" t="s">
        <v>1413</v>
      </c>
      <c r="E480" s="10">
        <v>13</v>
      </c>
      <c r="F480" t="s">
        <v>1393</v>
      </c>
      <c r="G480" t="s">
        <v>643</v>
      </c>
      <c r="H480" t="s">
        <v>649</v>
      </c>
      <c r="I480" t="s">
        <v>671</v>
      </c>
      <c r="J480" t="s">
        <v>1041</v>
      </c>
      <c r="K480">
        <v>21</v>
      </c>
      <c r="L480" s="3">
        <v>1295.18</v>
      </c>
      <c r="M480" s="3">
        <v>3024.03</v>
      </c>
      <c r="N480" s="3" t="str">
        <f>IF(Table1_1[[#This Row],[UnitPrice]]&lt;=816.08,"low",IF(Table1_1[[#This Row],[UnitPrice]]&lt;=1640.06,"medium","high"))</f>
        <v>high</v>
      </c>
      <c r="O480" s="4">
        <v>0.192</v>
      </c>
      <c r="P480" s="3">
        <v>51311.741040000008</v>
      </c>
      <c r="Q480" s="3">
        <v>27198.780000000002</v>
      </c>
      <c r="R480" s="4">
        <v>0.469930673784832</v>
      </c>
      <c r="S480" t="s">
        <v>660</v>
      </c>
      <c r="T480" s="3">
        <v>24112.961040000006</v>
      </c>
      <c r="U480" t="s">
        <v>1436</v>
      </c>
      <c r="V480" s="13" t="str">
        <f>TEXT(Table1_1[[#This Row],[OrderDate]],"MM YYYY")</f>
        <v>06 2024</v>
      </c>
      <c r="W480" s="11" t="str">
        <f>TEXT(Table1_1[[#This Row],[OrderDate]],"MM")</f>
        <v>06</v>
      </c>
      <c r="X480" s="11"/>
    </row>
    <row r="481" spans="1:24" x14ac:dyDescent="0.25">
      <c r="A481" t="s">
        <v>72</v>
      </c>
      <c r="B481" s="2">
        <v>45910</v>
      </c>
      <c r="C481" s="2">
        <v>45912</v>
      </c>
      <c r="D481" t="s">
        <v>1413</v>
      </c>
      <c r="E481" s="10">
        <v>2</v>
      </c>
      <c r="F481" t="s">
        <v>1403</v>
      </c>
      <c r="G481" t="s">
        <v>645</v>
      </c>
      <c r="H481" t="s">
        <v>649</v>
      </c>
      <c r="I481" t="s">
        <v>668</v>
      </c>
      <c r="J481" t="s">
        <v>736</v>
      </c>
      <c r="K481">
        <v>33</v>
      </c>
      <c r="L481" s="3">
        <v>1470.15</v>
      </c>
      <c r="M481" s="3">
        <v>2593.7800000000002</v>
      </c>
      <c r="N481" s="3" t="str">
        <f>IF(Table1_1[[#This Row],[UnitPrice]]&lt;=816.08,"low",IF(Table1_1[[#This Row],[UnitPrice]]&lt;=1640.06,"medium","high"))</f>
        <v>high</v>
      </c>
      <c r="O481" s="4">
        <v>0.11</v>
      </c>
      <c r="P481" s="3">
        <v>76179.318599999999</v>
      </c>
      <c r="Q481" s="3">
        <v>48514.950000000004</v>
      </c>
      <c r="R481" s="4">
        <v>0.36314801849645301</v>
      </c>
      <c r="S481" t="s">
        <v>660</v>
      </c>
      <c r="T481" s="3">
        <v>27664.368599999994</v>
      </c>
      <c r="U481" t="s">
        <v>1438</v>
      </c>
      <c r="V481" s="13" t="str">
        <f>TEXT(Table1_1[[#This Row],[OrderDate]],"MM YYYY")</f>
        <v>09 2025</v>
      </c>
      <c r="W481" s="11" t="str">
        <f>TEXT(Table1_1[[#This Row],[OrderDate]],"MM")</f>
        <v>09</v>
      </c>
      <c r="X481" s="11"/>
    </row>
    <row r="482" spans="1:24" x14ac:dyDescent="0.25">
      <c r="A482" t="s">
        <v>189</v>
      </c>
      <c r="B482" s="2">
        <v>45021</v>
      </c>
      <c r="C482" s="2">
        <v>45032</v>
      </c>
      <c r="D482" t="s">
        <v>1413</v>
      </c>
      <c r="E482" s="10">
        <v>11</v>
      </c>
      <c r="F482" t="s">
        <v>1415</v>
      </c>
      <c r="G482" t="s">
        <v>644</v>
      </c>
      <c r="H482" t="s">
        <v>649</v>
      </c>
      <c r="I482" t="s">
        <v>673</v>
      </c>
      <c r="J482" t="s">
        <v>853</v>
      </c>
      <c r="K482">
        <v>16</v>
      </c>
      <c r="L482" s="3">
        <v>213.1</v>
      </c>
      <c r="M482" s="3">
        <v>501.31</v>
      </c>
      <c r="N482" s="3" t="str">
        <f>IF(Table1_1[[#This Row],[UnitPrice]]&lt;=816.08,"low",IF(Table1_1[[#This Row],[UnitPrice]]&lt;=1640.06,"medium","high"))</f>
        <v>low</v>
      </c>
      <c r="O482" s="4">
        <v>5.6000000000000001E-2</v>
      </c>
      <c r="P482" s="3">
        <v>7571.7862399999995</v>
      </c>
      <c r="Q482" s="3">
        <v>3409.6</v>
      </c>
      <c r="R482" s="4">
        <v>0.54969674368409005</v>
      </c>
      <c r="S482" t="s">
        <v>660</v>
      </c>
      <c r="T482" s="3">
        <v>4162.1862399999991</v>
      </c>
      <c r="U482" t="s">
        <v>1435</v>
      </c>
      <c r="V482" s="13" t="str">
        <f>TEXT(Table1_1[[#This Row],[OrderDate]],"MM YYYY")</f>
        <v>04 2023</v>
      </c>
      <c r="W482" s="11" t="str">
        <f>TEXT(Table1_1[[#This Row],[OrderDate]],"MM")</f>
        <v>04</v>
      </c>
      <c r="X482" s="11"/>
    </row>
    <row r="483" spans="1:24" x14ac:dyDescent="0.25">
      <c r="A483" t="s">
        <v>432</v>
      </c>
      <c r="B483" s="2">
        <v>45841</v>
      </c>
      <c r="C483" s="2">
        <v>45844</v>
      </c>
      <c r="D483" t="s">
        <v>1413</v>
      </c>
      <c r="E483" s="10">
        <v>3</v>
      </c>
      <c r="F483" t="s">
        <v>1386</v>
      </c>
      <c r="G483" t="s">
        <v>645</v>
      </c>
      <c r="H483" t="s">
        <v>649</v>
      </c>
      <c r="I483" t="s">
        <v>672</v>
      </c>
      <c r="J483" t="s">
        <v>1096</v>
      </c>
      <c r="K483">
        <v>55</v>
      </c>
      <c r="L483" s="3">
        <v>1313.3</v>
      </c>
      <c r="M483" s="3">
        <v>2884.34</v>
      </c>
      <c r="N483" s="3" t="str">
        <f>IF(Table1_1[[#This Row],[UnitPrice]]&lt;=816.08,"low",IF(Table1_1[[#This Row],[UnitPrice]]&lt;=1640.06,"medium","high"))</f>
        <v>high</v>
      </c>
      <c r="O483" s="4">
        <v>0.157</v>
      </c>
      <c r="P483" s="3">
        <v>133732.4241</v>
      </c>
      <c r="Q483" s="3">
        <v>72231.5</v>
      </c>
      <c r="R483" s="4">
        <v>0.45988042551305203</v>
      </c>
      <c r="S483" t="s">
        <v>1366</v>
      </c>
      <c r="T483" s="3">
        <v>61500.924100000004</v>
      </c>
      <c r="U483" t="s">
        <v>1438</v>
      </c>
      <c r="V483" s="13" t="str">
        <f>TEXT(Table1_1[[#This Row],[OrderDate]],"MM YYYY")</f>
        <v>07 2025</v>
      </c>
      <c r="W483" s="11" t="str">
        <f>TEXT(Table1_1[[#This Row],[OrderDate]],"MM")</f>
        <v>07</v>
      </c>
      <c r="X483" s="11"/>
    </row>
    <row r="484" spans="1:24" x14ac:dyDescent="0.25">
      <c r="A484" t="s">
        <v>245</v>
      </c>
      <c r="B484" s="2">
        <v>45302</v>
      </c>
      <c r="C484" s="2">
        <v>45324</v>
      </c>
      <c r="D484" t="s">
        <v>1413</v>
      </c>
      <c r="E484" s="10">
        <v>22</v>
      </c>
      <c r="F484" t="s">
        <v>1407</v>
      </c>
      <c r="G484" t="s">
        <v>646</v>
      </c>
      <c r="H484" t="s">
        <v>649</v>
      </c>
      <c r="I484" t="s">
        <v>669</v>
      </c>
      <c r="J484" t="s">
        <v>910</v>
      </c>
      <c r="K484">
        <v>15</v>
      </c>
      <c r="L484" s="3">
        <v>1237.68</v>
      </c>
      <c r="M484" s="3">
        <v>1432.8</v>
      </c>
      <c r="N484" s="3" t="str">
        <f>IF(Table1_1[[#This Row],[UnitPrice]]&lt;=816.08,"low",IF(Table1_1[[#This Row],[UnitPrice]]&lt;=1640.06,"medium","high"))</f>
        <v>medium</v>
      </c>
      <c r="O484" s="4">
        <v>6.8000000000000005E-2</v>
      </c>
      <c r="P484" s="3">
        <v>20030.543999999998</v>
      </c>
      <c r="Q484" s="3">
        <v>18565.2</v>
      </c>
      <c r="R484" s="4">
        <v>7.3155476955593296E-2</v>
      </c>
      <c r="S484" t="s">
        <v>1366</v>
      </c>
      <c r="T484" s="3">
        <v>1465.3439999999973</v>
      </c>
      <c r="U484" t="s">
        <v>1433</v>
      </c>
      <c r="V484" s="13" t="str">
        <f>TEXT(Table1_1[[#This Row],[OrderDate]],"MM YYYY")</f>
        <v>01 2024</v>
      </c>
      <c r="W484" s="11" t="str">
        <f>TEXT(Table1_1[[#This Row],[OrderDate]],"MM")</f>
        <v>01</v>
      </c>
      <c r="X484" s="11"/>
    </row>
    <row r="485" spans="1:24" x14ac:dyDescent="0.25">
      <c r="A485" t="s">
        <v>87</v>
      </c>
      <c r="B485" s="2">
        <v>45532</v>
      </c>
      <c r="C485" s="2">
        <v>45560</v>
      </c>
      <c r="D485" t="s">
        <v>1413</v>
      </c>
      <c r="E485" s="10">
        <v>28</v>
      </c>
      <c r="F485" t="s">
        <v>1421</v>
      </c>
      <c r="G485" t="s">
        <v>644</v>
      </c>
      <c r="H485" t="s">
        <v>649</v>
      </c>
      <c r="I485" t="s">
        <v>674</v>
      </c>
      <c r="J485" t="s">
        <v>751</v>
      </c>
      <c r="K485">
        <v>11</v>
      </c>
      <c r="L485" s="3">
        <v>1394.65</v>
      </c>
      <c r="M485" s="3">
        <v>3144.1</v>
      </c>
      <c r="N485" s="3" t="str">
        <f>IF(Table1_1[[#This Row],[UnitPrice]]&lt;=816.08,"low",IF(Table1_1[[#This Row],[UnitPrice]]&lt;=1640.06,"medium","high"))</f>
        <v>high</v>
      </c>
      <c r="O485" s="4">
        <v>0.13400000000000001</v>
      </c>
      <c r="P485" s="3">
        <v>29950.696599999999</v>
      </c>
      <c r="Q485" s="3">
        <v>15341.150000000001</v>
      </c>
      <c r="R485" s="4">
        <v>0.48778653782630199</v>
      </c>
      <c r="S485" t="s">
        <v>1366</v>
      </c>
      <c r="T485" s="3">
        <v>14609.546599999998</v>
      </c>
      <c r="U485" t="s">
        <v>1437</v>
      </c>
      <c r="V485" s="13" t="str">
        <f>TEXT(Table1_1[[#This Row],[OrderDate]],"MM YYYY")</f>
        <v>08 2024</v>
      </c>
      <c r="W485" s="11" t="str">
        <f>TEXT(Table1_1[[#This Row],[OrderDate]],"MM")</f>
        <v>08</v>
      </c>
      <c r="X485" s="11"/>
    </row>
    <row r="486" spans="1:24" x14ac:dyDescent="0.25">
      <c r="A486" t="s">
        <v>419</v>
      </c>
      <c r="B486" s="2">
        <v>45276</v>
      </c>
      <c r="C486" s="2">
        <v>45279</v>
      </c>
      <c r="D486" t="s">
        <v>1413</v>
      </c>
      <c r="E486" s="10">
        <v>3</v>
      </c>
      <c r="F486" t="s">
        <v>1411</v>
      </c>
      <c r="G486" t="s">
        <v>643</v>
      </c>
      <c r="H486" t="s">
        <v>648</v>
      </c>
      <c r="I486" t="s">
        <v>674</v>
      </c>
      <c r="J486" t="s">
        <v>1083</v>
      </c>
      <c r="K486">
        <v>13</v>
      </c>
      <c r="L486" s="3">
        <v>1415.05</v>
      </c>
      <c r="M486" s="3">
        <v>1972.38</v>
      </c>
      <c r="N486" s="3" t="str">
        <f>IF(Table1_1[[#This Row],[UnitPrice]]&lt;=816.08,"low",IF(Table1_1[[#This Row],[UnitPrice]]&lt;=1640.06,"medium","high"))</f>
        <v>high</v>
      </c>
      <c r="O486" s="4">
        <v>0</v>
      </c>
      <c r="P486" s="3">
        <v>25640.940000000002</v>
      </c>
      <c r="Q486" s="3">
        <v>18395.649999999998</v>
      </c>
      <c r="R486" s="4">
        <v>0.28256725377462799</v>
      </c>
      <c r="S486" t="s">
        <v>661</v>
      </c>
      <c r="T486" s="3">
        <v>7245.2900000000045</v>
      </c>
      <c r="U486" t="s">
        <v>1439</v>
      </c>
      <c r="V486" s="13" t="str">
        <f>TEXT(Table1_1[[#This Row],[OrderDate]],"MM YYYY")</f>
        <v>12 2023</v>
      </c>
      <c r="W486" s="11" t="str">
        <f>TEXT(Table1_1[[#This Row],[OrderDate]],"MM")</f>
        <v>12</v>
      </c>
      <c r="X486" s="11"/>
    </row>
    <row r="487" spans="1:24" x14ac:dyDescent="0.25">
      <c r="A487" t="s">
        <v>56</v>
      </c>
      <c r="B487" s="2">
        <v>45035</v>
      </c>
      <c r="C487" s="2">
        <v>45046</v>
      </c>
      <c r="D487" t="s">
        <v>1413</v>
      </c>
      <c r="E487" s="10">
        <v>11</v>
      </c>
      <c r="F487" t="s">
        <v>1397</v>
      </c>
      <c r="G487" t="s">
        <v>646</v>
      </c>
      <c r="H487" t="s">
        <v>648</v>
      </c>
      <c r="I487" t="s">
        <v>670</v>
      </c>
      <c r="J487" t="s">
        <v>720</v>
      </c>
      <c r="K487">
        <v>23</v>
      </c>
      <c r="L487" s="3">
        <v>826.55</v>
      </c>
      <c r="M487" s="3">
        <v>1397.05</v>
      </c>
      <c r="N487" s="3" t="str">
        <f>IF(Table1_1[[#This Row],[UnitPrice]]&lt;=816.08,"low",IF(Table1_1[[#This Row],[UnitPrice]]&lt;=1640.06,"medium","high"))</f>
        <v>medium</v>
      </c>
      <c r="O487" s="4">
        <v>0.16900000000000001</v>
      </c>
      <c r="P487" s="3">
        <v>26701.816649999997</v>
      </c>
      <c r="Q487" s="3">
        <v>19010.649999999998</v>
      </c>
      <c r="R487" s="4">
        <v>0.28803907804527601</v>
      </c>
      <c r="S487" t="s">
        <v>661</v>
      </c>
      <c r="T487" s="3">
        <v>7691.1666499999992</v>
      </c>
      <c r="U487" t="s">
        <v>1435</v>
      </c>
      <c r="V487" s="13" t="str">
        <f>TEXT(Table1_1[[#This Row],[OrderDate]],"MM YYYY")</f>
        <v>04 2023</v>
      </c>
      <c r="W487" s="11" t="str">
        <f>TEXT(Table1_1[[#This Row],[OrderDate]],"MM")</f>
        <v>04</v>
      </c>
      <c r="X487" s="11"/>
    </row>
    <row r="488" spans="1:24" x14ac:dyDescent="0.25">
      <c r="A488" t="s">
        <v>427</v>
      </c>
      <c r="B488" s="2">
        <v>45813</v>
      </c>
      <c r="C488" s="2">
        <v>45822</v>
      </c>
      <c r="D488" t="s">
        <v>1413</v>
      </c>
      <c r="E488" s="10">
        <v>9</v>
      </c>
      <c r="F488" t="s">
        <v>1397</v>
      </c>
      <c r="G488" t="s">
        <v>644</v>
      </c>
      <c r="H488" t="s">
        <v>648</v>
      </c>
      <c r="I488" t="s">
        <v>674</v>
      </c>
      <c r="J488" t="s">
        <v>1091</v>
      </c>
      <c r="K488">
        <v>11</v>
      </c>
      <c r="L488" s="3">
        <v>618.69000000000005</v>
      </c>
      <c r="M488" s="3">
        <v>796.15</v>
      </c>
      <c r="N488" s="3" t="str">
        <f>IF(Table1_1[[#This Row],[UnitPrice]]&lt;=816.08,"low",IF(Table1_1[[#This Row],[UnitPrice]]&lt;=1640.06,"medium","high"))</f>
        <v>low</v>
      </c>
      <c r="O488" s="4">
        <v>0.09</v>
      </c>
      <c r="P488" s="3">
        <v>7969.4615000000003</v>
      </c>
      <c r="Q488" s="3">
        <v>6805.59</v>
      </c>
      <c r="R488" s="4">
        <v>0.14604142325049199</v>
      </c>
      <c r="S488" t="s">
        <v>661</v>
      </c>
      <c r="T488" s="3">
        <v>1163.8715000000002</v>
      </c>
      <c r="U488" t="s">
        <v>1431</v>
      </c>
      <c r="V488" s="13" t="str">
        <f>TEXT(Table1_1[[#This Row],[OrderDate]],"MM YYYY")</f>
        <v>06 2025</v>
      </c>
      <c r="W488" s="11" t="str">
        <f>TEXT(Table1_1[[#This Row],[OrderDate]],"MM")</f>
        <v>06</v>
      </c>
      <c r="X488" s="11"/>
    </row>
    <row r="489" spans="1:24" x14ac:dyDescent="0.25">
      <c r="A489" t="s">
        <v>433</v>
      </c>
      <c r="B489" s="2">
        <v>45915</v>
      </c>
      <c r="C489" s="2">
        <v>45925</v>
      </c>
      <c r="D489" t="s">
        <v>1413</v>
      </c>
      <c r="E489" s="10">
        <v>10</v>
      </c>
      <c r="F489" t="s">
        <v>1397</v>
      </c>
      <c r="G489" t="s">
        <v>645</v>
      </c>
      <c r="H489" t="s">
        <v>648</v>
      </c>
      <c r="I489" t="s">
        <v>671</v>
      </c>
      <c r="J489" t="s">
        <v>1097</v>
      </c>
      <c r="K489">
        <v>15</v>
      </c>
      <c r="L489" s="3">
        <v>1488.91</v>
      </c>
      <c r="M489" s="3">
        <v>1483.74</v>
      </c>
      <c r="N489" s="3" t="str">
        <f>IF(Table1_1[[#This Row],[UnitPrice]]&lt;=816.08,"low",IF(Table1_1[[#This Row],[UnitPrice]]&lt;=1640.06,"medium","high"))</f>
        <v>medium</v>
      </c>
      <c r="O489" s="4">
        <v>0.16800000000000001</v>
      </c>
      <c r="P489" s="3">
        <v>18517.075199999999</v>
      </c>
      <c r="Q489" s="3">
        <v>22333.65</v>
      </c>
      <c r="R489" s="4">
        <v>-0.206111103334505</v>
      </c>
      <c r="S489" t="s">
        <v>661</v>
      </c>
      <c r="T489" s="3">
        <v>-3816.5748000000021</v>
      </c>
      <c r="U489" t="s">
        <v>1438</v>
      </c>
      <c r="V489" s="13" t="str">
        <f>TEXT(Table1_1[[#This Row],[OrderDate]],"MM YYYY")</f>
        <v>09 2025</v>
      </c>
      <c r="W489" s="11" t="str">
        <f>TEXT(Table1_1[[#This Row],[OrderDate]],"MM")</f>
        <v>09</v>
      </c>
      <c r="X489" s="11"/>
    </row>
    <row r="490" spans="1:24" x14ac:dyDescent="0.25">
      <c r="A490" t="s">
        <v>387</v>
      </c>
      <c r="B490" s="2">
        <v>44998</v>
      </c>
      <c r="C490" s="2">
        <v>45020</v>
      </c>
      <c r="D490" t="s">
        <v>1413</v>
      </c>
      <c r="E490" s="10">
        <v>22</v>
      </c>
      <c r="F490" t="s">
        <v>1402</v>
      </c>
      <c r="G490" t="s">
        <v>646</v>
      </c>
      <c r="H490" t="s">
        <v>648</v>
      </c>
      <c r="I490" t="s">
        <v>668</v>
      </c>
      <c r="J490" t="s">
        <v>1052</v>
      </c>
      <c r="K490">
        <v>29</v>
      </c>
      <c r="L490" s="3">
        <v>1113.7</v>
      </c>
      <c r="M490" s="3">
        <v>1620.6</v>
      </c>
      <c r="N490" s="3" t="str">
        <f>IF(Table1_1[[#This Row],[UnitPrice]]&lt;=816.08,"low",IF(Table1_1[[#This Row],[UnitPrice]]&lt;=1640.06,"medium","high"))</f>
        <v>medium</v>
      </c>
      <c r="O490" s="4">
        <v>0.13900000000000001</v>
      </c>
      <c r="P490" s="3">
        <v>40464.761399999996</v>
      </c>
      <c r="Q490" s="3">
        <v>32297.300000000003</v>
      </c>
      <c r="R490" s="4">
        <v>0.20184133348182801</v>
      </c>
      <c r="S490" t="s">
        <v>661</v>
      </c>
      <c r="T490" s="3">
        <v>8167.4613999999929</v>
      </c>
      <c r="U490" t="s">
        <v>1432</v>
      </c>
      <c r="V490" s="13" t="str">
        <f>TEXT(Table1_1[[#This Row],[OrderDate]],"MM YYYY")</f>
        <v>03 2023</v>
      </c>
      <c r="W490" s="11" t="str">
        <f>TEXT(Table1_1[[#This Row],[OrderDate]],"MM")</f>
        <v>03</v>
      </c>
      <c r="X490" s="11"/>
    </row>
    <row r="491" spans="1:24" x14ac:dyDescent="0.25">
      <c r="A491" t="s">
        <v>543</v>
      </c>
      <c r="B491" s="2">
        <v>45155</v>
      </c>
      <c r="C491" s="2">
        <v>45172</v>
      </c>
      <c r="D491" t="s">
        <v>1413</v>
      </c>
      <c r="E491" s="10">
        <v>17</v>
      </c>
      <c r="F491" t="s">
        <v>1402</v>
      </c>
      <c r="G491" t="s">
        <v>647</v>
      </c>
      <c r="H491" t="s">
        <v>648</v>
      </c>
      <c r="I491" t="s">
        <v>671</v>
      </c>
      <c r="J491" t="s">
        <v>1207</v>
      </c>
      <c r="K491">
        <v>4</v>
      </c>
      <c r="L491" s="3">
        <v>676.37</v>
      </c>
      <c r="M491" s="3">
        <v>1276.67</v>
      </c>
      <c r="N491" s="3" t="str">
        <f>IF(Table1_1[[#This Row],[UnitPrice]]&lt;=816.08,"low",IF(Table1_1[[#This Row],[UnitPrice]]&lt;=1640.06,"medium","high"))</f>
        <v>medium</v>
      </c>
      <c r="O491" s="4">
        <v>6.6000000000000003E-2</v>
      </c>
      <c r="P491" s="3">
        <v>4769.6391199999998</v>
      </c>
      <c r="Q491" s="3">
        <v>2705.48</v>
      </c>
      <c r="R491" s="4">
        <v>0.43277050277128698</v>
      </c>
      <c r="S491" t="s">
        <v>661</v>
      </c>
      <c r="T491" s="3">
        <v>2064.1591199999998</v>
      </c>
      <c r="U491" t="s">
        <v>1430</v>
      </c>
      <c r="V491" s="13" t="str">
        <f>TEXT(Table1_1[[#This Row],[OrderDate]],"MM YYYY")</f>
        <v>08 2023</v>
      </c>
      <c r="W491" s="11" t="str">
        <f>TEXT(Table1_1[[#This Row],[OrderDate]],"MM")</f>
        <v>08</v>
      </c>
      <c r="X491" s="11"/>
    </row>
    <row r="492" spans="1:24" x14ac:dyDescent="0.25">
      <c r="A492" t="s">
        <v>636</v>
      </c>
      <c r="B492" s="2">
        <v>45282</v>
      </c>
      <c r="C492" s="2">
        <v>45307</v>
      </c>
      <c r="D492" t="s">
        <v>1413</v>
      </c>
      <c r="E492" s="10">
        <v>25</v>
      </c>
      <c r="F492" t="s">
        <v>1409</v>
      </c>
      <c r="G492" t="s">
        <v>646</v>
      </c>
      <c r="H492" t="s">
        <v>648</v>
      </c>
      <c r="I492" t="s">
        <v>668</v>
      </c>
      <c r="J492" t="s">
        <v>1299</v>
      </c>
      <c r="K492">
        <v>5</v>
      </c>
      <c r="L492" s="3">
        <v>1346.81</v>
      </c>
      <c r="M492" s="3">
        <v>978.09</v>
      </c>
      <c r="N492" s="3" t="str">
        <f>IF(Table1_1[[#This Row],[UnitPrice]]&lt;=816.08,"low",IF(Table1_1[[#This Row],[UnitPrice]]&lt;=1640.06,"medium","high"))</f>
        <v>medium</v>
      </c>
      <c r="O492" s="4">
        <v>0.159</v>
      </c>
      <c r="P492" s="3">
        <v>4112.8684499999999</v>
      </c>
      <c r="Q492" s="3">
        <v>6734.0499999999993</v>
      </c>
      <c r="R492" s="4">
        <v>-0.63731227532939905</v>
      </c>
      <c r="S492" t="s">
        <v>661</v>
      </c>
      <c r="T492" s="3">
        <v>-2621.1815499999993</v>
      </c>
      <c r="U492" t="s">
        <v>1439</v>
      </c>
      <c r="V492" s="13" t="str">
        <f>TEXT(Table1_1[[#This Row],[OrderDate]],"MM YYYY")</f>
        <v>12 2023</v>
      </c>
      <c r="W492" s="11" t="str">
        <f>TEXT(Table1_1[[#This Row],[OrderDate]],"MM")</f>
        <v>12</v>
      </c>
      <c r="X492" s="11"/>
    </row>
    <row r="493" spans="1:24" x14ac:dyDescent="0.25">
      <c r="A493" t="s">
        <v>38</v>
      </c>
      <c r="B493" s="2">
        <v>45492</v>
      </c>
      <c r="C493" s="2">
        <v>45492</v>
      </c>
      <c r="D493" t="s">
        <v>1413</v>
      </c>
      <c r="E493" s="10">
        <v>0</v>
      </c>
      <c r="F493" t="s">
        <v>1383</v>
      </c>
      <c r="G493" t="s">
        <v>646</v>
      </c>
      <c r="H493" t="s">
        <v>648</v>
      </c>
      <c r="I493" t="s">
        <v>671</v>
      </c>
      <c r="J493" t="s">
        <v>702</v>
      </c>
      <c r="K493">
        <v>10</v>
      </c>
      <c r="L493" s="3">
        <v>857.24</v>
      </c>
      <c r="M493" s="3">
        <v>758.23</v>
      </c>
      <c r="N493" s="3" t="str">
        <f>IF(Table1_1[[#This Row],[UnitPrice]]&lt;=816.08,"low",IF(Table1_1[[#This Row],[UnitPrice]]&lt;=1640.06,"medium","high"))</f>
        <v>low</v>
      </c>
      <c r="O493" s="4">
        <v>0.125</v>
      </c>
      <c r="P493" s="3">
        <v>6634.5124999999998</v>
      </c>
      <c r="Q493" s="3">
        <v>8572.4</v>
      </c>
      <c r="R493" s="4">
        <v>-0.29209192084572899</v>
      </c>
      <c r="S493" t="s">
        <v>661</v>
      </c>
      <c r="T493" s="3">
        <v>-1937.8874999999998</v>
      </c>
      <c r="U493" t="s">
        <v>1437</v>
      </c>
      <c r="V493" s="13" t="str">
        <f>TEXT(Table1_1[[#This Row],[OrderDate]],"MM YYYY")</f>
        <v>07 2024</v>
      </c>
      <c r="W493" s="11" t="str">
        <f>TEXT(Table1_1[[#This Row],[OrderDate]],"MM")</f>
        <v>07</v>
      </c>
      <c r="X493" s="11"/>
    </row>
    <row r="494" spans="1:24" x14ac:dyDescent="0.25">
      <c r="A494" t="s">
        <v>616</v>
      </c>
      <c r="B494" s="2">
        <v>45038</v>
      </c>
      <c r="C494" s="2">
        <v>45060</v>
      </c>
      <c r="D494" t="s">
        <v>1413</v>
      </c>
      <c r="E494" s="10">
        <v>22</v>
      </c>
      <c r="F494" t="s">
        <v>1407</v>
      </c>
      <c r="G494" t="s">
        <v>647</v>
      </c>
      <c r="H494" t="s">
        <v>648</v>
      </c>
      <c r="I494" t="s">
        <v>674</v>
      </c>
      <c r="J494" t="s">
        <v>1279</v>
      </c>
      <c r="K494">
        <v>11</v>
      </c>
      <c r="L494" s="3">
        <v>1209.22</v>
      </c>
      <c r="M494" s="3">
        <v>1404.33</v>
      </c>
      <c r="N494" s="3" t="str">
        <f>IF(Table1_1[[#This Row],[UnitPrice]]&lt;=816.08,"low",IF(Table1_1[[#This Row],[UnitPrice]]&lt;=1640.06,"medium","high"))</f>
        <v>medium</v>
      </c>
      <c r="O494" s="4">
        <v>0.10299999999999999</v>
      </c>
      <c r="P494" s="3">
        <v>13856.52411</v>
      </c>
      <c r="Q494" s="3">
        <v>13301.42</v>
      </c>
      <c r="R494" s="4">
        <v>4.00608482757513E-2</v>
      </c>
      <c r="S494" t="s">
        <v>661</v>
      </c>
      <c r="T494" s="3">
        <v>555.10411000000022</v>
      </c>
      <c r="U494" t="s">
        <v>1435</v>
      </c>
      <c r="V494" s="13" t="str">
        <f>TEXT(Table1_1[[#This Row],[OrderDate]],"MM YYYY")</f>
        <v>04 2023</v>
      </c>
      <c r="W494" s="11" t="str">
        <f>TEXT(Table1_1[[#This Row],[OrderDate]],"MM")</f>
        <v>04</v>
      </c>
      <c r="X494" s="11"/>
    </row>
    <row r="495" spans="1:24" x14ac:dyDescent="0.25">
      <c r="A495" t="s">
        <v>372</v>
      </c>
      <c r="B495" s="2">
        <v>45108</v>
      </c>
      <c r="C495" s="2">
        <v>45115</v>
      </c>
      <c r="D495" t="s">
        <v>1413</v>
      </c>
      <c r="E495" s="10">
        <v>7</v>
      </c>
      <c r="F495" t="s">
        <v>1384</v>
      </c>
      <c r="G495" t="s">
        <v>642</v>
      </c>
      <c r="H495" t="s">
        <v>648</v>
      </c>
      <c r="I495" t="s">
        <v>672</v>
      </c>
      <c r="J495" t="s">
        <v>1037</v>
      </c>
      <c r="K495">
        <v>10</v>
      </c>
      <c r="L495" s="3">
        <v>834.26</v>
      </c>
      <c r="M495" s="3">
        <v>1780.56</v>
      </c>
      <c r="N495" s="3" t="str">
        <f>IF(Table1_1[[#This Row],[UnitPrice]]&lt;=816.08,"low",IF(Table1_1[[#This Row],[UnitPrice]]&lt;=1640.06,"medium","high"))</f>
        <v>high</v>
      </c>
      <c r="O495" s="4">
        <v>1.4E-2</v>
      </c>
      <c r="P495" s="3">
        <v>17556.321599999999</v>
      </c>
      <c r="Q495" s="3">
        <v>8342.6</v>
      </c>
      <c r="R495" s="4">
        <v>0.52480934274979296</v>
      </c>
      <c r="S495" t="s">
        <v>661</v>
      </c>
      <c r="T495" s="3">
        <v>9213.7215999999989</v>
      </c>
      <c r="U495" t="s">
        <v>1430</v>
      </c>
      <c r="V495" s="13" t="str">
        <f>TEXT(Table1_1[[#This Row],[OrderDate]],"MM YYYY")</f>
        <v>07 2023</v>
      </c>
      <c r="W495" s="11" t="str">
        <f>TEXT(Table1_1[[#This Row],[OrderDate]],"MM")</f>
        <v>07</v>
      </c>
      <c r="X495" s="11"/>
    </row>
    <row r="496" spans="1:24" x14ac:dyDescent="0.25">
      <c r="A496" t="s">
        <v>80</v>
      </c>
      <c r="B496" s="2">
        <v>45037</v>
      </c>
      <c r="C496" s="2">
        <v>45056</v>
      </c>
      <c r="D496" t="s">
        <v>1413</v>
      </c>
      <c r="E496" s="10">
        <v>19</v>
      </c>
      <c r="F496" t="s">
        <v>1401</v>
      </c>
      <c r="G496" t="s">
        <v>642</v>
      </c>
      <c r="H496" t="s">
        <v>648</v>
      </c>
      <c r="I496" t="s">
        <v>668</v>
      </c>
      <c r="J496" t="s">
        <v>744</v>
      </c>
      <c r="K496">
        <v>19</v>
      </c>
      <c r="L496" s="3">
        <v>882.33</v>
      </c>
      <c r="M496" s="3">
        <v>1880.15</v>
      </c>
      <c r="N496" s="3" t="str">
        <f>IF(Table1_1[[#This Row],[UnitPrice]]&lt;=816.08,"low",IF(Table1_1[[#This Row],[UnitPrice]]&lt;=1640.06,"medium","high"))</f>
        <v>high</v>
      </c>
      <c r="O496" s="4">
        <v>0.05</v>
      </c>
      <c r="P496" s="3">
        <v>33936.707499999997</v>
      </c>
      <c r="Q496" s="3">
        <v>16764.27</v>
      </c>
      <c r="R496" s="4">
        <v>0.50601365792483</v>
      </c>
      <c r="S496" t="s">
        <v>661</v>
      </c>
      <c r="T496" s="3">
        <v>17172.437499999996</v>
      </c>
      <c r="U496" t="s">
        <v>1435</v>
      </c>
      <c r="V496" s="13" t="str">
        <f>TEXT(Table1_1[[#This Row],[OrderDate]],"MM YYYY")</f>
        <v>04 2023</v>
      </c>
      <c r="W496" s="11" t="str">
        <f>TEXT(Table1_1[[#This Row],[OrderDate]],"MM")</f>
        <v>04</v>
      </c>
      <c r="X496" s="11"/>
    </row>
    <row r="497" spans="1:24" x14ac:dyDescent="0.25">
      <c r="A497" t="s">
        <v>1363</v>
      </c>
      <c r="B497" s="2">
        <v>44955</v>
      </c>
      <c r="C497" s="2">
        <v>44985</v>
      </c>
      <c r="D497" t="s">
        <v>1413</v>
      </c>
      <c r="E497" s="10">
        <v>30</v>
      </c>
      <c r="F497" t="s">
        <v>1388</v>
      </c>
      <c r="G497" t="s">
        <v>644</v>
      </c>
      <c r="H497" t="s">
        <v>648</v>
      </c>
      <c r="I497" t="s">
        <v>674</v>
      </c>
      <c r="J497" t="s">
        <v>862</v>
      </c>
      <c r="K497">
        <v>7</v>
      </c>
      <c r="L497" s="3">
        <v>1262.0999999999999</v>
      </c>
      <c r="M497" s="3">
        <v>1395.53</v>
      </c>
      <c r="N497" s="3" t="str">
        <f>IF(Table1_1[[#This Row],[UnitPrice]]&lt;=816.08,"low",IF(Table1_1[[#This Row],[UnitPrice]]&lt;=1640.06,"medium","high"))</f>
        <v>medium</v>
      </c>
      <c r="O497" s="4">
        <v>0.23300000000000001</v>
      </c>
      <c r="P497" s="3">
        <v>7492.6005699999996</v>
      </c>
      <c r="Q497" s="3">
        <v>8834.6999999999989</v>
      </c>
      <c r="R497" s="4">
        <v>-0.179123312054522</v>
      </c>
      <c r="S497" t="s">
        <v>658</v>
      </c>
      <c r="T497" s="3">
        <v>-1342.0994299999993</v>
      </c>
      <c r="U497" t="s">
        <v>1432</v>
      </c>
      <c r="V497" s="13" t="str">
        <f>TEXT(Table1_1[[#This Row],[OrderDate]],"MM YYYY")</f>
        <v>01 2023</v>
      </c>
      <c r="W497" s="11" t="str">
        <f>TEXT(Table1_1[[#This Row],[OrderDate]],"MM")</f>
        <v>01</v>
      </c>
      <c r="X497" s="11"/>
    </row>
    <row r="498" spans="1:24" x14ac:dyDescent="0.25">
      <c r="A498" t="s">
        <v>528</v>
      </c>
      <c r="B498" s="2">
        <v>45413</v>
      </c>
      <c r="C498" s="2">
        <v>45438</v>
      </c>
      <c r="D498" t="s">
        <v>1413</v>
      </c>
      <c r="E498" s="10">
        <v>25</v>
      </c>
      <c r="F498" t="s">
        <v>1390</v>
      </c>
      <c r="G498" t="s">
        <v>644</v>
      </c>
      <c r="H498" t="s">
        <v>648</v>
      </c>
      <c r="I498" t="s">
        <v>670</v>
      </c>
      <c r="J498" t="s">
        <v>1192</v>
      </c>
      <c r="K498">
        <v>12</v>
      </c>
      <c r="L498" s="3">
        <v>930.71</v>
      </c>
      <c r="M498" s="3">
        <v>1625.42</v>
      </c>
      <c r="N498" s="3" t="str">
        <f>IF(Table1_1[[#This Row],[UnitPrice]]&lt;=816.08,"low",IF(Table1_1[[#This Row],[UnitPrice]]&lt;=1640.06,"medium","high"))</f>
        <v>medium</v>
      </c>
      <c r="O498" s="4">
        <v>0.13800000000000001</v>
      </c>
      <c r="P498" s="3">
        <v>16813.34448</v>
      </c>
      <c r="Q498" s="3">
        <v>11168.52</v>
      </c>
      <c r="R498" s="4">
        <v>0.33573477821231201</v>
      </c>
      <c r="S498" t="s">
        <v>658</v>
      </c>
      <c r="T498" s="3">
        <v>5644.8244799999993</v>
      </c>
      <c r="U498" t="s">
        <v>1436</v>
      </c>
      <c r="V498" s="13" t="str">
        <f>TEXT(Table1_1[[#This Row],[OrderDate]],"MM YYYY")</f>
        <v>05 2024</v>
      </c>
      <c r="W498" s="11" t="str">
        <f>TEXT(Table1_1[[#This Row],[OrderDate]],"MM")</f>
        <v>05</v>
      </c>
      <c r="X498" s="11"/>
    </row>
    <row r="499" spans="1:24" x14ac:dyDescent="0.25">
      <c r="A499" t="s">
        <v>216</v>
      </c>
      <c r="B499" s="2">
        <v>45109</v>
      </c>
      <c r="C499" s="2">
        <v>45139</v>
      </c>
      <c r="D499" t="s">
        <v>1413</v>
      </c>
      <c r="E499" s="10">
        <v>30</v>
      </c>
      <c r="F499" t="s">
        <v>1392</v>
      </c>
      <c r="G499" t="s">
        <v>646</v>
      </c>
      <c r="H499" t="s">
        <v>648</v>
      </c>
      <c r="I499" t="s">
        <v>668</v>
      </c>
      <c r="J499" t="s">
        <v>881</v>
      </c>
      <c r="K499">
        <v>27</v>
      </c>
      <c r="L499" s="3">
        <v>137.46</v>
      </c>
      <c r="M499" s="3">
        <v>188.3</v>
      </c>
      <c r="N499" s="3" t="str">
        <f>IF(Table1_1[[#This Row],[UnitPrice]]&lt;=816.08,"low",IF(Table1_1[[#This Row],[UnitPrice]]&lt;=1640.06,"medium","high"))</f>
        <v>low</v>
      </c>
      <c r="O499" s="4">
        <v>3.7999999999999999E-2</v>
      </c>
      <c r="P499" s="3">
        <v>4890.9041999999999</v>
      </c>
      <c r="Q499" s="3">
        <v>3711.42</v>
      </c>
      <c r="R499" s="4">
        <v>0.24115872071262401</v>
      </c>
      <c r="S499" t="s">
        <v>658</v>
      </c>
      <c r="T499" s="3">
        <v>1179.4841999999999</v>
      </c>
      <c r="U499" t="s">
        <v>1430</v>
      </c>
      <c r="V499" s="13" t="str">
        <f>TEXT(Table1_1[[#This Row],[OrderDate]],"MM YYYY")</f>
        <v>07 2023</v>
      </c>
      <c r="W499" s="11" t="str">
        <f>TEXT(Table1_1[[#This Row],[OrderDate]],"MM")</f>
        <v>07</v>
      </c>
      <c r="X499" s="11"/>
    </row>
    <row r="500" spans="1:24" x14ac:dyDescent="0.25">
      <c r="A500" t="s">
        <v>58</v>
      </c>
      <c r="B500" s="2">
        <v>45426</v>
      </c>
      <c r="C500" s="2">
        <v>45440</v>
      </c>
      <c r="D500" t="s">
        <v>1413</v>
      </c>
      <c r="E500" s="10">
        <v>14</v>
      </c>
      <c r="F500" t="s">
        <v>1392</v>
      </c>
      <c r="G500" t="s">
        <v>645</v>
      </c>
      <c r="H500" t="s">
        <v>648</v>
      </c>
      <c r="I500" t="s">
        <v>670</v>
      </c>
      <c r="J500" t="s">
        <v>722</v>
      </c>
      <c r="K500">
        <v>8</v>
      </c>
      <c r="L500" s="3">
        <v>1421.14</v>
      </c>
      <c r="M500" s="3">
        <v>3524</v>
      </c>
      <c r="N500" s="3" t="str">
        <f>IF(Table1_1[[#This Row],[UnitPrice]]&lt;=816.08,"low",IF(Table1_1[[#This Row],[UnitPrice]]&lt;=1640.06,"medium","high"))</f>
        <v>high</v>
      </c>
      <c r="O500" s="4">
        <v>0</v>
      </c>
      <c r="P500" s="3">
        <v>28192</v>
      </c>
      <c r="Q500" s="3">
        <v>11369.12</v>
      </c>
      <c r="R500" s="4">
        <v>0.59672531214528901</v>
      </c>
      <c r="S500" t="s">
        <v>658</v>
      </c>
      <c r="T500" s="3">
        <v>16822.879999999997</v>
      </c>
      <c r="U500" t="s">
        <v>1436</v>
      </c>
      <c r="V500" s="13" t="str">
        <f>TEXT(Table1_1[[#This Row],[OrderDate]],"MM YYYY")</f>
        <v>05 2024</v>
      </c>
      <c r="W500" s="11" t="str">
        <f>TEXT(Table1_1[[#This Row],[OrderDate]],"MM")</f>
        <v>05</v>
      </c>
      <c r="X500" s="11"/>
    </row>
    <row r="501" spans="1:24" x14ac:dyDescent="0.25">
      <c r="A501" t="s">
        <v>545</v>
      </c>
      <c r="B501" s="2">
        <v>45667</v>
      </c>
      <c r="C501" s="2">
        <v>45694</v>
      </c>
      <c r="D501" t="s">
        <v>1413</v>
      </c>
      <c r="E501" s="10">
        <v>27</v>
      </c>
      <c r="F501" t="s">
        <v>1416</v>
      </c>
      <c r="G501" t="s">
        <v>644</v>
      </c>
      <c r="H501" t="s">
        <v>648</v>
      </c>
      <c r="I501" t="s">
        <v>672</v>
      </c>
      <c r="J501" t="s">
        <v>1209</v>
      </c>
      <c r="K501">
        <v>13</v>
      </c>
      <c r="L501" s="3">
        <v>725.62</v>
      </c>
      <c r="M501" s="3">
        <v>1559.19</v>
      </c>
      <c r="N501" s="3" t="str">
        <f>IF(Table1_1[[#This Row],[UnitPrice]]&lt;=816.08,"low",IF(Table1_1[[#This Row],[UnitPrice]]&lt;=1640.06,"medium","high"))</f>
        <v>medium</v>
      </c>
      <c r="O501" s="4">
        <v>0.19</v>
      </c>
      <c r="P501" s="3">
        <v>16418.270700000001</v>
      </c>
      <c r="Q501" s="3">
        <v>9433.06</v>
      </c>
      <c r="R501" s="4">
        <v>0.42545349797405901</v>
      </c>
      <c r="S501" t="s">
        <v>658</v>
      </c>
      <c r="T501" s="3">
        <v>6985.2107000000015</v>
      </c>
      <c r="U501" t="s">
        <v>1434</v>
      </c>
      <c r="V501" s="13" t="str">
        <f>TEXT(Table1_1[[#This Row],[OrderDate]],"MM YYYY")</f>
        <v>01 2025</v>
      </c>
      <c r="W501" s="11" t="str">
        <f>TEXT(Table1_1[[#This Row],[OrderDate]],"MM")</f>
        <v>01</v>
      </c>
      <c r="X501" s="11"/>
    </row>
    <row r="502" spans="1:24" x14ac:dyDescent="0.25">
      <c r="A502" t="s">
        <v>223</v>
      </c>
      <c r="B502" s="2">
        <v>45686</v>
      </c>
      <c r="C502" s="2">
        <v>45694</v>
      </c>
      <c r="D502" t="s">
        <v>1413</v>
      </c>
      <c r="E502" s="10">
        <v>8</v>
      </c>
      <c r="F502" t="s">
        <v>1383</v>
      </c>
      <c r="G502" t="s">
        <v>643</v>
      </c>
      <c r="H502" t="s">
        <v>648</v>
      </c>
      <c r="I502" t="s">
        <v>671</v>
      </c>
      <c r="J502" t="s">
        <v>888</v>
      </c>
      <c r="K502">
        <v>22</v>
      </c>
      <c r="L502" s="3">
        <v>1445.27</v>
      </c>
      <c r="M502" s="3">
        <v>2691.45</v>
      </c>
      <c r="N502" s="3" t="str">
        <f>IF(Table1_1[[#This Row],[UnitPrice]]&lt;=816.08,"low",IF(Table1_1[[#This Row],[UnitPrice]]&lt;=1640.06,"medium","high"))</f>
        <v>high</v>
      </c>
      <c r="O502" s="4">
        <v>0</v>
      </c>
      <c r="P502" s="3">
        <v>59211.899999999994</v>
      </c>
      <c r="Q502" s="3">
        <v>31795.94</v>
      </c>
      <c r="R502" s="4">
        <v>0.46301436028906401</v>
      </c>
      <c r="S502" t="s">
        <v>658</v>
      </c>
      <c r="T502" s="3">
        <v>27415.959999999995</v>
      </c>
      <c r="U502" t="s">
        <v>1434</v>
      </c>
      <c r="V502" s="13" t="str">
        <f>TEXT(Table1_1[[#This Row],[OrderDate]],"MM YYYY")</f>
        <v>01 2025</v>
      </c>
      <c r="W502" s="11" t="str">
        <f>TEXT(Table1_1[[#This Row],[OrderDate]],"MM")</f>
        <v>01</v>
      </c>
      <c r="X502" s="11"/>
    </row>
    <row r="503" spans="1:24" x14ac:dyDescent="0.25">
      <c r="A503" t="s">
        <v>575</v>
      </c>
      <c r="B503" s="2">
        <v>45315</v>
      </c>
      <c r="C503" s="2">
        <v>45326</v>
      </c>
      <c r="D503" t="s">
        <v>1413</v>
      </c>
      <c r="E503" s="10">
        <v>11</v>
      </c>
      <c r="F503" t="s">
        <v>1406</v>
      </c>
      <c r="G503" t="s">
        <v>645</v>
      </c>
      <c r="H503" t="s">
        <v>648</v>
      </c>
      <c r="I503" t="s">
        <v>672</v>
      </c>
      <c r="J503" t="s">
        <v>1238</v>
      </c>
      <c r="K503">
        <v>10</v>
      </c>
      <c r="L503" s="3">
        <v>525.34</v>
      </c>
      <c r="M503" s="3">
        <v>1233.79</v>
      </c>
      <c r="N503" s="3" t="str">
        <f>IF(Table1_1[[#This Row],[UnitPrice]]&lt;=816.08,"low",IF(Table1_1[[#This Row],[UnitPrice]]&lt;=1640.06,"medium","high"))</f>
        <v>medium</v>
      </c>
      <c r="O503" s="4">
        <v>0.14299999999999999</v>
      </c>
      <c r="P503" s="3">
        <v>10573.5803</v>
      </c>
      <c r="Q503" s="3">
        <v>5253.4000000000005</v>
      </c>
      <c r="R503" s="4">
        <v>0.50315788494082703</v>
      </c>
      <c r="S503" t="s">
        <v>658</v>
      </c>
      <c r="T503" s="3">
        <v>5320.1802999999991</v>
      </c>
      <c r="U503" t="s">
        <v>1433</v>
      </c>
      <c r="V503" s="13" t="str">
        <f>TEXT(Table1_1[[#This Row],[OrderDate]],"MM YYYY")</f>
        <v>01 2024</v>
      </c>
      <c r="W503" s="11" t="str">
        <f>TEXT(Table1_1[[#This Row],[OrderDate]],"MM")</f>
        <v>01</v>
      </c>
      <c r="X503" s="11"/>
    </row>
    <row r="504" spans="1:24" x14ac:dyDescent="0.25">
      <c r="A504" t="s">
        <v>615</v>
      </c>
      <c r="B504" s="2">
        <v>45186</v>
      </c>
      <c r="C504" s="2">
        <v>45201</v>
      </c>
      <c r="D504" t="s">
        <v>1413</v>
      </c>
      <c r="E504" s="10">
        <v>15</v>
      </c>
      <c r="F504" t="s">
        <v>1421</v>
      </c>
      <c r="G504" t="s">
        <v>646</v>
      </c>
      <c r="H504" t="s">
        <v>648</v>
      </c>
      <c r="I504" t="s">
        <v>672</v>
      </c>
      <c r="J504" t="s">
        <v>1278</v>
      </c>
      <c r="K504">
        <v>7</v>
      </c>
      <c r="L504" s="3">
        <v>689.33</v>
      </c>
      <c r="M504" s="3">
        <v>668.27</v>
      </c>
      <c r="N504" s="3" t="str">
        <f>IF(Table1_1[[#This Row],[UnitPrice]]&lt;=816.08,"low",IF(Table1_1[[#This Row],[UnitPrice]]&lt;=1640.06,"medium","high"))</f>
        <v>low</v>
      </c>
      <c r="O504" s="4">
        <v>0.186</v>
      </c>
      <c r="P504" s="3">
        <v>3807.8024599999999</v>
      </c>
      <c r="Q504" s="3">
        <v>4825.3100000000004</v>
      </c>
      <c r="R504" s="4">
        <v>-0.26721647214861</v>
      </c>
      <c r="S504" t="s">
        <v>658</v>
      </c>
      <c r="T504" s="3">
        <v>-1017.5075400000005</v>
      </c>
      <c r="U504" t="s">
        <v>1430</v>
      </c>
      <c r="V504" s="13" t="str">
        <f>TEXT(Table1_1[[#This Row],[OrderDate]],"MM YYYY")</f>
        <v>09 2023</v>
      </c>
      <c r="W504" s="11" t="str">
        <f>TEXT(Table1_1[[#This Row],[OrderDate]],"MM")</f>
        <v>09</v>
      </c>
      <c r="X504" s="11"/>
    </row>
    <row r="505" spans="1:24" x14ac:dyDescent="0.25">
      <c r="A505" t="s">
        <v>136</v>
      </c>
      <c r="B505" s="2">
        <v>45150</v>
      </c>
      <c r="C505" s="2">
        <v>45175</v>
      </c>
      <c r="D505" t="s">
        <v>1413</v>
      </c>
      <c r="E505" s="10">
        <v>25</v>
      </c>
      <c r="F505" t="s">
        <v>1401</v>
      </c>
      <c r="G505" t="s">
        <v>646</v>
      </c>
      <c r="H505" t="s">
        <v>648</v>
      </c>
      <c r="I505" t="s">
        <v>668</v>
      </c>
      <c r="J505" t="s">
        <v>800</v>
      </c>
      <c r="K505">
        <v>5</v>
      </c>
      <c r="L505" s="3">
        <v>950.77</v>
      </c>
      <c r="M505" s="3">
        <v>694.78</v>
      </c>
      <c r="N505" s="3" t="str">
        <f>IF(Table1_1[[#This Row],[UnitPrice]]&lt;=816.08,"low",IF(Table1_1[[#This Row],[UnitPrice]]&lt;=1640.06,"medium","high"))</f>
        <v>low</v>
      </c>
      <c r="O505" s="4">
        <v>8.4000000000000005E-2</v>
      </c>
      <c r="P505" s="3">
        <v>3182.0924</v>
      </c>
      <c r="Q505" s="3">
        <v>4753.8500000000004</v>
      </c>
      <c r="R505" s="4">
        <v>-0.49393839097821302</v>
      </c>
      <c r="S505" t="s">
        <v>658</v>
      </c>
      <c r="T505" s="3">
        <v>-1571.7576000000004</v>
      </c>
      <c r="U505" t="s">
        <v>1430</v>
      </c>
      <c r="V505" s="13" t="str">
        <f>TEXT(Table1_1[[#This Row],[OrderDate]],"MM YYYY")</f>
        <v>08 2023</v>
      </c>
      <c r="W505" s="11" t="str">
        <f>TEXT(Table1_1[[#This Row],[OrderDate]],"MM")</f>
        <v>08</v>
      </c>
      <c r="X505" s="11"/>
    </row>
    <row r="506" spans="1:24" x14ac:dyDescent="0.25">
      <c r="A506" t="s">
        <v>190</v>
      </c>
      <c r="B506" s="2">
        <v>45890</v>
      </c>
      <c r="C506" s="2">
        <v>45912</v>
      </c>
      <c r="D506" t="s">
        <v>1413</v>
      </c>
      <c r="E506" s="10">
        <v>22</v>
      </c>
      <c r="F506" t="s">
        <v>1394</v>
      </c>
      <c r="G506" t="s">
        <v>643</v>
      </c>
      <c r="H506" t="s">
        <v>648</v>
      </c>
      <c r="I506" t="s">
        <v>669</v>
      </c>
      <c r="J506" t="s">
        <v>854</v>
      </c>
      <c r="K506">
        <v>9</v>
      </c>
      <c r="L506" s="3">
        <v>352.66</v>
      </c>
      <c r="M506" s="3">
        <v>411.18</v>
      </c>
      <c r="N506" s="3" t="str">
        <f>IF(Table1_1[[#This Row],[UnitPrice]]&lt;=816.08,"low",IF(Table1_1[[#This Row],[UnitPrice]]&lt;=1640.06,"medium","high"))</f>
        <v>low</v>
      </c>
      <c r="O506" s="4">
        <v>0.17299999999999999</v>
      </c>
      <c r="P506" s="3">
        <v>3060.4127399999998</v>
      </c>
      <c r="Q506" s="3">
        <v>3173.94</v>
      </c>
      <c r="R506" s="4">
        <v>-3.7095408248758101E-2</v>
      </c>
      <c r="S506" t="s">
        <v>658</v>
      </c>
      <c r="T506" s="3">
        <v>-113.5272600000003</v>
      </c>
      <c r="U506" t="s">
        <v>1438</v>
      </c>
      <c r="V506" s="13" t="str">
        <f>TEXT(Table1_1[[#This Row],[OrderDate]],"MM YYYY")</f>
        <v>08 2025</v>
      </c>
      <c r="W506" s="11" t="str">
        <f>TEXT(Table1_1[[#This Row],[OrderDate]],"MM")</f>
        <v>08</v>
      </c>
      <c r="X506" s="11"/>
    </row>
    <row r="507" spans="1:24" x14ac:dyDescent="0.25">
      <c r="A507" t="s">
        <v>407</v>
      </c>
      <c r="B507" s="2">
        <v>45638</v>
      </c>
      <c r="C507" s="2">
        <v>45646</v>
      </c>
      <c r="D507" t="s">
        <v>1413</v>
      </c>
      <c r="E507" s="10">
        <v>8</v>
      </c>
      <c r="F507" t="s">
        <v>1403</v>
      </c>
      <c r="G507" t="s">
        <v>642</v>
      </c>
      <c r="H507" t="s">
        <v>648</v>
      </c>
      <c r="I507" t="s">
        <v>672</v>
      </c>
      <c r="J507" t="s">
        <v>1071</v>
      </c>
      <c r="K507">
        <v>38</v>
      </c>
      <c r="L507" s="3">
        <v>1202.47</v>
      </c>
      <c r="M507" s="3">
        <v>1444.72</v>
      </c>
      <c r="N507" s="3" t="str">
        <f>IF(Table1_1[[#This Row],[UnitPrice]]&lt;=816.08,"low",IF(Table1_1[[#This Row],[UnitPrice]]&lt;=1640.06,"medium","high"))</f>
        <v>medium</v>
      </c>
      <c r="O507" s="4">
        <v>0.24099999999999999</v>
      </c>
      <c r="P507" s="3">
        <v>41668.614240000003</v>
      </c>
      <c r="Q507" s="3">
        <v>45693.86</v>
      </c>
      <c r="R507" s="4">
        <v>-9.6601382921343806E-2</v>
      </c>
      <c r="S507" t="s">
        <v>658</v>
      </c>
      <c r="T507" s="3">
        <v>-4025.245759999998</v>
      </c>
      <c r="U507" t="s">
        <v>1440</v>
      </c>
      <c r="V507" s="13" t="str">
        <f>TEXT(Table1_1[[#This Row],[OrderDate]],"MM YYYY")</f>
        <v>12 2024</v>
      </c>
      <c r="W507" s="11" t="str">
        <f>TEXT(Table1_1[[#This Row],[OrderDate]],"MM")</f>
        <v>12</v>
      </c>
      <c r="X507" s="11"/>
    </row>
    <row r="508" spans="1:24" x14ac:dyDescent="0.25">
      <c r="A508" t="s">
        <v>36</v>
      </c>
      <c r="B508" s="2">
        <v>45473</v>
      </c>
      <c r="C508" s="2">
        <v>45487</v>
      </c>
      <c r="D508" t="s">
        <v>1413</v>
      </c>
      <c r="E508" s="10">
        <v>14</v>
      </c>
      <c r="F508" t="s">
        <v>1416</v>
      </c>
      <c r="G508" t="s">
        <v>643</v>
      </c>
      <c r="H508" t="s">
        <v>648</v>
      </c>
      <c r="I508" t="s">
        <v>674</v>
      </c>
      <c r="J508" t="s">
        <v>700</v>
      </c>
      <c r="K508">
        <v>28</v>
      </c>
      <c r="L508" s="3">
        <v>1491.85</v>
      </c>
      <c r="M508" s="3">
        <v>2583.02</v>
      </c>
      <c r="N508" s="3" t="str">
        <f>IF(Table1_1[[#This Row],[UnitPrice]]&lt;=816.08,"low",IF(Table1_1[[#This Row],[UnitPrice]]&lt;=1640.06,"medium","high"))</f>
        <v>high</v>
      </c>
      <c r="O508" s="4">
        <v>0.16800000000000001</v>
      </c>
      <c r="P508" s="3">
        <v>60174.033919999994</v>
      </c>
      <c r="Q508" s="3">
        <v>41771.799999999996</v>
      </c>
      <c r="R508" s="4">
        <v>0.30581685689321297</v>
      </c>
      <c r="S508" t="s">
        <v>653</v>
      </c>
      <c r="T508" s="3">
        <v>18402.233919999999</v>
      </c>
      <c r="U508" t="s">
        <v>1436</v>
      </c>
      <c r="V508" s="13" t="str">
        <f>TEXT(Table1_1[[#This Row],[OrderDate]],"MM YYYY")</f>
        <v>06 2024</v>
      </c>
      <c r="W508" s="11" t="str">
        <f>TEXT(Table1_1[[#This Row],[OrderDate]],"MM")</f>
        <v>06</v>
      </c>
      <c r="X508" s="11"/>
    </row>
    <row r="509" spans="1:24" x14ac:dyDescent="0.25">
      <c r="A509" t="s">
        <v>11</v>
      </c>
      <c r="B509" s="2">
        <v>45362</v>
      </c>
      <c r="C509" s="2">
        <v>45388</v>
      </c>
      <c r="D509" t="s">
        <v>1413</v>
      </c>
      <c r="E509" s="10">
        <v>26</v>
      </c>
      <c r="F509" t="s">
        <v>1383</v>
      </c>
      <c r="G509" t="s">
        <v>642</v>
      </c>
      <c r="H509" t="s">
        <v>648</v>
      </c>
      <c r="I509" t="s">
        <v>668</v>
      </c>
      <c r="J509" t="s">
        <v>675</v>
      </c>
      <c r="K509">
        <v>6</v>
      </c>
      <c r="L509" s="3">
        <v>279.24</v>
      </c>
      <c r="M509" s="3">
        <v>608.9</v>
      </c>
      <c r="N509" s="3" t="str">
        <f>IF(Table1_1[[#This Row],[UnitPrice]]&lt;=816.08,"low",IF(Table1_1[[#This Row],[UnitPrice]]&lt;=1640.06,"medium","high"))</f>
        <v>low</v>
      </c>
      <c r="O509" s="4">
        <v>0.112</v>
      </c>
      <c r="P509" s="3">
        <v>3244.2191999999995</v>
      </c>
      <c r="Q509" s="3">
        <v>1675.44</v>
      </c>
      <c r="R509" s="4">
        <v>0.483561406701495</v>
      </c>
      <c r="S509" t="s">
        <v>653</v>
      </c>
      <c r="T509" s="3">
        <v>1568.7791999999995</v>
      </c>
      <c r="U509" t="s">
        <v>1433</v>
      </c>
      <c r="V509" s="13" t="str">
        <f>TEXT(Table1_1[[#This Row],[OrderDate]],"MM YYYY")</f>
        <v>03 2024</v>
      </c>
      <c r="W509" s="11" t="str">
        <f>TEXT(Table1_1[[#This Row],[OrderDate]],"MM")</f>
        <v>03</v>
      </c>
      <c r="X509" s="11"/>
    </row>
    <row r="510" spans="1:24" x14ac:dyDescent="0.25">
      <c r="A510" t="s">
        <v>329</v>
      </c>
      <c r="B510" s="2">
        <v>45008</v>
      </c>
      <c r="C510" s="2">
        <v>45031</v>
      </c>
      <c r="D510" t="s">
        <v>1413</v>
      </c>
      <c r="E510" s="10">
        <v>23</v>
      </c>
      <c r="F510" t="s">
        <v>1393</v>
      </c>
      <c r="G510" t="s">
        <v>646</v>
      </c>
      <c r="H510" t="s">
        <v>648</v>
      </c>
      <c r="I510" t="s">
        <v>674</v>
      </c>
      <c r="J510" t="s">
        <v>994</v>
      </c>
      <c r="K510">
        <v>10</v>
      </c>
      <c r="L510" s="3">
        <v>875.36</v>
      </c>
      <c r="M510" s="3">
        <v>1178.6199999999999</v>
      </c>
      <c r="N510" s="3" t="str">
        <f>IF(Table1_1[[#This Row],[UnitPrice]]&lt;=816.08,"low",IF(Table1_1[[#This Row],[UnitPrice]]&lt;=1640.06,"medium","high"))</f>
        <v>medium</v>
      </c>
      <c r="O510" s="4">
        <v>0.151</v>
      </c>
      <c r="P510" s="3">
        <v>10006.483799999998</v>
      </c>
      <c r="Q510" s="3">
        <v>8753.6</v>
      </c>
      <c r="R510" s="4">
        <v>0.12520719815685899</v>
      </c>
      <c r="S510" t="s">
        <v>653</v>
      </c>
      <c r="T510" s="3">
        <v>1252.8837999999978</v>
      </c>
      <c r="U510" t="s">
        <v>1432</v>
      </c>
      <c r="V510" s="13" t="str">
        <f>TEXT(Table1_1[[#This Row],[OrderDate]],"MM YYYY")</f>
        <v>03 2023</v>
      </c>
      <c r="W510" s="11" t="str">
        <f>TEXT(Table1_1[[#This Row],[OrderDate]],"MM")</f>
        <v>03</v>
      </c>
      <c r="X510" s="11"/>
    </row>
    <row r="511" spans="1:24" x14ac:dyDescent="0.25">
      <c r="A511" t="s">
        <v>590</v>
      </c>
      <c r="B511" s="2">
        <v>45849</v>
      </c>
      <c r="C511" s="2">
        <v>45872</v>
      </c>
      <c r="D511" t="s">
        <v>1413</v>
      </c>
      <c r="E511" s="10">
        <v>23</v>
      </c>
      <c r="F511" t="s">
        <v>1395</v>
      </c>
      <c r="G511" t="s">
        <v>646</v>
      </c>
      <c r="H511" t="s">
        <v>648</v>
      </c>
      <c r="I511" t="s">
        <v>671</v>
      </c>
      <c r="J511" t="s">
        <v>1253</v>
      </c>
      <c r="K511">
        <v>5</v>
      </c>
      <c r="L511" s="3">
        <v>389.93</v>
      </c>
      <c r="M511" s="3">
        <v>486.13</v>
      </c>
      <c r="N511" s="3" t="str">
        <f>IF(Table1_1[[#This Row],[UnitPrice]]&lt;=816.08,"low",IF(Table1_1[[#This Row],[UnitPrice]]&lt;=1640.06,"medium","high"))</f>
        <v>low</v>
      </c>
      <c r="O511" s="4">
        <v>0.13200000000000001</v>
      </c>
      <c r="P511" s="3">
        <v>2109.8042</v>
      </c>
      <c r="Q511" s="3">
        <v>1949.65</v>
      </c>
      <c r="R511" s="4">
        <v>7.5909508569562995E-2</v>
      </c>
      <c r="S511" t="s">
        <v>653</v>
      </c>
      <c r="T511" s="3">
        <v>160.15419999999995</v>
      </c>
      <c r="U511" t="s">
        <v>1438</v>
      </c>
      <c r="V511" s="13" t="str">
        <f>TEXT(Table1_1[[#This Row],[OrderDate]],"MM YYYY")</f>
        <v>07 2025</v>
      </c>
      <c r="W511" s="11" t="str">
        <f>TEXT(Table1_1[[#This Row],[OrderDate]],"MM")</f>
        <v>07</v>
      </c>
      <c r="X511" s="11"/>
    </row>
    <row r="512" spans="1:24" x14ac:dyDescent="0.25">
      <c r="A512" t="s">
        <v>198</v>
      </c>
      <c r="B512" s="2">
        <v>45126</v>
      </c>
      <c r="C512" s="2">
        <v>45138</v>
      </c>
      <c r="D512" t="s">
        <v>1413</v>
      </c>
      <c r="E512" s="10">
        <v>12</v>
      </c>
      <c r="F512" t="s">
        <v>1421</v>
      </c>
      <c r="G512" t="s">
        <v>642</v>
      </c>
      <c r="H512" t="s">
        <v>648</v>
      </c>
      <c r="I512" t="s">
        <v>673</v>
      </c>
      <c r="J512" t="s">
        <v>863</v>
      </c>
      <c r="K512">
        <v>14</v>
      </c>
      <c r="L512" s="3">
        <v>1334.64</v>
      </c>
      <c r="M512" s="3">
        <v>2273.42</v>
      </c>
      <c r="N512" s="3" t="str">
        <f>IF(Table1_1[[#This Row],[UnitPrice]]&lt;=816.08,"low",IF(Table1_1[[#This Row],[UnitPrice]]&lt;=1640.06,"medium","high"))</f>
        <v>high</v>
      </c>
      <c r="O512" s="4">
        <v>0.11799999999999999</v>
      </c>
      <c r="P512" s="3">
        <v>28072.190160000002</v>
      </c>
      <c r="Q512" s="3">
        <v>18684.960000000003</v>
      </c>
      <c r="R512" s="4">
        <v>0.334396073355753</v>
      </c>
      <c r="S512" t="s">
        <v>653</v>
      </c>
      <c r="T512" s="3">
        <v>9387.2301599999992</v>
      </c>
      <c r="U512" t="s">
        <v>1430</v>
      </c>
      <c r="V512" s="13" t="str">
        <f>TEXT(Table1_1[[#This Row],[OrderDate]],"MM YYYY")</f>
        <v>07 2023</v>
      </c>
      <c r="W512" s="11" t="str">
        <f>TEXT(Table1_1[[#This Row],[OrderDate]],"MM")</f>
        <v>07</v>
      </c>
      <c r="X512" s="11"/>
    </row>
    <row r="513" spans="1:24" x14ac:dyDescent="0.25">
      <c r="A513" t="s">
        <v>505</v>
      </c>
      <c r="B513" s="2">
        <v>45508</v>
      </c>
      <c r="C513" s="2">
        <v>45521</v>
      </c>
      <c r="D513" t="s">
        <v>1413</v>
      </c>
      <c r="E513" s="10">
        <v>13</v>
      </c>
      <c r="F513" t="s">
        <v>1420</v>
      </c>
      <c r="G513" t="s">
        <v>645</v>
      </c>
      <c r="H513" t="s">
        <v>648</v>
      </c>
      <c r="I513" t="s">
        <v>673</v>
      </c>
      <c r="J513" t="s">
        <v>1169</v>
      </c>
      <c r="K513">
        <v>12</v>
      </c>
      <c r="L513" s="3">
        <v>352.79</v>
      </c>
      <c r="M513" s="3">
        <v>754.22</v>
      </c>
      <c r="N513" s="3" t="str">
        <f>IF(Table1_1[[#This Row],[UnitPrice]]&lt;=816.08,"low",IF(Table1_1[[#This Row],[UnitPrice]]&lt;=1640.06,"medium","high"))</f>
        <v>low</v>
      </c>
      <c r="O513" s="4">
        <v>0.113</v>
      </c>
      <c r="P513" s="3">
        <v>8027.9176799999996</v>
      </c>
      <c r="Q513" s="3">
        <v>4233.4800000000005</v>
      </c>
      <c r="R513" s="4">
        <v>0.47265528014233399</v>
      </c>
      <c r="S513" t="s">
        <v>667</v>
      </c>
      <c r="T513" s="3">
        <v>3794.4376799999991</v>
      </c>
      <c r="U513" t="s">
        <v>1437</v>
      </c>
      <c r="V513" s="13" t="str">
        <f>TEXT(Table1_1[[#This Row],[OrderDate]],"MM YYYY")</f>
        <v>08 2024</v>
      </c>
      <c r="W513" s="11" t="str">
        <f>TEXT(Table1_1[[#This Row],[OrderDate]],"MM")</f>
        <v>08</v>
      </c>
      <c r="X513" s="11"/>
    </row>
    <row r="514" spans="1:24" x14ac:dyDescent="0.25">
      <c r="A514" t="s">
        <v>79</v>
      </c>
      <c r="B514" s="2">
        <v>45157</v>
      </c>
      <c r="C514" s="2">
        <v>45176</v>
      </c>
      <c r="D514" t="s">
        <v>1413</v>
      </c>
      <c r="E514" s="10">
        <v>19</v>
      </c>
      <c r="F514" t="s">
        <v>1398</v>
      </c>
      <c r="G514" t="s">
        <v>647</v>
      </c>
      <c r="H514" t="s">
        <v>648</v>
      </c>
      <c r="I514" t="s">
        <v>673</v>
      </c>
      <c r="J514" t="s">
        <v>743</v>
      </c>
      <c r="K514">
        <v>33</v>
      </c>
      <c r="L514" s="3">
        <v>494.61</v>
      </c>
      <c r="M514" s="3">
        <v>605.23</v>
      </c>
      <c r="N514" s="3" t="str">
        <f>IF(Table1_1[[#This Row],[UnitPrice]]&lt;=816.08,"low",IF(Table1_1[[#This Row],[UnitPrice]]&lt;=1640.06,"medium","high"))</f>
        <v>low</v>
      </c>
      <c r="O514" s="4">
        <v>0.20399999999999999</v>
      </c>
      <c r="P514" s="3">
        <v>15898.181640000001</v>
      </c>
      <c r="Q514" s="3">
        <v>16322.130000000001</v>
      </c>
      <c r="R514" s="4">
        <v>-2.66664685056398E-2</v>
      </c>
      <c r="S514" t="s">
        <v>667</v>
      </c>
      <c r="T514" s="3">
        <v>-423.94836000000032</v>
      </c>
      <c r="U514" t="s">
        <v>1430</v>
      </c>
      <c r="V514" s="13" t="str">
        <f>TEXT(Table1_1[[#This Row],[OrderDate]],"MM YYYY")</f>
        <v>08 2023</v>
      </c>
      <c r="W514" s="11" t="str">
        <f>TEXT(Table1_1[[#This Row],[OrderDate]],"MM")</f>
        <v>08</v>
      </c>
      <c r="X514" s="11"/>
    </row>
    <row r="515" spans="1:24" x14ac:dyDescent="0.25">
      <c r="A515" t="s">
        <v>614</v>
      </c>
      <c r="B515" s="2">
        <v>45026</v>
      </c>
      <c r="C515" s="2">
        <v>45041</v>
      </c>
      <c r="D515" t="s">
        <v>1413</v>
      </c>
      <c r="E515" s="10">
        <v>15</v>
      </c>
      <c r="F515" t="s">
        <v>1399</v>
      </c>
      <c r="G515" t="s">
        <v>646</v>
      </c>
      <c r="H515" t="s">
        <v>648</v>
      </c>
      <c r="I515" t="s">
        <v>669</v>
      </c>
      <c r="J515" t="s">
        <v>1277</v>
      </c>
      <c r="K515">
        <v>5</v>
      </c>
      <c r="L515" s="3">
        <v>405.66</v>
      </c>
      <c r="M515" s="3">
        <v>962.51</v>
      </c>
      <c r="N515" s="3" t="str">
        <f>IF(Table1_1[[#This Row],[UnitPrice]]&lt;=816.08,"low",IF(Table1_1[[#This Row],[UnitPrice]]&lt;=1640.06,"medium","high"))</f>
        <v>medium</v>
      </c>
      <c r="O515" s="4">
        <v>0.19</v>
      </c>
      <c r="P515" s="3">
        <v>3898.1655000000005</v>
      </c>
      <c r="Q515" s="3">
        <v>2028.3000000000002</v>
      </c>
      <c r="R515" s="4">
        <v>0.47967832561239399</v>
      </c>
      <c r="S515" t="s">
        <v>667</v>
      </c>
      <c r="T515" s="3">
        <v>1869.8655000000003</v>
      </c>
      <c r="U515" t="s">
        <v>1435</v>
      </c>
      <c r="V515" s="13" t="str">
        <f>TEXT(Table1_1[[#This Row],[OrderDate]],"MM YYYY")</f>
        <v>04 2023</v>
      </c>
      <c r="W515" s="11" t="str">
        <f>TEXT(Table1_1[[#This Row],[OrderDate]],"MM")</f>
        <v>04</v>
      </c>
      <c r="X515" s="11"/>
    </row>
    <row r="516" spans="1:24" x14ac:dyDescent="0.25">
      <c r="A516" t="s">
        <v>627</v>
      </c>
      <c r="B516" s="2">
        <v>45643</v>
      </c>
      <c r="C516" s="2">
        <v>45673</v>
      </c>
      <c r="D516" t="s">
        <v>1413</v>
      </c>
      <c r="E516" s="10">
        <v>30</v>
      </c>
      <c r="F516" t="s">
        <v>1406</v>
      </c>
      <c r="G516" t="s">
        <v>642</v>
      </c>
      <c r="H516" t="s">
        <v>648</v>
      </c>
      <c r="I516" t="s">
        <v>673</v>
      </c>
      <c r="J516" t="s">
        <v>1290</v>
      </c>
      <c r="K516">
        <v>11</v>
      </c>
      <c r="L516" s="3">
        <v>722.87</v>
      </c>
      <c r="M516" s="3">
        <v>33.659999999999997</v>
      </c>
      <c r="N516" s="3" t="str">
        <f>IF(Table1_1[[#This Row],[UnitPrice]]&lt;=816.08,"low",IF(Table1_1[[#This Row],[UnitPrice]]&lt;=1640.06,"medium","high"))</f>
        <v>low</v>
      </c>
      <c r="O516" s="4">
        <v>0.10199999999999999</v>
      </c>
      <c r="P516" s="3">
        <v>332.49347999999998</v>
      </c>
      <c r="Q516" s="3">
        <v>7951.57</v>
      </c>
      <c r="R516" s="4">
        <v>-22.914965189693302</v>
      </c>
      <c r="S516" t="s">
        <v>667</v>
      </c>
      <c r="T516" s="3">
        <v>-7619.0765199999996</v>
      </c>
      <c r="U516" t="s">
        <v>1440</v>
      </c>
      <c r="V516" s="13" t="str">
        <f>TEXT(Table1_1[[#This Row],[OrderDate]],"MM YYYY")</f>
        <v>12 2024</v>
      </c>
      <c r="W516" s="11" t="str">
        <f>TEXT(Table1_1[[#This Row],[OrderDate]],"MM")</f>
        <v>12</v>
      </c>
      <c r="X516" s="11"/>
    </row>
    <row r="517" spans="1:24" x14ac:dyDescent="0.25">
      <c r="A517" t="s">
        <v>256</v>
      </c>
      <c r="B517" s="2">
        <v>45338</v>
      </c>
      <c r="C517" s="2">
        <v>45355</v>
      </c>
      <c r="D517" t="s">
        <v>1413</v>
      </c>
      <c r="E517" s="10">
        <v>17</v>
      </c>
      <c r="F517" t="s">
        <v>1418</v>
      </c>
      <c r="G517" t="s">
        <v>644</v>
      </c>
      <c r="H517" t="s">
        <v>648</v>
      </c>
      <c r="I517" t="s">
        <v>672</v>
      </c>
      <c r="J517" t="s">
        <v>921</v>
      </c>
      <c r="K517">
        <v>11</v>
      </c>
      <c r="L517" s="3">
        <v>1350.98</v>
      </c>
      <c r="M517" s="3">
        <v>2210.4</v>
      </c>
      <c r="N517" s="3" t="str">
        <f>IF(Table1_1[[#This Row],[UnitPrice]]&lt;=816.08,"low",IF(Table1_1[[#This Row],[UnitPrice]]&lt;=1640.06,"medium","high"))</f>
        <v>high</v>
      </c>
      <c r="O517" s="4">
        <v>0.26300000000000001</v>
      </c>
      <c r="P517" s="3">
        <v>17919.712800000001</v>
      </c>
      <c r="Q517" s="3">
        <v>14860.78</v>
      </c>
      <c r="R517" s="4">
        <v>0.170702110806151</v>
      </c>
      <c r="S517" t="s">
        <v>667</v>
      </c>
      <c r="T517" s="3">
        <v>3058.9328000000005</v>
      </c>
      <c r="U517" t="s">
        <v>1433</v>
      </c>
      <c r="V517" s="13" t="str">
        <f>TEXT(Table1_1[[#This Row],[OrderDate]],"MM YYYY")</f>
        <v>02 2024</v>
      </c>
      <c r="W517" s="11" t="str">
        <f>TEXT(Table1_1[[#This Row],[OrderDate]],"MM")</f>
        <v>02</v>
      </c>
      <c r="X517" s="11"/>
    </row>
    <row r="518" spans="1:24" x14ac:dyDescent="0.25">
      <c r="A518" t="s">
        <v>566</v>
      </c>
      <c r="B518" s="2">
        <v>45053</v>
      </c>
      <c r="C518" s="2">
        <v>45066</v>
      </c>
      <c r="D518" t="s">
        <v>1413</v>
      </c>
      <c r="E518" s="10">
        <v>13</v>
      </c>
      <c r="F518" t="s">
        <v>1405</v>
      </c>
      <c r="G518" t="s">
        <v>647</v>
      </c>
      <c r="H518" t="s">
        <v>648</v>
      </c>
      <c r="I518" t="s">
        <v>674</v>
      </c>
      <c r="J518" t="s">
        <v>1229</v>
      </c>
      <c r="K518">
        <v>27</v>
      </c>
      <c r="L518" s="3">
        <v>1443.28</v>
      </c>
      <c r="M518" s="3">
        <v>2580.5700000000002</v>
      </c>
      <c r="N518" s="3" t="str">
        <f>IF(Table1_1[[#This Row],[UnitPrice]]&lt;=816.08,"low",IF(Table1_1[[#This Row],[UnitPrice]]&lt;=1640.06,"medium","high"))</f>
        <v>high</v>
      </c>
      <c r="O518" s="4">
        <v>0</v>
      </c>
      <c r="P518" s="3">
        <v>69675.39</v>
      </c>
      <c r="Q518" s="3">
        <v>38968.559999999998</v>
      </c>
      <c r="R518" s="4">
        <v>0.44071271075770102</v>
      </c>
      <c r="S518" t="s">
        <v>667</v>
      </c>
      <c r="T518" s="3">
        <v>30706.83</v>
      </c>
      <c r="U518" t="s">
        <v>1435</v>
      </c>
      <c r="V518" s="13" t="str">
        <f>TEXT(Table1_1[[#This Row],[OrderDate]],"MM YYYY")</f>
        <v>05 2023</v>
      </c>
      <c r="W518" s="11" t="str">
        <f>TEXT(Table1_1[[#This Row],[OrderDate]],"MM")</f>
        <v>05</v>
      </c>
      <c r="X518" s="11"/>
    </row>
    <row r="519" spans="1:24" x14ac:dyDescent="0.25">
      <c r="A519" t="s">
        <v>532</v>
      </c>
      <c r="B519" s="2">
        <v>45482</v>
      </c>
      <c r="C519" s="2">
        <v>45485</v>
      </c>
      <c r="D519" t="s">
        <v>1413</v>
      </c>
      <c r="E519" s="10">
        <v>3</v>
      </c>
      <c r="F519" t="s">
        <v>1401</v>
      </c>
      <c r="G519" t="s">
        <v>646</v>
      </c>
      <c r="H519" t="s">
        <v>648</v>
      </c>
      <c r="I519" t="s">
        <v>674</v>
      </c>
      <c r="J519" t="s">
        <v>1196</v>
      </c>
      <c r="K519">
        <v>8</v>
      </c>
      <c r="L519" s="3">
        <v>748.39</v>
      </c>
      <c r="M519" s="3">
        <v>979.42</v>
      </c>
      <c r="N519" s="3" t="str">
        <f>IF(Table1_1[[#This Row],[UnitPrice]]&lt;=816.08,"low",IF(Table1_1[[#This Row],[UnitPrice]]&lt;=1640.06,"medium","high"))</f>
        <v>medium</v>
      </c>
      <c r="O519" s="4">
        <v>0</v>
      </c>
      <c r="P519" s="3">
        <v>7835.36</v>
      </c>
      <c r="Q519" s="3">
        <v>5987.12</v>
      </c>
      <c r="R519" s="4">
        <v>0.23588450307324699</v>
      </c>
      <c r="S519" t="s">
        <v>667</v>
      </c>
      <c r="T519" s="3">
        <v>1848.2399999999998</v>
      </c>
      <c r="U519" t="s">
        <v>1437</v>
      </c>
      <c r="V519" s="13" t="str">
        <f>TEXT(Table1_1[[#This Row],[OrderDate]],"MM YYYY")</f>
        <v>07 2024</v>
      </c>
      <c r="W519" s="11" t="str">
        <f>TEXT(Table1_1[[#This Row],[OrderDate]],"MM")</f>
        <v>07</v>
      </c>
      <c r="X519" s="11"/>
    </row>
    <row r="520" spans="1:24" x14ac:dyDescent="0.25">
      <c r="A520" t="s">
        <v>581</v>
      </c>
      <c r="B520" s="2">
        <v>45078</v>
      </c>
      <c r="C520" s="2">
        <v>45078</v>
      </c>
      <c r="D520" t="s">
        <v>1413</v>
      </c>
      <c r="E520" s="10">
        <v>0</v>
      </c>
      <c r="F520" t="s">
        <v>1388</v>
      </c>
      <c r="G520" t="s">
        <v>642</v>
      </c>
      <c r="H520" t="s">
        <v>648</v>
      </c>
      <c r="I520" t="s">
        <v>674</v>
      </c>
      <c r="J520" t="s">
        <v>1244</v>
      </c>
      <c r="K520">
        <v>7</v>
      </c>
      <c r="L520" s="3">
        <v>669.37</v>
      </c>
      <c r="M520" s="3">
        <v>997.2</v>
      </c>
      <c r="N520" s="3" t="str">
        <f>IF(Table1_1[[#This Row],[UnitPrice]]&lt;=816.08,"low",IF(Table1_1[[#This Row],[UnitPrice]]&lt;=1640.06,"medium","high"))</f>
        <v>medium</v>
      </c>
      <c r="O520" s="4">
        <v>8.2000000000000003E-2</v>
      </c>
      <c r="P520" s="3">
        <v>6408.0072000000009</v>
      </c>
      <c r="Q520" s="3">
        <v>4685.59</v>
      </c>
      <c r="R520" s="4">
        <v>0.26879139586484901</v>
      </c>
      <c r="S520" t="s">
        <v>659</v>
      </c>
      <c r="T520" s="3">
        <v>1722.4172000000008</v>
      </c>
      <c r="U520" t="s">
        <v>1435</v>
      </c>
      <c r="V520" s="13" t="str">
        <f>TEXT(Table1_1[[#This Row],[OrderDate]],"MM YYYY")</f>
        <v>06 2023</v>
      </c>
      <c r="W520" s="11" t="str">
        <f>TEXT(Table1_1[[#This Row],[OrderDate]],"MM")</f>
        <v>06</v>
      </c>
      <c r="X520" s="11"/>
    </row>
    <row r="521" spans="1:24" x14ac:dyDescent="0.25">
      <c r="A521" t="s">
        <v>199</v>
      </c>
      <c r="B521" s="2">
        <v>45431</v>
      </c>
      <c r="C521" s="2">
        <v>45451</v>
      </c>
      <c r="D521" t="s">
        <v>1413</v>
      </c>
      <c r="E521" s="10">
        <v>20</v>
      </c>
      <c r="F521" t="s">
        <v>1416</v>
      </c>
      <c r="G521" t="s">
        <v>646</v>
      </c>
      <c r="H521" t="s">
        <v>648</v>
      </c>
      <c r="I521" t="s">
        <v>673</v>
      </c>
      <c r="J521" t="s">
        <v>864</v>
      </c>
      <c r="K521">
        <v>3</v>
      </c>
      <c r="L521" s="3">
        <v>1075.9000000000001</v>
      </c>
      <c r="M521" s="3">
        <v>1242.1500000000001</v>
      </c>
      <c r="N521" s="3" t="str">
        <f>IF(Table1_1[[#This Row],[UnitPrice]]&lt;=816.08,"low",IF(Table1_1[[#This Row],[UnitPrice]]&lt;=1640.06,"medium","high"))</f>
        <v>medium</v>
      </c>
      <c r="O521" s="4">
        <v>1.2E-2</v>
      </c>
      <c r="P521" s="3">
        <v>3681.7326000000003</v>
      </c>
      <c r="Q521" s="3">
        <v>3227.7000000000003</v>
      </c>
      <c r="R521" s="4">
        <v>0.123320362809618</v>
      </c>
      <c r="S521" t="s">
        <v>659</v>
      </c>
      <c r="T521" s="3">
        <v>454.0326</v>
      </c>
      <c r="U521" t="s">
        <v>1436</v>
      </c>
      <c r="V521" s="13" t="str">
        <f>TEXT(Table1_1[[#This Row],[OrderDate]],"MM YYYY")</f>
        <v>05 2024</v>
      </c>
      <c r="W521" s="11" t="str">
        <f>TEXT(Table1_1[[#This Row],[OrderDate]],"MM")</f>
        <v>05</v>
      </c>
      <c r="X521" s="11"/>
    </row>
    <row r="522" spans="1:24" x14ac:dyDescent="0.25">
      <c r="A522" t="s">
        <v>589</v>
      </c>
      <c r="B522" s="2">
        <v>45607</v>
      </c>
      <c r="C522" s="2">
        <v>45620</v>
      </c>
      <c r="D522" t="s">
        <v>1413</v>
      </c>
      <c r="E522" s="10">
        <v>13</v>
      </c>
      <c r="F522" t="s">
        <v>1399</v>
      </c>
      <c r="G522" t="s">
        <v>642</v>
      </c>
      <c r="H522" t="s">
        <v>648</v>
      </c>
      <c r="I522" t="s">
        <v>670</v>
      </c>
      <c r="J522" t="s">
        <v>1252</v>
      </c>
      <c r="K522">
        <v>6</v>
      </c>
      <c r="L522" s="3">
        <v>164.53</v>
      </c>
      <c r="M522" s="3">
        <v>327.72</v>
      </c>
      <c r="N522" s="3" t="str">
        <f>IF(Table1_1[[#This Row],[UnitPrice]]&lt;=816.08,"low",IF(Table1_1[[#This Row],[UnitPrice]]&lt;=1640.06,"medium","high"))</f>
        <v>low</v>
      </c>
      <c r="O522" s="4">
        <v>6.7000000000000004E-2</v>
      </c>
      <c r="P522" s="3">
        <v>1834.5765600000002</v>
      </c>
      <c r="Q522" s="3">
        <v>987.18000000000006</v>
      </c>
      <c r="R522" s="4">
        <v>0.46190307805960401</v>
      </c>
      <c r="S522" t="s">
        <v>659</v>
      </c>
      <c r="T522" s="3">
        <v>847.39656000000014</v>
      </c>
      <c r="U522" t="s">
        <v>1440</v>
      </c>
      <c r="V522" s="13" t="str">
        <f>TEXT(Table1_1[[#This Row],[OrderDate]],"MM YYYY")</f>
        <v>11 2024</v>
      </c>
      <c r="W522" s="11" t="str">
        <f>TEXT(Table1_1[[#This Row],[OrderDate]],"MM")</f>
        <v>11</v>
      </c>
      <c r="X522" s="11"/>
    </row>
    <row r="523" spans="1:24" x14ac:dyDescent="0.25">
      <c r="A523" t="s">
        <v>40</v>
      </c>
      <c r="B523" s="2">
        <v>45754</v>
      </c>
      <c r="C523" s="2">
        <v>45758</v>
      </c>
      <c r="D523" t="s">
        <v>1413</v>
      </c>
      <c r="E523" s="10">
        <v>4</v>
      </c>
      <c r="F523" t="s">
        <v>1396</v>
      </c>
      <c r="G523" t="s">
        <v>643</v>
      </c>
      <c r="H523" t="s">
        <v>648</v>
      </c>
      <c r="I523" t="s">
        <v>670</v>
      </c>
      <c r="J523" t="s">
        <v>704</v>
      </c>
      <c r="K523">
        <v>23</v>
      </c>
      <c r="L523" s="3">
        <v>754.77</v>
      </c>
      <c r="M523" s="3">
        <v>1666.18</v>
      </c>
      <c r="N523" s="3" t="str">
        <f>IF(Table1_1[[#This Row],[UnitPrice]]&lt;=816.08,"low",IF(Table1_1[[#This Row],[UnitPrice]]&lt;=1640.06,"medium","high"))</f>
        <v>high</v>
      </c>
      <c r="O523" s="4">
        <v>0.13900000000000001</v>
      </c>
      <c r="P523" s="3">
        <v>32995.362540000002</v>
      </c>
      <c r="Q523" s="3">
        <v>17359.71</v>
      </c>
      <c r="R523" s="4">
        <v>0.47387424584424698</v>
      </c>
      <c r="S523" t="s">
        <v>659</v>
      </c>
      <c r="T523" s="3">
        <v>15635.652540000003</v>
      </c>
      <c r="U523" t="s">
        <v>1431</v>
      </c>
      <c r="V523" s="13" t="str">
        <f>TEXT(Table1_1[[#This Row],[OrderDate]],"MM YYYY")</f>
        <v>04 2025</v>
      </c>
      <c r="W523" s="11" t="str">
        <f>TEXT(Table1_1[[#This Row],[OrderDate]],"MM")</f>
        <v>04</v>
      </c>
      <c r="X523" s="11"/>
    </row>
    <row r="524" spans="1:24" x14ac:dyDescent="0.25">
      <c r="A524" t="s">
        <v>129</v>
      </c>
      <c r="B524" s="2">
        <v>45086</v>
      </c>
      <c r="C524" s="2">
        <v>45096</v>
      </c>
      <c r="D524" t="s">
        <v>1413</v>
      </c>
      <c r="E524" s="10">
        <v>10</v>
      </c>
      <c r="F524" t="s">
        <v>1411</v>
      </c>
      <c r="G524" t="s">
        <v>647</v>
      </c>
      <c r="H524" t="s">
        <v>648</v>
      </c>
      <c r="I524" t="s">
        <v>673</v>
      </c>
      <c r="J524" t="s">
        <v>793</v>
      </c>
      <c r="K524">
        <v>23</v>
      </c>
      <c r="L524" s="3">
        <v>339.61</v>
      </c>
      <c r="M524" s="3">
        <v>621.02</v>
      </c>
      <c r="N524" s="3" t="str">
        <f>IF(Table1_1[[#This Row],[UnitPrice]]&lt;=816.08,"low",IF(Table1_1[[#This Row],[UnitPrice]]&lt;=1640.06,"medium","high"))</f>
        <v>low</v>
      </c>
      <c r="O524" s="4">
        <v>7.0999999999999994E-2</v>
      </c>
      <c r="P524" s="3">
        <v>13269.334339999999</v>
      </c>
      <c r="Q524" s="3">
        <v>7811.0300000000007</v>
      </c>
      <c r="R524" s="4">
        <v>0.41134726129750998</v>
      </c>
      <c r="S524" t="s">
        <v>662</v>
      </c>
      <c r="T524" s="3">
        <v>5458.3043399999988</v>
      </c>
      <c r="U524" t="s">
        <v>1435</v>
      </c>
      <c r="V524" s="13" t="str">
        <f>TEXT(Table1_1[[#This Row],[OrderDate]],"MM YYYY")</f>
        <v>06 2023</v>
      </c>
      <c r="W524" s="11" t="str">
        <f>TEXT(Table1_1[[#This Row],[OrderDate]],"MM")</f>
        <v>06</v>
      </c>
      <c r="X524" s="11"/>
    </row>
    <row r="525" spans="1:24" x14ac:dyDescent="0.25">
      <c r="A525" t="s">
        <v>426</v>
      </c>
      <c r="B525" s="2">
        <v>45626</v>
      </c>
      <c r="C525" s="2">
        <v>45636</v>
      </c>
      <c r="D525" t="s">
        <v>1413</v>
      </c>
      <c r="E525" s="10">
        <v>10</v>
      </c>
      <c r="F525" t="s">
        <v>1409</v>
      </c>
      <c r="G525" t="s">
        <v>646</v>
      </c>
      <c r="H525" t="s">
        <v>648</v>
      </c>
      <c r="I525" t="s">
        <v>674</v>
      </c>
      <c r="J525" t="s">
        <v>1090</v>
      </c>
      <c r="K525">
        <v>15</v>
      </c>
      <c r="L525" s="3">
        <v>851.49</v>
      </c>
      <c r="M525" s="3">
        <v>901.79</v>
      </c>
      <c r="N525" s="3" t="str">
        <f>IF(Table1_1[[#This Row],[UnitPrice]]&lt;=816.08,"low",IF(Table1_1[[#This Row],[UnitPrice]]&lt;=1640.06,"medium","high"))</f>
        <v>medium</v>
      </c>
      <c r="O525" s="4">
        <v>0.245</v>
      </c>
      <c r="P525" s="3">
        <v>10212.771749999998</v>
      </c>
      <c r="Q525" s="3">
        <v>12772.35</v>
      </c>
      <c r="R525" s="4">
        <v>-0.25062522816100402</v>
      </c>
      <c r="S525" t="s">
        <v>662</v>
      </c>
      <c r="T525" s="3">
        <v>-2559.5782500000023</v>
      </c>
      <c r="U525" t="s">
        <v>1440</v>
      </c>
      <c r="V525" s="13" t="str">
        <f>TEXT(Table1_1[[#This Row],[OrderDate]],"MM YYYY")</f>
        <v>11 2024</v>
      </c>
      <c r="W525" s="11" t="str">
        <f>TEXT(Table1_1[[#This Row],[OrderDate]],"MM")</f>
        <v>11</v>
      </c>
      <c r="X525" s="11"/>
    </row>
    <row r="526" spans="1:24" x14ac:dyDescent="0.25">
      <c r="A526" t="s">
        <v>394</v>
      </c>
      <c r="B526" s="2">
        <v>45491</v>
      </c>
      <c r="C526" s="2">
        <v>45511</v>
      </c>
      <c r="D526" t="s">
        <v>1413</v>
      </c>
      <c r="E526" s="10">
        <v>20</v>
      </c>
      <c r="F526" t="s">
        <v>1391</v>
      </c>
      <c r="G526" t="s">
        <v>642</v>
      </c>
      <c r="H526" t="s">
        <v>648</v>
      </c>
      <c r="I526" t="s">
        <v>673</v>
      </c>
      <c r="J526" t="s">
        <v>1058</v>
      </c>
      <c r="K526">
        <v>4</v>
      </c>
      <c r="L526" s="3">
        <v>941.35</v>
      </c>
      <c r="M526" s="3">
        <v>899.83</v>
      </c>
      <c r="N526" s="3" t="str">
        <f>IF(Table1_1[[#This Row],[UnitPrice]]&lt;=816.08,"low",IF(Table1_1[[#This Row],[UnitPrice]]&lt;=1640.06,"medium","high"))</f>
        <v>medium</v>
      </c>
      <c r="O526" s="4">
        <v>5.8000000000000003E-2</v>
      </c>
      <c r="P526" s="3">
        <v>3390.55944</v>
      </c>
      <c r="Q526" s="3">
        <v>3765.4</v>
      </c>
      <c r="R526" s="4">
        <v>-0.110554192201391</v>
      </c>
      <c r="S526" t="s">
        <v>662</v>
      </c>
      <c r="T526" s="3">
        <v>-374.8405600000001</v>
      </c>
      <c r="U526" t="s">
        <v>1437</v>
      </c>
      <c r="V526" s="13" t="str">
        <f>TEXT(Table1_1[[#This Row],[OrderDate]],"MM YYYY")</f>
        <v>07 2024</v>
      </c>
      <c r="W526" s="11" t="str">
        <f>TEXT(Table1_1[[#This Row],[OrderDate]],"MM")</f>
        <v>07</v>
      </c>
      <c r="X526" s="11"/>
    </row>
    <row r="527" spans="1:24" x14ac:dyDescent="0.25">
      <c r="A527" t="s">
        <v>139</v>
      </c>
      <c r="B527" s="2">
        <v>45442</v>
      </c>
      <c r="C527" s="2">
        <v>45456</v>
      </c>
      <c r="D527" t="s">
        <v>1413</v>
      </c>
      <c r="E527" s="10">
        <v>14</v>
      </c>
      <c r="F527" t="s">
        <v>1419</v>
      </c>
      <c r="G527" t="s">
        <v>646</v>
      </c>
      <c r="H527" t="s">
        <v>648</v>
      </c>
      <c r="I527" t="s">
        <v>671</v>
      </c>
      <c r="J527" t="s">
        <v>803</v>
      </c>
      <c r="K527">
        <v>13</v>
      </c>
      <c r="L527" s="3">
        <v>157.78</v>
      </c>
      <c r="M527" s="3">
        <v>361.1</v>
      </c>
      <c r="N527" s="3" t="str">
        <f>IF(Table1_1[[#This Row],[UnitPrice]]&lt;=816.08,"low",IF(Table1_1[[#This Row],[UnitPrice]]&lt;=1640.06,"medium","high"))</f>
        <v>low</v>
      </c>
      <c r="O527" s="4">
        <v>0.187</v>
      </c>
      <c r="P527" s="3">
        <v>3816.4658999999997</v>
      </c>
      <c r="Q527" s="3">
        <v>2051.14</v>
      </c>
      <c r="R527" s="4">
        <v>0.46255513510549101</v>
      </c>
      <c r="S527" t="s">
        <v>662</v>
      </c>
      <c r="T527" s="3">
        <v>1765.3258999999998</v>
      </c>
      <c r="U527" t="s">
        <v>1436</v>
      </c>
      <c r="V527" s="13" t="str">
        <f>TEXT(Table1_1[[#This Row],[OrderDate]],"MM YYYY")</f>
        <v>05 2024</v>
      </c>
      <c r="W527" s="11" t="str">
        <f>TEXT(Table1_1[[#This Row],[OrderDate]],"MM")</f>
        <v>05</v>
      </c>
      <c r="X527" s="11"/>
    </row>
    <row r="528" spans="1:24" x14ac:dyDescent="0.25">
      <c r="A528" t="s">
        <v>179</v>
      </c>
      <c r="B528" s="2">
        <v>45206</v>
      </c>
      <c r="C528" s="2">
        <v>45222</v>
      </c>
      <c r="D528" t="s">
        <v>1413</v>
      </c>
      <c r="E528" s="10">
        <v>16</v>
      </c>
      <c r="F528" t="s">
        <v>1409</v>
      </c>
      <c r="G528" t="s">
        <v>645</v>
      </c>
      <c r="H528" t="s">
        <v>648</v>
      </c>
      <c r="I528" t="s">
        <v>673</v>
      </c>
      <c r="J528" t="s">
        <v>843</v>
      </c>
      <c r="K528">
        <v>21</v>
      </c>
      <c r="L528" s="3">
        <v>906.81</v>
      </c>
      <c r="M528" s="3">
        <v>1395.56</v>
      </c>
      <c r="N528" s="3" t="str">
        <f>IF(Table1_1[[#This Row],[UnitPrice]]&lt;=816.08,"low",IF(Table1_1[[#This Row],[UnitPrice]]&lt;=1640.06,"medium","high"))</f>
        <v>medium</v>
      </c>
      <c r="O528" s="4">
        <v>0.185</v>
      </c>
      <c r="P528" s="3">
        <v>23885.009399999995</v>
      </c>
      <c r="Q528" s="3">
        <v>19043.009999999998</v>
      </c>
      <c r="R528" s="4">
        <v>0.20272126834498999</v>
      </c>
      <c r="S528" t="s">
        <v>656</v>
      </c>
      <c r="T528" s="3">
        <v>4841.999399999997</v>
      </c>
      <c r="U528" t="s">
        <v>1439</v>
      </c>
      <c r="V528" s="13" t="str">
        <f>TEXT(Table1_1[[#This Row],[OrderDate]],"MM YYYY")</f>
        <v>10 2023</v>
      </c>
      <c r="W528" s="11" t="str">
        <f>TEXT(Table1_1[[#This Row],[OrderDate]],"MM")</f>
        <v>10</v>
      </c>
      <c r="X528" s="11"/>
    </row>
    <row r="529" spans="1:24" x14ac:dyDescent="0.25">
      <c r="A529" t="s">
        <v>34</v>
      </c>
      <c r="B529" s="2">
        <v>45430</v>
      </c>
      <c r="C529" s="2">
        <v>45435</v>
      </c>
      <c r="D529" t="s">
        <v>1413</v>
      </c>
      <c r="E529" s="10">
        <v>5</v>
      </c>
      <c r="F529" t="s">
        <v>1422</v>
      </c>
      <c r="G529" t="s">
        <v>647</v>
      </c>
      <c r="H529" t="s">
        <v>648</v>
      </c>
      <c r="I529" t="s">
        <v>672</v>
      </c>
      <c r="J529" t="s">
        <v>698</v>
      </c>
      <c r="K529">
        <v>8</v>
      </c>
      <c r="L529" s="3">
        <v>1274.5899999999999</v>
      </c>
      <c r="M529" s="3">
        <v>2553.69</v>
      </c>
      <c r="N529" s="3" t="str">
        <f>IF(Table1_1[[#This Row],[UnitPrice]]&lt;=816.08,"low",IF(Table1_1[[#This Row],[UnitPrice]]&lt;=1640.06,"medium","high"))</f>
        <v>high</v>
      </c>
      <c r="O529" s="4">
        <v>0.01</v>
      </c>
      <c r="P529" s="3">
        <v>20225.2248</v>
      </c>
      <c r="Q529" s="3">
        <v>10196.719999999999</v>
      </c>
      <c r="R529" s="4">
        <v>0.49584145042481798</v>
      </c>
      <c r="S529" t="s">
        <v>663</v>
      </c>
      <c r="T529" s="3">
        <v>10028.504800000001</v>
      </c>
      <c r="U529" t="s">
        <v>1436</v>
      </c>
      <c r="V529" s="13" t="str">
        <f>TEXT(Table1_1[[#This Row],[OrderDate]],"MM YYYY")</f>
        <v>05 2024</v>
      </c>
      <c r="W529" s="11" t="str">
        <f>TEXT(Table1_1[[#This Row],[OrderDate]],"MM")</f>
        <v>05</v>
      </c>
      <c r="X529" s="11"/>
    </row>
    <row r="530" spans="1:24" x14ac:dyDescent="0.25">
      <c r="A530" t="s">
        <v>188</v>
      </c>
      <c r="B530" s="2">
        <v>45325</v>
      </c>
      <c r="C530" s="2">
        <v>45343</v>
      </c>
      <c r="D530" t="s">
        <v>1413</v>
      </c>
      <c r="E530" s="10">
        <v>18</v>
      </c>
      <c r="F530" t="s">
        <v>1410</v>
      </c>
      <c r="G530" t="s">
        <v>642</v>
      </c>
      <c r="H530" t="s">
        <v>648</v>
      </c>
      <c r="I530" t="s">
        <v>668</v>
      </c>
      <c r="J530" t="s">
        <v>852</v>
      </c>
      <c r="K530">
        <v>39</v>
      </c>
      <c r="L530" s="3">
        <v>39.229999999999997</v>
      </c>
      <c r="M530" s="3">
        <v>30.09</v>
      </c>
      <c r="N530" s="3" t="str">
        <f>IF(Table1_1[[#This Row],[UnitPrice]]&lt;=816.08,"low",IF(Table1_1[[#This Row],[UnitPrice]]&lt;=1640.06,"medium","high"))</f>
        <v>low</v>
      </c>
      <c r="O530" s="4">
        <v>0.17699999999999999</v>
      </c>
      <c r="P530" s="3">
        <v>965.79872999999998</v>
      </c>
      <c r="Q530" s="3">
        <v>1529.9699999999998</v>
      </c>
      <c r="R530" s="4">
        <v>-0.58414993981199403</v>
      </c>
      <c r="S530" t="s">
        <v>663</v>
      </c>
      <c r="T530" s="3">
        <v>-564.17126999999982</v>
      </c>
      <c r="U530" t="s">
        <v>1433</v>
      </c>
      <c r="V530" s="13" t="str">
        <f>TEXT(Table1_1[[#This Row],[OrderDate]],"MM YYYY")</f>
        <v>02 2024</v>
      </c>
      <c r="W530" s="11" t="str">
        <f>TEXT(Table1_1[[#This Row],[OrderDate]],"MM")</f>
        <v>02</v>
      </c>
      <c r="X530" s="11"/>
    </row>
    <row r="531" spans="1:24" x14ac:dyDescent="0.25">
      <c r="A531" t="s">
        <v>390</v>
      </c>
      <c r="B531" s="2">
        <v>45688</v>
      </c>
      <c r="C531" s="2">
        <v>45705</v>
      </c>
      <c r="D531" t="s">
        <v>1413</v>
      </c>
      <c r="E531" s="10">
        <v>17</v>
      </c>
      <c r="F531" t="s">
        <v>1399</v>
      </c>
      <c r="G531" t="s">
        <v>647</v>
      </c>
      <c r="H531" t="s">
        <v>648</v>
      </c>
      <c r="I531" t="s">
        <v>668</v>
      </c>
      <c r="J531" t="s">
        <v>753</v>
      </c>
      <c r="K531">
        <v>10</v>
      </c>
      <c r="L531" s="3">
        <v>378.26</v>
      </c>
      <c r="M531" s="3">
        <v>541.55999999999995</v>
      </c>
      <c r="N531" s="3" t="str">
        <f>IF(Table1_1[[#This Row],[UnitPrice]]&lt;=816.08,"low",IF(Table1_1[[#This Row],[UnitPrice]]&lt;=1640.06,"medium","high"))</f>
        <v>low</v>
      </c>
      <c r="O531" s="4">
        <v>0.16300000000000001</v>
      </c>
      <c r="P531" s="3">
        <v>4532.8571999999995</v>
      </c>
      <c r="Q531" s="3">
        <v>3782.6</v>
      </c>
      <c r="R531" s="4">
        <v>0.16551529573885501</v>
      </c>
      <c r="S531" t="s">
        <v>663</v>
      </c>
      <c r="T531" s="3">
        <v>750.25719999999956</v>
      </c>
      <c r="U531" t="s">
        <v>1434</v>
      </c>
      <c r="V531" s="13" t="str">
        <f>TEXT(Table1_1[[#This Row],[OrderDate]],"MM YYYY")</f>
        <v>01 2025</v>
      </c>
      <c r="W531" s="11" t="str">
        <f>TEXT(Table1_1[[#This Row],[OrderDate]],"MM")</f>
        <v>01</v>
      </c>
      <c r="X531" s="11"/>
    </row>
    <row r="532" spans="1:24" x14ac:dyDescent="0.25">
      <c r="A532" t="s">
        <v>95</v>
      </c>
      <c r="B532" s="2">
        <v>45741</v>
      </c>
      <c r="C532" s="2">
        <v>45764</v>
      </c>
      <c r="D532" t="s">
        <v>1413</v>
      </c>
      <c r="E532" s="10">
        <v>23</v>
      </c>
      <c r="F532" t="s">
        <v>1399</v>
      </c>
      <c r="G532" t="s">
        <v>645</v>
      </c>
      <c r="H532" t="s">
        <v>648</v>
      </c>
      <c r="I532" t="s">
        <v>670</v>
      </c>
      <c r="J532" t="s">
        <v>759</v>
      </c>
      <c r="K532">
        <v>9</v>
      </c>
      <c r="L532" s="3">
        <v>1421.19</v>
      </c>
      <c r="M532" s="3">
        <v>1808.26</v>
      </c>
      <c r="N532" s="3" t="str">
        <f>IF(Table1_1[[#This Row],[UnitPrice]]&lt;=816.08,"low",IF(Table1_1[[#This Row],[UnitPrice]]&lt;=1640.06,"medium","high"))</f>
        <v>high</v>
      </c>
      <c r="O532" s="4">
        <v>0.104</v>
      </c>
      <c r="P532" s="3">
        <v>14581.808640000001</v>
      </c>
      <c r="Q532" s="3">
        <v>12790.710000000001</v>
      </c>
      <c r="R532" s="4">
        <v>0.122831034490931</v>
      </c>
      <c r="S532" t="s">
        <v>663</v>
      </c>
      <c r="T532" s="3">
        <v>1791.0986400000002</v>
      </c>
      <c r="U532" t="s">
        <v>1434</v>
      </c>
      <c r="V532" s="13" t="str">
        <f>TEXT(Table1_1[[#This Row],[OrderDate]],"MM YYYY")</f>
        <v>03 2025</v>
      </c>
      <c r="W532" s="11" t="str">
        <f>TEXT(Table1_1[[#This Row],[OrderDate]],"MM")</f>
        <v>03</v>
      </c>
      <c r="X532" s="11"/>
    </row>
    <row r="533" spans="1:24" x14ac:dyDescent="0.25">
      <c r="A533" t="s">
        <v>495</v>
      </c>
      <c r="B533" s="2">
        <v>45634</v>
      </c>
      <c r="C533" s="2">
        <v>45634</v>
      </c>
      <c r="D533" t="s">
        <v>1413</v>
      </c>
      <c r="E533" s="10">
        <v>0</v>
      </c>
      <c r="F533" t="s">
        <v>1396</v>
      </c>
      <c r="G533" t="s">
        <v>647</v>
      </c>
      <c r="H533" t="s">
        <v>648</v>
      </c>
      <c r="I533" t="s">
        <v>668</v>
      </c>
      <c r="J533" t="s">
        <v>1159</v>
      </c>
      <c r="K533">
        <v>5</v>
      </c>
      <c r="L533" s="3">
        <v>257.44</v>
      </c>
      <c r="M533" s="3">
        <v>290.33</v>
      </c>
      <c r="N533" s="3" t="str">
        <f>IF(Table1_1[[#This Row],[UnitPrice]]&lt;=816.08,"low",IF(Table1_1[[#This Row],[UnitPrice]]&lt;=1640.06,"medium","high"))</f>
        <v>low</v>
      </c>
      <c r="O533" s="4">
        <v>9.1999999999999998E-2</v>
      </c>
      <c r="P533" s="3">
        <v>1318.0981999999999</v>
      </c>
      <c r="Q533" s="3">
        <v>1287.2</v>
      </c>
      <c r="R533" s="4">
        <v>2.3441500792581199E-2</v>
      </c>
      <c r="S533" t="s">
        <v>663</v>
      </c>
      <c r="T533" s="3">
        <v>30.898199999999861</v>
      </c>
      <c r="U533" t="s">
        <v>1440</v>
      </c>
      <c r="V533" s="13" t="str">
        <f>TEXT(Table1_1[[#This Row],[OrderDate]],"MM YYYY")</f>
        <v>12 2024</v>
      </c>
      <c r="W533" s="11" t="str">
        <f>TEXT(Table1_1[[#This Row],[OrderDate]],"MM")</f>
        <v>12</v>
      </c>
      <c r="X533" s="11"/>
    </row>
    <row r="534" spans="1:24" x14ac:dyDescent="0.25">
      <c r="A534" t="s">
        <v>24</v>
      </c>
      <c r="B534" s="2">
        <v>45311</v>
      </c>
      <c r="C534" s="2">
        <v>45335</v>
      </c>
      <c r="D534" t="s">
        <v>1413</v>
      </c>
      <c r="E534" s="10">
        <v>24</v>
      </c>
      <c r="F534" t="s">
        <v>1391</v>
      </c>
      <c r="G534" t="s">
        <v>642</v>
      </c>
      <c r="H534" t="s">
        <v>648</v>
      </c>
      <c r="I534" t="s">
        <v>669</v>
      </c>
      <c r="J534" t="s">
        <v>688</v>
      </c>
      <c r="K534">
        <v>9</v>
      </c>
      <c r="L534" s="3">
        <v>643.53</v>
      </c>
      <c r="M534" s="3">
        <v>1439.01</v>
      </c>
      <c r="N534" s="3" t="str">
        <f>IF(Table1_1[[#This Row],[UnitPrice]]&lt;=816.08,"low",IF(Table1_1[[#This Row],[UnitPrice]]&lt;=1640.06,"medium","high"))</f>
        <v>medium</v>
      </c>
      <c r="O534" s="4">
        <v>0</v>
      </c>
      <c r="P534" s="3">
        <v>12951.09</v>
      </c>
      <c r="Q534" s="3">
        <v>5791.7699999999995</v>
      </c>
      <c r="R534" s="4">
        <v>0.55279671440782197</v>
      </c>
      <c r="S534" t="s">
        <v>663</v>
      </c>
      <c r="T534" s="3">
        <v>7159.3200000000006</v>
      </c>
      <c r="U534" t="s">
        <v>1433</v>
      </c>
      <c r="V534" s="13" t="str">
        <f>TEXT(Table1_1[[#This Row],[OrderDate]],"MM YYYY")</f>
        <v>01 2024</v>
      </c>
      <c r="W534" s="11" t="str">
        <f>TEXT(Table1_1[[#This Row],[OrderDate]],"MM")</f>
        <v>01</v>
      </c>
      <c r="X534" s="11"/>
    </row>
    <row r="535" spans="1:24" x14ac:dyDescent="0.25">
      <c r="A535" t="s">
        <v>317</v>
      </c>
      <c r="B535" s="2">
        <v>45795</v>
      </c>
      <c r="C535" s="2">
        <v>45817</v>
      </c>
      <c r="D535" t="s">
        <v>1413</v>
      </c>
      <c r="E535" s="10">
        <v>22</v>
      </c>
      <c r="F535" t="s">
        <v>1428</v>
      </c>
      <c r="G535" t="s">
        <v>645</v>
      </c>
      <c r="H535" t="s">
        <v>648</v>
      </c>
      <c r="I535" t="s">
        <v>670</v>
      </c>
      <c r="J535" t="s">
        <v>982</v>
      </c>
      <c r="K535">
        <v>10</v>
      </c>
      <c r="L535" s="3">
        <v>382.96</v>
      </c>
      <c r="M535" s="3">
        <v>552.84</v>
      </c>
      <c r="N535" s="3" t="str">
        <f>IF(Table1_1[[#This Row],[UnitPrice]]&lt;=816.08,"low",IF(Table1_1[[#This Row],[UnitPrice]]&lt;=1640.06,"medium","high"))</f>
        <v>low</v>
      </c>
      <c r="O535" s="4">
        <v>0.17599999999999999</v>
      </c>
      <c r="P535" s="3">
        <v>4555.4016000000011</v>
      </c>
      <c r="Q535" s="3">
        <v>3829.6</v>
      </c>
      <c r="R535" s="4">
        <v>0.15932768693763499</v>
      </c>
      <c r="S535" t="s">
        <v>663</v>
      </c>
      <c r="T535" s="3">
        <v>725.80160000000114</v>
      </c>
      <c r="U535" t="s">
        <v>1431</v>
      </c>
      <c r="V535" s="13" t="str">
        <f>TEXT(Table1_1[[#This Row],[OrderDate]],"MM YYYY")</f>
        <v>05 2025</v>
      </c>
      <c r="W535" s="11" t="str">
        <f>TEXT(Table1_1[[#This Row],[OrderDate]],"MM")</f>
        <v>05</v>
      </c>
      <c r="X535" s="11"/>
    </row>
    <row r="536" spans="1:24" x14ac:dyDescent="0.25">
      <c r="A536" t="s">
        <v>363</v>
      </c>
      <c r="B536" s="2">
        <v>45512</v>
      </c>
      <c r="C536" s="2">
        <v>45524</v>
      </c>
      <c r="D536" t="s">
        <v>1413</v>
      </c>
      <c r="E536" s="10">
        <v>12</v>
      </c>
      <c r="F536" t="s">
        <v>1387</v>
      </c>
      <c r="G536" t="s">
        <v>646</v>
      </c>
      <c r="H536" t="s">
        <v>648</v>
      </c>
      <c r="I536" t="s">
        <v>670</v>
      </c>
      <c r="J536" t="s">
        <v>1028</v>
      </c>
      <c r="K536">
        <v>20</v>
      </c>
      <c r="L536" s="3">
        <v>1233.3599999999999</v>
      </c>
      <c r="M536" s="3">
        <v>2120.4</v>
      </c>
      <c r="N536" s="3" t="str">
        <f>IF(Table1_1[[#This Row],[UnitPrice]]&lt;=816.08,"low",IF(Table1_1[[#This Row],[UnitPrice]]&lt;=1640.06,"medium","high"))</f>
        <v>high</v>
      </c>
      <c r="O536" s="4">
        <v>0.17899999999999999</v>
      </c>
      <c r="P536" s="3">
        <v>34816.968000000001</v>
      </c>
      <c r="Q536" s="3">
        <v>24667.199999999997</v>
      </c>
      <c r="R536" s="4">
        <v>0.291517859912443</v>
      </c>
      <c r="S536" t="s">
        <v>663</v>
      </c>
      <c r="T536" s="3">
        <v>10149.768000000004</v>
      </c>
      <c r="U536" t="s">
        <v>1437</v>
      </c>
      <c r="V536" s="13" t="str">
        <f>TEXT(Table1_1[[#This Row],[OrderDate]],"MM YYYY")</f>
        <v>08 2024</v>
      </c>
      <c r="W536" s="11" t="str">
        <f>TEXT(Table1_1[[#This Row],[OrderDate]],"MM")</f>
        <v>08</v>
      </c>
      <c r="X536" s="11"/>
    </row>
    <row r="537" spans="1:24" x14ac:dyDescent="0.25">
      <c r="A537" t="s">
        <v>405</v>
      </c>
      <c r="B537" s="2">
        <v>45804</v>
      </c>
      <c r="C537" s="2">
        <v>45816</v>
      </c>
      <c r="D537" t="s">
        <v>1413</v>
      </c>
      <c r="E537" s="10">
        <v>12</v>
      </c>
      <c r="F537" t="s">
        <v>1387</v>
      </c>
      <c r="G537" t="s">
        <v>642</v>
      </c>
      <c r="H537" t="s">
        <v>648</v>
      </c>
      <c r="I537" t="s">
        <v>674</v>
      </c>
      <c r="J537" t="s">
        <v>1069</v>
      </c>
      <c r="K537">
        <v>12</v>
      </c>
      <c r="L537" s="3">
        <v>653.6</v>
      </c>
      <c r="M537" s="3">
        <v>842.09</v>
      </c>
      <c r="N537" s="3" t="str">
        <f>IF(Table1_1[[#This Row],[UnitPrice]]&lt;=816.08,"low",IF(Table1_1[[#This Row],[UnitPrice]]&lt;=1640.06,"medium","high"))</f>
        <v>medium</v>
      </c>
      <c r="O537" s="4">
        <v>9.8000000000000004E-2</v>
      </c>
      <c r="P537" s="3">
        <v>9114.7821600000007</v>
      </c>
      <c r="Q537" s="3">
        <v>7843.2000000000007</v>
      </c>
      <c r="R537" s="4">
        <v>0.13950768517324599</v>
      </c>
      <c r="S537" t="s">
        <v>663</v>
      </c>
      <c r="T537" s="3">
        <v>1271.5821599999999</v>
      </c>
      <c r="U537" t="s">
        <v>1431</v>
      </c>
      <c r="V537" s="13" t="str">
        <f>TEXT(Table1_1[[#This Row],[OrderDate]],"MM YYYY")</f>
        <v>05 2025</v>
      </c>
      <c r="W537" s="11" t="str">
        <f>TEXT(Table1_1[[#This Row],[OrderDate]],"MM")</f>
        <v>05</v>
      </c>
      <c r="X537" s="11"/>
    </row>
    <row r="538" spans="1:24" x14ac:dyDescent="0.25">
      <c r="A538" t="s">
        <v>177</v>
      </c>
      <c r="B538" s="2">
        <v>45034</v>
      </c>
      <c r="C538" s="2">
        <v>45064</v>
      </c>
      <c r="D538" t="s">
        <v>1413</v>
      </c>
      <c r="E538" s="10">
        <v>30</v>
      </c>
      <c r="F538" t="s">
        <v>1394</v>
      </c>
      <c r="G538" t="s">
        <v>644</v>
      </c>
      <c r="H538" t="s">
        <v>648</v>
      </c>
      <c r="I538" t="s">
        <v>672</v>
      </c>
      <c r="J538" t="s">
        <v>841</v>
      </c>
      <c r="K538">
        <v>14</v>
      </c>
      <c r="L538" s="3">
        <v>329.03</v>
      </c>
      <c r="M538" s="3">
        <v>391.15</v>
      </c>
      <c r="N538" s="3" t="str">
        <f>IF(Table1_1[[#This Row],[UnitPrice]]&lt;=816.08,"low",IF(Table1_1[[#This Row],[UnitPrice]]&lt;=1640.06,"medium","high"))</f>
        <v>low</v>
      </c>
      <c r="O538" s="4">
        <v>0.19700000000000001</v>
      </c>
      <c r="P538" s="3">
        <v>4397.3082999999988</v>
      </c>
      <c r="Q538" s="3">
        <v>4606.42</v>
      </c>
      <c r="R538" s="4">
        <v>-4.7554477815440303E-2</v>
      </c>
      <c r="S538" t="s">
        <v>663</v>
      </c>
      <c r="T538" s="3">
        <v>-209.11170000000129</v>
      </c>
      <c r="U538" t="s">
        <v>1435</v>
      </c>
      <c r="V538" s="13" t="str">
        <f>TEXT(Table1_1[[#This Row],[OrderDate]],"MM YYYY")</f>
        <v>04 2023</v>
      </c>
      <c r="W538" s="11" t="str">
        <f>TEXT(Table1_1[[#This Row],[OrderDate]],"MM")</f>
        <v>04</v>
      </c>
      <c r="X538" s="11"/>
    </row>
    <row r="539" spans="1:24" x14ac:dyDescent="0.25">
      <c r="A539" t="s">
        <v>524</v>
      </c>
      <c r="B539" s="2">
        <v>45661</v>
      </c>
      <c r="C539" s="2">
        <v>45662</v>
      </c>
      <c r="D539" t="s">
        <v>1413</v>
      </c>
      <c r="E539" s="10">
        <v>1</v>
      </c>
      <c r="F539" t="s">
        <v>1397</v>
      </c>
      <c r="G539" t="s">
        <v>643</v>
      </c>
      <c r="H539" t="s">
        <v>648</v>
      </c>
      <c r="I539" t="s">
        <v>668</v>
      </c>
      <c r="J539" t="s">
        <v>1188</v>
      </c>
      <c r="K539">
        <v>21</v>
      </c>
      <c r="L539" s="3">
        <v>1428.33</v>
      </c>
      <c r="M539" s="3">
        <v>3028.05</v>
      </c>
      <c r="N539" s="3" t="str">
        <f>IF(Table1_1[[#This Row],[UnitPrice]]&lt;=816.08,"low",IF(Table1_1[[#This Row],[UnitPrice]]&lt;=1640.06,"medium","high"))</f>
        <v>high</v>
      </c>
      <c r="O539" s="4">
        <v>0</v>
      </c>
      <c r="P539" s="3">
        <v>63589.05</v>
      </c>
      <c r="Q539" s="3">
        <v>29994.93</v>
      </c>
      <c r="R539" s="4">
        <v>0.52830039134096196</v>
      </c>
      <c r="S539" t="s">
        <v>655</v>
      </c>
      <c r="T539" s="3">
        <v>33594.120000000003</v>
      </c>
      <c r="U539" t="s">
        <v>1434</v>
      </c>
      <c r="V539" s="13" t="str">
        <f>TEXT(Table1_1[[#This Row],[OrderDate]],"MM YYYY")</f>
        <v>01 2025</v>
      </c>
      <c r="W539" s="11" t="str">
        <f>TEXT(Table1_1[[#This Row],[OrderDate]],"MM")</f>
        <v>01</v>
      </c>
      <c r="X539" s="11"/>
    </row>
    <row r="540" spans="1:24" x14ac:dyDescent="0.25">
      <c r="A540" t="s">
        <v>362</v>
      </c>
      <c r="B540" s="2">
        <v>45121</v>
      </c>
      <c r="C540" s="2">
        <v>45121</v>
      </c>
      <c r="D540" t="s">
        <v>1413</v>
      </c>
      <c r="E540" s="10">
        <v>0</v>
      </c>
      <c r="F540" t="s">
        <v>1386</v>
      </c>
      <c r="G540" t="s">
        <v>643</v>
      </c>
      <c r="H540" t="s">
        <v>648</v>
      </c>
      <c r="I540" t="s">
        <v>674</v>
      </c>
      <c r="J540" t="s">
        <v>1027</v>
      </c>
      <c r="K540">
        <v>15</v>
      </c>
      <c r="L540" s="3">
        <v>956.38</v>
      </c>
      <c r="M540" s="3">
        <v>1454.22</v>
      </c>
      <c r="N540" s="3" t="str">
        <f>IF(Table1_1[[#This Row],[UnitPrice]]&lt;=816.08,"low",IF(Table1_1[[#This Row],[UnitPrice]]&lt;=1640.06,"medium","high"))</f>
        <v>medium</v>
      </c>
      <c r="O540" s="4">
        <v>3.9E-2</v>
      </c>
      <c r="P540" s="3">
        <v>20962.581299999998</v>
      </c>
      <c r="Q540" s="3">
        <v>14345.7</v>
      </c>
      <c r="R540" s="4">
        <v>0.31565202802576597</v>
      </c>
      <c r="S540" t="s">
        <v>655</v>
      </c>
      <c r="T540" s="3">
        <v>6616.8812999999973</v>
      </c>
      <c r="U540" t="s">
        <v>1430</v>
      </c>
      <c r="V540" s="13" t="str">
        <f>TEXT(Table1_1[[#This Row],[OrderDate]],"MM YYYY")</f>
        <v>07 2023</v>
      </c>
      <c r="W540" s="11" t="str">
        <f>TEXT(Table1_1[[#This Row],[OrderDate]],"MM")</f>
        <v>07</v>
      </c>
      <c r="X540" s="11"/>
    </row>
    <row r="541" spans="1:24" x14ac:dyDescent="0.25">
      <c r="A541" t="s">
        <v>13</v>
      </c>
      <c r="B541" s="2">
        <v>44985</v>
      </c>
      <c r="C541" s="2">
        <v>45010</v>
      </c>
      <c r="D541" t="s">
        <v>1413</v>
      </c>
      <c r="E541" s="10">
        <v>25</v>
      </c>
      <c r="F541" t="s">
        <v>1385</v>
      </c>
      <c r="G541" t="s">
        <v>642</v>
      </c>
      <c r="H541" t="s">
        <v>648</v>
      </c>
      <c r="I541" t="s">
        <v>670</v>
      </c>
      <c r="J541" t="s">
        <v>677</v>
      </c>
      <c r="K541">
        <v>32</v>
      </c>
      <c r="L541" s="3">
        <v>1460.76</v>
      </c>
      <c r="M541" s="3">
        <v>30.66</v>
      </c>
      <c r="N541" s="3" t="str">
        <f>IF(Table1_1[[#This Row],[UnitPrice]]&lt;=816.08,"low",IF(Table1_1[[#This Row],[UnitPrice]]&lt;=1640.06,"medium","high"))</f>
        <v>low</v>
      </c>
      <c r="O541" s="4">
        <v>0.13100000000000001</v>
      </c>
      <c r="P541" s="3">
        <v>852.59328000000005</v>
      </c>
      <c r="Q541" s="3">
        <v>46744.32</v>
      </c>
      <c r="R541" s="4">
        <v>-53.826047890032598</v>
      </c>
      <c r="S541" t="s">
        <v>655</v>
      </c>
      <c r="T541" s="3">
        <v>-45891.726719999999</v>
      </c>
      <c r="U541" t="s">
        <v>1432</v>
      </c>
      <c r="V541" s="13" t="str">
        <f>TEXT(Table1_1[[#This Row],[OrderDate]],"MM YYYY")</f>
        <v>02 2023</v>
      </c>
      <c r="W541" s="11" t="str">
        <f>TEXT(Table1_1[[#This Row],[OrderDate]],"MM")</f>
        <v>02</v>
      </c>
      <c r="X541" s="11"/>
    </row>
    <row r="542" spans="1:24" x14ac:dyDescent="0.25">
      <c r="A542" t="s">
        <v>484</v>
      </c>
      <c r="B542" s="2">
        <v>45882</v>
      </c>
      <c r="C542" s="2">
        <v>45903</v>
      </c>
      <c r="D542" t="s">
        <v>1413</v>
      </c>
      <c r="E542" s="10">
        <v>21</v>
      </c>
      <c r="F542" t="s">
        <v>1404</v>
      </c>
      <c r="G542" t="s">
        <v>643</v>
      </c>
      <c r="H542" t="s">
        <v>648</v>
      </c>
      <c r="I542" t="s">
        <v>671</v>
      </c>
      <c r="J542" t="s">
        <v>1148</v>
      </c>
      <c r="K542">
        <v>10</v>
      </c>
      <c r="L542" s="3">
        <v>603.47</v>
      </c>
      <c r="M542" s="3">
        <v>1344.05</v>
      </c>
      <c r="N542" s="3" t="str">
        <f>IF(Table1_1[[#This Row],[UnitPrice]]&lt;=816.08,"low",IF(Table1_1[[#This Row],[UnitPrice]]&lt;=1640.06,"medium","high"))</f>
        <v>medium</v>
      </c>
      <c r="O542" s="4">
        <v>0.20499999999999999</v>
      </c>
      <c r="P542" s="3">
        <v>10685.1975</v>
      </c>
      <c r="Q542" s="3">
        <v>6034.7000000000007</v>
      </c>
      <c r="R542" s="4">
        <v>0.43522803392262999</v>
      </c>
      <c r="S542" t="s">
        <v>655</v>
      </c>
      <c r="T542" s="3">
        <v>4650.4974999999995</v>
      </c>
      <c r="U542" t="s">
        <v>1438</v>
      </c>
      <c r="V542" s="13" t="str">
        <f>TEXT(Table1_1[[#This Row],[OrderDate]],"MM YYYY")</f>
        <v>08 2025</v>
      </c>
      <c r="W542" s="11" t="str">
        <f>TEXT(Table1_1[[#This Row],[OrderDate]],"MM")</f>
        <v>08</v>
      </c>
      <c r="X542" s="11"/>
    </row>
    <row r="543" spans="1:24" x14ac:dyDescent="0.25">
      <c r="A543" t="s">
        <v>50</v>
      </c>
      <c r="B543" s="2">
        <v>45094</v>
      </c>
      <c r="C543" s="2">
        <v>45101</v>
      </c>
      <c r="D543" t="s">
        <v>1413</v>
      </c>
      <c r="E543" s="10">
        <v>7</v>
      </c>
      <c r="F543" t="s">
        <v>1419</v>
      </c>
      <c r="G543" t="s">
        <v>642</v>
      </c>
      <c r="H543" t="s">
        <v>648</v>
      </c>
      <c r="I543" t="s">
        <v>669</v>
      </c>
      <c r="J543" t="s">
        <v>714</v>
      </c>
      <c r="K543">
        <v>7</v>
      </c>
      <c r="L543" s="3">
        <v>313.99</v>
      </c>
      <c r="M543" s="3">
        <v>454.42</v>
      </c>
      <c r="N543" s="3" t="str">
        <f>IF(Table1_1[[#This Row],[UnitPrice]]&lt;=816.08,"low",IF(Table1_1[[#This Row],[UnitPrice]]&lt;=1640.06,"medium","high"))</f>
        <v>low</v>
      </c>
      <c r="O543" s="4">
        <v>0.129</v>
      </c>
      <c r="P543" s="3">
        <v>2770.5987399999999</v>
      </c>
      <c r="Q543" s="3">
        <v>2197.9300000000003</v>
      </c>
      <c r="R543" s="4">
        <v>0.206694939881478</v>
      </c>
      <c r="S543" t="s">
        <v>655</v>
      </c>
      <c r="T543" s="3">
        <v>572.66873999999962</v>
      </c>
      <c r="U543" t="s">
        <v>1435</v>
      </c>
      <c r="V543" s="13" t="str">
        <f>TEXT(Table1_1[[#This Row],[OrderDate]],"MM YYYY")</f>
        <v>06 2023</v>
      </c>
      <c r="W543" s="11" t="str">
        <f>TEXT(Table1_1[[#This Row],[OrderDate]],"MM")</f>
        <v>06</v>
      </c>
      <c r="X543" s="11"/>
    </row>
    <row r="544" spans="1:24" x14ac:dyDescent="0.25">
      <c r="A544" t="s">
        <v>92</v>
      </c>
      <c r="B544" s="2">
        <v>45157</v>
      </c>
      <c r="C544" s="2">
        <v>45181</v>
      </c>
      <c r="D544" t="s">
        <v>1413</v>
      </c>
      <c r="E544" s="10">
        <v>24</v>
      </c>
      <c r="F544" t="s">
        <v>1415</v>
      </c>
      <c r="G544" t="s">
        <v>647</v>
      </c>
      <c r="H544" t="s">
        <v>648</v>
      </c>
      <c r="I544" t="s">
        <v>669</v>
      </c>
      <c r="J544" t="s">
        <v>756</v>
      </c>
      <c r="K544">
        <v>16</v>
      </c>
      <c r="L544" s="3">
        <v>1183.95</v>
      </c>
      <c r="M544" s="3">
        <v>1503.53</v>
      </c>
      <c r="N544" s="3" t="str">
        <f>IF(Table1_1[[#This Row],[UnitPrice]]&lt;=816.08,"low",IF(Table1_1[[#This Row],[UnitPrice]]&lt;=1640.06,"medium","high"))</f>
        <v>medium</v>
      </c>
      <c r="O544" s="4">
        <v>0.24099999999999999</v>
      </c>
      <c r="P544" s="3">
        <v>18258.868320000001</v>
      </c>
      <c r="Q544" s="3">
        <v>18943.2</v>
      </c>
      <c r="R544" s="4">
        <v>-3.7479413729623698E-2</v>
      </c>
      <c r="S544" t="s">
        <v>655</v>
      </c>
      <c r="T544" s="3">
        <v>-684.33167999999932</v>
      </c>
      <c r="U544" t="s">
        <v>1430</v>
      </c>
      <c r="V544" s="13" t="str">
        <f>TEXT(Table1_1[[#This Row],[OrderDate]],"MM YYYY")</f>
        <v>08 2023</v>
      </c>
      <c r="W544" s="11" t="str">
        <f>TEXT(Table1_1[[#This Row],[OrderDate]],"MM")</f>
        <v>08</v>
      </c>
      <c r="X544" s="11"/>
    </row>
    <row r="545" spans="1:24" x14ac:dyDescent="0.25">
      <c r="A545" t="s">
        <v>398</v>
      </c>
      <c r="B545" s="2">
        <v>45199</v>
      </c>
      <c r="C545" s="2">
        <v>45202</v>
      </c>
      <c r="D545" t="s">
        <v>1413</v>
      </c>
      <c r="E545" s="10">
        <v>3</v>
      </c>
      <c r="F545" t="s">
        <v>1411</v>
      </c>
      <c r="G545" t="s">
        <v>644</v>
      </c>
      <c r="H545" t="s">
        <v>648</v>
      </c>
      <c r="I545" t="s">
        <v>672</v>
      </c>
      <c r="J545" t="s">
        <v>1062</v>
      </c>
      <c r="K545">
        <v>6</v>
      </c>
      <c r="L545" s="3">
        <v>1019.36</v>
      </c>
      <c r="M545" s="3">
        <v>972.91</v>
      </c>
      <c r="N545" s="3" t="str">
        <f>IF(Table1_1[[#This Row],[UnitPrice]]&lt;=816.08,"low",IF(Table1_1[[#This Row],[UnitPrice]]&lt;=1640.06,"medium","high"))</f>
        <v>medium</v>
      </c>
      <c r="O545" s="4">
        <v>0.14699999999999999</v>
      </c>
      <c r="P545" s="3">
        <v>4979.3533799999996</v>
      </c>
      <c r="Q545" s="3">
        <v>6116.16</v>
      </c>
      <c r="R545" s="4">
        <v>-0.228304065456788</v>
      </c>
      <c r="S545" t="s">
        <v>654</v>
      </c>
      <c r="T545" s="3">
        <v>-1136.8066200000003</v>
      </c>
      <c r="U545" t="s">
        <v>1430</v>
      </c>
      <c r="V545" s="13" t="str">
        <f>TEXT(Table1_1[[#This Row],[OrderDate]],"MM YYYY")</f>
        <v>09 2023</v>
      </c>
      <c r="W545" s="11" t="str">
        <f>TEXT(Table1_1[[#This Row],[OrderDate]],"MM")</f>
        <v>09</v>
      </c>
      <c r="X545" s="11"/>
    </row>
    <row r="546" spans="1:24" x14ac:dyDescent="0.25">
      <c r="A546" t="s">
        <v>632</v>
      </c>
      <c r="B546" s="2">
        <v>45501</v>
      </c>
      <c r="C546" s="2">
        <v>45527</v>
      </c>
      <c r="D546" t="s">
        <v>1413</v>
      </c>
      <c r="E546" s="10">
        <v>26</v>
      </c>
      <c r="F546" t="s">
        <v>1409</v>
      </c>
      <c r="G546" t="s">
        <v>642</v>
      </c>
      <c r="H546" t="s">
        <v>648</v>
      </c>
      <c r="I546" t="s">
        <v>670</v>
      </c>
      <c r="J546" t="s">
        <v>1295</v>
      </c>
      <c r="K546">
        <v>14</v>
      </c>
      <c r="L546" s="3">
        <v>1339.24</v>
      </c>
      <c r="M546" s="3">
        <v>1558.89</v>
      </c>
      <c r="N546" s="3" t="str">
        <f>IF(Table1_1[[#This Row],[UnitPrice]]&lt;=816.08,"low",IF(Table1_1[[#This Row],[UnitPrice]]&lt;=1640.06,"medium","high"))</f>
        <v>medium</v>
      </c>
      <c r="O546" s="4">
        <v>0.192</v>
      </c>
      <c r="P546" s="3">
        <v>17634.163680000005</v>
      </c>
      <c r="Q546" s="3">
        <v>18749.36</v>
      </c>
      <c r="R546" s="4">
        <v>-6.3240669659021503E-2</v>
      </c>
      <c r="S546" t="s">
        <v>654</v>
      </c>
      <c r="T546" s="3">
        <v>-1115.1963199999955</v>
      </c>
      <c r="U546" t="s">
        <v>1437</v>
      </c>
      <c r="V546" s="13" t="str">
        <f>TEXT(Table1_1[[#This Row],[OrderDate]],"MM YYYY")</f>
        <v>07 2024</v>
      </c>
      <c r="W546" s="11" t="str">
        <f>TEXT(Table1_1[[#This Row],[OrderDate]],"MM")</f>
        <v>07</v>
      </c>
      <c r="X546" s="11"/>
    </row>
    <row r="547" spans="1:24" x14ac:dyDescent="0.25">
      <c r="A547" t="s">
        <v>445</v>
      </c>
      <c r="B547" s="2">
        <v>45217</v>
      </c>
      <c r="C547" s="2">
        <v>45219</v>
      </c>
      <c r="D547" t="s">
        <v>1413</v>
      </c>
      <c r="E547" s="10">
        <v>2</v>
      </c>
      <c r="F547" t="s">
        <v>1383</v>
      </c>
      <c r="G547" t="s">
        <v>645</v>
      </c>
      <c r="H547" t="s">
        <v>648</v>
      </c>
      <c r="I547" t="s">
        <v>671</v>
      </c>
      <c r="J547" t="s">
        <v>1109</v>
      </c>
      <c r="K547">
        <v>8</v>
      </c>
      <c r="L547" s="3">
        <v>774.12</v>
      </c>
      <c r="M547" s="3">
        <v>908.3</v>
      </c>
      <c r="N547" s="3" t="str">
        <f>IF(Table1_1[[#This Row],[UnitPrice]]&lt;=816.08,"low",IF(Table1_1[[#This Row],[UnitPrice]]&lt;=1640.06,"medium","high"))</f>
        <v>medium</v>
      </c>
      <c r="O547" s="4">
        <v>0</v>
      </c>
      <c r="P547" s="3">
        <v>7266.4</v>
      </c>
      <c r="Q547" s="3">
        <v>6192.96</v>
      </c>
      <c r="R547" s="4">
        <v>0.147726522074204</v>
      </c>
      <c r="S547" t="s">
        <v>654</v>
      </c>
      <c r="T547" s="3">
        <v>1073.4399999999996</v>
      </c>
      <c r="U547" t="s">
        <v>1439</v>
      </c>
      <c r="V547" s="13" t="str">
        <f>TEXT(Table1_1[[#This Row],[OrderDate]],"MM YYYY")</f>
        <v>10 2023</v>
      </c>
      <c r="W547" s="11" t="str">
        <f>TEXT(Table1_1[[#This Row],[OrderDate]],"MM")</f>
        <v>10</v>
      </c>
      <c r="X547" s="11"/>
    </row>
    <row r="548" spans="1:24" x14ac:dyDescent="0.25">
      <c r="A548" t="s">
        <v>196</v>
      </c>
      <c r="B548" s="2">
        <v>45099</v>
      </c>
      <c r="C548" s="2">
        <v>45128</v>
      </c>
      <c r="D548" t="s">
        <v>1413</v>
      </c>
      <c r="E548" s="10">
        <v>29</v>
      </c>
      <c r="F548" t="s">
        <v>1396</v>
      </c>
      <c r="G548" t="s">
        <v>642</v>
      </c>
      <c r="H548" t="s">
        <v>648</v>
      </c>
      <c r="I548" t="s">
        <v>674</v>
      </c>
      <c r="J548" t="s">
        <v>860</v>
      </c>
      <c r="K548">
        <v>6</v>
      </c>
      <c r="L548" s="3">
        <v>734.34</v>
      </c>
      <c r="M548" s="3">
        <v>887.9</v>
      </c>
      <c r="N548" s="3" t="str">
        <f>IF(Table1_1[[#This Row],[UnitPrice]]&lt;=816.08,"low",IF(Table1_1[[#This Row],[UnitPrice]]&lt;=1640.06,"medium","high"))</f>
        <v>medium</v>
      </c>
      <c r="O548" s="4">
        <v>2.5000000000000001E-2</v>
      </c>
      <c r="P548" s="3">
        <v>5194.2149999999992</v>
      </c>
      <c r="Q548" s="3">
        <v>4406.04</v>
      </c>
      <c r="R548" s="4">
        <v>0.151740927166088</v>
      </c>
      <c r="S548" t="s">
        <v>654</v>
      </c>
      <c r="T548" s="3">
        <v>788.17499999999927</v>
      </c>
      <c r="U548" t="s">
        <v>1435</v>
      </c>
      <c r="V548" s="13" t="str">
        <f>TEXT(Table1_1[[#This Row],[OrderDate]],"MM YYYY")</f>
        <v>06 2023</v>
      </c>
      <c r="W548" s="11" t="str">
        <f>TEXT(Table1_1[[#This Row],[OrderDate]],"MM")</f>
        <v>06</v>
      </c>
      <c r="X548" s="11"/>
    </row>
    <row r="549" spans="1:24" x14ac:dyDescent="0.25">
      <c r="A549" t="s">
        <v>217</v>
      </c>
      <c r="B549" s="2">
        <v>45678</v>
      </c>
      <c r="C549" s="2">
        <v>45702</v>
      </c>
      <c r="D549" t="s">
        <v>1413</v>
      </c>
      <c r="E549" s="10">
        <v>24</v>
      </c>
      <c r="F549" t="s">
        <v>1385</v>
      </c>
      <c r="G549" t="s">
        <v>646</v>
      </c>
      <c r="H549" t="s">
        <v>648</v>
      </c>
      <c r="I549" t="s">
        <v>674</v>
      </c>
      <c r="J549" t="s">
        <v>882</v>
      </c>
      <c r="K549">
        <v>8</v>
      </c>
      <c r="L549" s="3">
        <v>1030.44</v>
      </c>
      <c r="M549" s="3">
        <v>2562.84</v>
      </c>
      <c r="N549" s="3" t="str">
        <f>IF(Table1_1[[#This Row],[UnitPrice]]&lt;=816.08,"low",IF(Table1_1[[#This Row],[UnitPrice]]&lt;=1640.06,"medium","high"))</f>
        <v>high</v>
      </c>
      <c r="O549" s="4">
        <v>0.14799999999999999</v>
      </c>
      <c r="P549" s="3">
        <v>17468.317439999999</v>
      </c>
      <c r="Q549" s="3">
        <v>8243.52</v>
      </c>
      <c r="R549" s="4">
        <v>0.52808734852026995</v>
      </c>
      <c r="S549" t="s">
        <v>654</v>
      </c>
      <c r="T549" s="3">
        <v>9224.7974399999985</v>
      </c>
      <c r="U549" t="s">
        <v>1434</v>
      </c>
      <c r="V549" s="13" t="str">
        <f>TEXT(Table1_1[[#This Row],[OrderDate]],"MM YYYY")</f>
        <v>01 2025</v>
      </c>
      <c r="W549" s="11" t="str">
        <f>TEXT(Table1_1[[#This Row],[OrderDate]],"MM")</f>
        <v>01</v>
      </c>
      <c r="X549" s="11"/>
    </row>
    <row r="550" spans="1:24" x14ac:dyDescent="0.25">
      <c r="A550" t="s">
        <v>119</v>
      </c>
      <c r="B550" s="2">
        <v>45581</v>
      </c>
      <c r="C550" s="2">
        <v>45604</v>
      </c>
      <c r="D550" t="s">
        <v>1413</v>
      </c>
      <c r="E550" s="10">
        <v>23</v>
      </c>
      <c r="F550" t="s">
        <v>1387</v>
      </c>
      <c r="G550" t="s">
        <v>646</v>
      </c>
      <c r="H550" t="s">
        <v>648</v>
      </c>
      <c r="I550" t="s">
        <v>670</v>
      </c>
      <c r="J550" t="s">
        <v>783</v>
      </c>
      <c r="K550">
        <v>29</v>
      </c>
      <c r="L550" s="3">
        <v>82.14</v>
      </c>
      <c r="M550" s="3">
        <v>166.04</v>
      </c>
      <c r="N550" s="3" t="str">
        <f>IF(Table1_1[[#This Row],[UnitPrice]]&lt;=816.08,"low",IF(Table1_1[[#This Row],[UnitPrice]]&lt;=1640.06,"medium","high"))</f>
        <v>low</v>
      </c>
      <c r="O550" s="4">
        <v>0</v>
      </c>
      <c r="P550" s="3">
        <v>4815.16</v>
      </c>
      <c r="Q550" s="3">
        <v>2382.06</v>
      </c>
      <c r="R550" s="4">
        <v>0.50529992772825805</v>
      </c>
      <c r="S550" t="s">
        <v>654</v>
      </c>
      <c r="T550" s="3">
        <v>2433.1</v>
      </c>
      <c r="U550" t="s">
        <v>1440</v>
      </c>
      <c r="V550" s="13" t="str">
        <f>TEXT(Table1_1[[#This Row],[OrderDate]],"MM YYYY")</f>
        <v>10 2024</v>
      </c>
      <c r="W550" s="11" t="str">
        <f>TEXT(Table1_1[[#This Row],[OrderDate]],"MM")</f>
        <v>10</v>
      </c>
      <c r="X550" s="11"/>
    </row>
    <row r="551" spans="1:24" x14ac:dyDescent="0.25">
      <c r="A551" t="s">
        <v>175</v>
      </c>
      <c r="B551" s="2">
        <v>45447</v>
      </c>
      <c r="C551" s="2">
        <v>45459</v>
      </c>
      <c r="D551" t="s">
        <v>1413</v>
      </c>
      <c r="E551" s="10">
        <v>12</v>
      </c>
      <c r="F551" t="s">
        <v>1401</v>
      </c>
      <c r="G551" t="s">
        <v>642</v>
      </c>
      <c r="H551" t="s">
        <v>648</v>
      </c>
      <c r="I551" t="s">
        <v>669</v>
      </c>
      <c r="J551" t="s">
        <v>839</v>
      </c>
      <c r="K551">
        <v>12</v>
      </c>
      <c r="L551" s="3">
        <v>918.42</v>
      </c>
      <c r="M551" s="3">
        <v>1511.71</v>
      </c>
      <c r="N551" s="3" t="str">
        <f>IF(Table1_1[[#This Row],[UnitPrice]]&lt;=816.08,"low",IF(Table1_1[[#This Row],[UnitPrice]]&lt;=1640.06,"medium","high"))</f>
        <v>medium</v>
      </c>
      <c r="O551" s="4">
        <v>0.02</v>
      </c>
      <c r="P551" s="3">
        <v>17777.709599999998</v>
      </c>
      <c r="Q551" s="3">
        <v>11021.039999999999</v>
      </c>
      <c r="R551" s="4">
        <v>0.38006412254590999</v>
      </c>
      <c r="S551" t="s">
        <v>654</v>
      </c>
      <c r="T551" s="3">
        <v>6756.6695999999993</v>
      </c>
      <c r="U551" t="s">
        <v>1436</v>
      </c>
      <c r="V551" s="13" t="str">
        <f>TEXT(Table1_1[[#This Row],[OrderDate]],"MM YYYY")</f>
        <v>06 2024</v>
      </c>
      <c r="W551" s="11" t="str">
        <f>TEXT(Table1_1[[#This Row],[OrderDate]],"MM")</f>
        <v>06</v>
      </c>
      <c r="X551" s="11"/>
    </row>
    <row r="552" spans="1:24" x14ac:dyDescent="0.25">
      <c r="A552" t="s">
        <v>613</v>
      </c>
      <c r="B552" s="2">
        <v>45793</v>
      </c>
      <c r="C552" s="2">
        <v>45795</v>
      </c>
      <c r="D552" t="s">
        <v>1413</v>
      </c>
      <c r="E552" s="10">
        <v>2</v>
      </c>
      <c r="F552" t="s">
        <v>1403</v>
      </c>
      <c r="G552" t="s">
        <v>647</v>
      </c>
      <c r="H552" t="s">
        <v>648</v>
      </c>
      <c r="I552" t="s">
        <v>669</v>
      </c>
      <c r="J552" t="s">
        <v>1276</v>
      </c>
      <c r="K552">
        <v>15</v>
      </c>
      <c r="L552" s="3">
        <v>1144.3800000000001</v>
      </c>
      <c r="M552" s="3">
        <v>2755.04</v>
      </c>
      <c r="N552" s="3" t="str">
        <f>IF(Table1_1[[#This Row],[UnitPrice]]&lt;=816.08,"low",IF(Table1_1[[#This Row],[UnitPrice]]&lt;=1640.06,"medium","high"))</f>
        <v>high</v>
      </c>
      <c r="O552" s="4">
        <v>0.15</v>
      </c>
      <c r="P552" s="3">
        <v>35126.759999999995</v>
      </c>
      <c r="Q552" s="3">
        <v>17165.7</v>
      </c>
      <c r="R552" s="4">
        <v>0.51132128326096704</v>
      </c>
      <c r="S552" t="s">
        <v>654</v>
      </c>
      <c r="T552" s="3">
        <v>17961.059999999994</v>
      </c>
      <c r="U552" t="s">
        <v>1431</v>
      </c>
      <c r="V552" s="13" t="str">
        <f>TEXT(Table1_1[[#This Row],[OrderDate]],"MM YYYY")</f>
        <v>05 2025</v>
      </c>
      <c r="W552" s="11" t="str">
        <f>TEXT(Table1_1[[#This Row],[OrderDate]],"MM")</f>
        <v>05</v>
      </c>
      <c r="X552" s="11"/>
    </row>
    <row r="553" spans="1:24" x14ac:dyDescent="0.25">
      <c r="A553" t="s">
        <v>152</v>
      </c>
      <c r="B553" s="2">
        <v>45649</v>
      </c>
      <c r="C553" s="2">
        <v>45668</v>
      </c>
      <c r="D553" t="s">
        <v>1413</v>
      </c>
      <c r="E553" s="10">
        <v>19</v>
      </c>
      <c r="F553" t="s">
        <v>1390</v>
      </c>
      <c r="G553" t="s">
        <v>643</v>
      </c>
      <c r="H553" t="s">
        <v>648</v>
      </c>
      <c r="I553" t="s">
        <v>671</v>
      </c>
      <c r="J553" t="s">
        <v>816</v>
      </c>
      <c r="K553">
        <v>11</v>
      </c>
      <c r="L553" s="3">
        <v>501.81</v>
      </c>
      <c r="M553" s="3">
        <v>921.62</v>
      </c>
      <c r="N553" s="3" t="str">
        <f>IF(Table1_1[[#This Row],[UnitPrice]]&lt;=816.08,"low",IF(Table1_1[[#This Row],[UnitPrice]]&lt;=1640.06,"medium","high"))</f>
        <v>medium</v>
      </c>
      <c r="O553" s="4">
        <v>0.01</v>
      </c>
      <c r="P553" s="3">
        <v>10036.441800000001</v>
      </c>
      <c r="Q553" s="3">
        <v>5519.91</v>
      </c>
      <c r="R553" s="4">
        <v>0.45001325071201997</v>
      </c>
      <c r="S553" t="s">
        <v>664</v>
      </c>
      <c r="T553" s="3">
        <v>4516.5318000000007</v>
      </c>
      <c r="U553" t="s">
        <v>1440</v>
      </c>
      <c r="V553" s="13" t="str">
        <f>TEXT(Table1_1[[#This Row],[OrderDate]],"MM YYYY")</f>
        <v>12 2024</v>
      </c>
      <c r="W553" s="11" t="str">
        <f>TEXT(Table1_1[[#This Row],[OrderDate]],"MM")</f>
        <v>12</v>
      </c>
      <c r="X553" s="11"/>
    </row>
    <row r="554" spans="1:24" x14ac:dyDescent="0.25">
      <c r="A554" t="s">
        <v>25</v>
      </c>
      <c r="B554" s="2">
        <v>45901</v>
      </c>
      <c r="C554" s="2">
        <v>45930</v>
      </c>
      <c r="D554" t="s">
        <v>1413</v>
      </c>
      <c r="E554" s="10">
        <v>29</v>
      </c>
      <c r="F554" t="s">
        <v>1416</v>
      </c>
      <c r="G554" t="s">
        <v>643</v>
      </c>
      <c r="H554" t="s">
        <v>648</v>
      </c>
      <c r="I554" t="s">
        <v>674</v>
      </c>
      <c r="J554" t="s">
        <v>689</v>
      </c>
      <c r="K554">
        <v>11</v>
      </c>
      <c r="L554" s="3">
        <v>780.59</v>
      </c>
      <c r="M554" s="3">
        <v>631.57000000000005</v>
      </c>
      <c r="N554" s="3" t="str">
        <f>IF(Table1_1[[#This Row],[UnitPrice]]&lt;=816.08,"low",IF(Table1_1[[#This Row],[UnitPrice]]&lt;=1640.06,"medium","high"))</f>
        <v>low</v>
      </c>
      <c r="O554" s="4">
        <v>0</v>
      </c>
      <c r="P554" s="3">
        <v>6947.27</v>
      </c>
      <c r="Q554" s="3">
        <v>8586.49</v>
      </c>
      <c r="R554" s="4">
        <v>-0.235951675982076</v>
      </c>
      <c r="S554" t="s">
        <v>664</v>
      </c>
      <c r="T554" s="3">
        <v>-1639.2199999999993</v>
      </c>
      <c r="U554" t="s">
        <v>1438</v>
      </c>
      <c r="V554" s="13" t="str">
        <f>TEXT(Table1_1[[#This Row],[OrderDate]],"MM YYYY")</f>
        <v>09 2025</v>
      </c>
      <c r="W554" s="11" t="str">
        <f>TEXT(Table1_1[[#This Row],[OrderDate]],"MM")</f>
        <v>09</v>
      </c>
      <c r="X554" s="11"/>
    </row>
    <row r="555" spans="1:24" x14ac:dyDescent="0.25">
      <c r="A555" t="s">
        <v>471</v>
      </c>
      <c r="B555" s="2">
        <v>45063</v>
      </c>
      <c r="C555" s="2">
        <v>45092</v>
      </c>
      <c r="D555" t="s">
        <v>1413</v>
      </c>
      <c r="E555" s="10">
        <v>29</v>
      </c>
      <c r="F555" t="s">
        <v>1402</v>
      </c>
      <c r="G555" t="s">
        <v>647</v>
      </c>
      <c r="H555" t="s">
        <v>648</v>
      </c>
      <c r="I555" t="s">
        <v>674</v>
      </c>
      <c r="J555" t="s">
        <v>1135</v>
      </c>
      <c r="K555">
        <v>22</v>
      </c>
      <c r="L555" s="3">
        <v>40.89</v>
      </c>
      <c r="M555" s="3">
        <v>62.82</v>
      </c>
      <c r="N555" s="3" t="str">
        <f>IF(Table1_1[[#This Row],[UnitPrice]]&lt;=816.08,"low",IF(Table1_1[[#This Row],[UnitPrice]]&lt;=1640.06,"medium","high"))</f>
        <v>low</v>
      </c>
      <c r="O555" s="4">
        <v>0.129</v>
      </c>
      <c r="P555" s="3">
        <v>1203.75684</v>
      </c>
      <c r="Q555" s="3">
        <v>899.58</v>
      </c>
      <c r="R555" s="4">
        <v>0.25268960465470702</v>
      </c>
      <c r="S555" t="s">
        <v>664</v>
      </c>
      <c r="T555" s="3">
        <v>304.17683999999997</v>
      </c>
      <c r="U555" t="s">
        <v>1435</v>
      </c>
      <c r="V555" s="13" t="str">
        <f>TEXT(Table1_1[[#This Row],[OrderDate]],"MM YYYY")</f>
        <v>05 2023</v>
      </c>
      <c r="W555" s="11" t="str">
        <f>TEXT(Table1_1[[#This Row],[OrderDate]],"MM")</f>
        <v>05</v>
      </c>
      <c r="X555" s="11"/>
    </row>
    <row r="556" spans="1:24" x14ac:dyDescent="0.25">
      <c r="A556" t="s">
        <v>75</v>
      </c>
      <c r="B556" s="2">
        <v>44972</v>
      </c>
      <c r="C556" s="2">
        <v>44983</v>
      </c>
      <c r="D556" t="s">
        <v>1413</v>
      </c>
      <c r="E556" s="10">
        <v>11</v>
      </c>
      <c r="F556" t="s">
        <v>1398</v>
      </c>
      <c r="G556" t="s">
        <v>644</v>
      </c>
      <c r="H556" t="s">
        <v>648</v>
      </c>
      <c r="I556" t="s">
        <v>672</v>
      </c>
      <c r="J556" t="s">
        <v>739</v>
      </c>
      <c r="K556">
        <v>12</v>
      </c>
      <c r="L556" s="3">
        <v>498.5</v>
      </c>
      <c r="M556" s="3">
        <v>755.87</v>
      </c>
      <c r="N556" s="3" t="str">
        <f>IF(Table1_1[[#This Row],[UnitPrice]]&lt;=816.08,"low",IF(Table1_1[[#This Row],[UnitPrice]]&lt;=1640.06,"medium","high"))</f>
        <v>low</v>
      </c>
      <c r="O556" s="4">
        <v>0.13</v>
      </c>
      <c r="P556" s="3">
        <v>7891.2828</v>
      </c>
      <c r="Q556" s="3">
        <v>5982</v>
      </c>
      <c r="R556" s="4">
        <v>0.24194834330357501</v>
      </c>
      <c r="S556" t="s">
        <v>664</v>
      </c>
      <c r="T556" s="3">
        <v>1909.2828</v>
      </c>
      <c r="U556" t="s">
        <v>1432</v>
      </c>
      <c r="V556" s="13" t="str">
        <f>TEXT(Table1_1[[#This Row],[OrderDate]],"MM YYYY")</f>
        <v>02 2023</v>
      </c>
      <c r="W556" s="11" t="str">
        <f>TEXT(Table1_1[[#This Row],[OrderDate]],"MM")</f>
        <v>02</v>
      </c>
      <c r="X556" s="11"/>
    </row>
    <row r="557" spans="1:24" x14ac:dyDescent="0.25">
      <c r="A557" t="s">
        <v>605</v>
      </c>
      <c r="B557" s="2">
        <v>45473</v>
      </c>
      <c r="C557" s="2">
        <v>45494</v>
      </c>
      <c r="D557" t="s">
        <v>1413</v>
      </c>
      <c r="E557" s="10">
        <v>21</v>
      </c>
      <c r="F557" t="s">
        <v>1383</v>
      </c>
      <c r="G557" t="s">
        <v>646</v>
      </c>
      <c r="H557" t="s">
        <v>648</v>
      </c>
      <c r="I557" t="s">
        <v>672</v>
      </c>
      <c r="J557" t="s">
        <v>1268</v>
      </c>
      <c r="K557">
        <v>13</v>
      </c>
      <c r="L557" s="3">
        <v>753.43</v>
      </c>
      <c r="M557" s="3">
        <v>1787.2</v>
      </c>
      <c r="N557" s="3" t="str">
        <f>IF(Table1_1[[#This Row],[UnitPrice]]&lt;=816.08,"low",IF(Table1_1[[#This Row],[UnitPrice]]&lt;=1640.06,"medium","high"))</f>
        <v>high</v>
      </c>
      <c r="O557" s="4">
        <v>7.2999999999999995E-2</v>
      </c>
      <c r="P557" s="3">
        <v>21537.547200000005</v>
      </c>
      <c r="Q557" s="3">
        <v>9794.59</v>
      </c>
      <c r="R557" s="4">
        <v>0.54523187301476905</v>
      </c>
      <c r="S557" t="s">
        <v>664</v>
      </c>
      <c r="T557" s="3">
        <v>11742.957200000004</v>
      </c>
      <c r="U557" t="s">
        <v>1436</v>
      </c>
      <c r="V557" s="13" t="str">
        <f>TEXT(Table1_1[[#This Row],[OrderDate]],"MM YYYY")</f>
        <v>06 2024</v>
      </c>
      <c r="W557" s="11" t="str">
        <f>TEXT(Table1_1[[#This Row],[OrderDate]],"MM")</f>
        <v>06</v>
      </c>
      <c r="X557" s="11"/>
    </row>
    <row r="558" spans="1:24" x14ac:dyDescent="0.25">
      <c r="A558" t="s">
        <v>27</v>
      </c>
      <c r="B558" s="2">
        <v>45636</v>
      </c>
      <c r="C558" s="2">
        <v>45665</v>
      </c>
      <c r="D558" t="s">
        <v>1413</v>
      </c>
      <c r="E558" s="10">
        <v>29</v>
      </c>
      <c r="F558" t="s">
        <v>1391</v>
      </c>
      <c r="G558" t="s">
        <v>646</v>
      </c>
      <c r="H558" t="s">
        <v>648</v>
      </c>
      <c r="I558" t="s">
        <v>669</v>
      </c>
      <c r="J558" t="s">
        <v>691</v>
      </c>
      <c r="K558">
        <v>18</v>
      </c>
      <c r="L558" s="3">
        <v>891.08</v>
      </c>
      <c r="M558" s="3">
        <v>1040.0999999999999</v>
      </c>
      <c r="N558" s="3" t="str">
        <f>IF(Table1_1[[#This Row],[UnitPrice]]&lt;=816.08,"low",IF(Table1_1[[#This Row],[UnitPrice]]&lt;=1640.06,"medium","high"))</f>
        <v>medium</v>
      </c>
      <c r="O558" s="4">
        <v>0.109</v>
      </c>
      <c r="P558" s="3">
        <v>16681.123800000001</v>
      </c>
      <c r="Q558" s="3">
        <v>16039.44</v>
      </c>
      <c r="R558" s="4">
        <v>3.8467660074556903E-2</v>
      </c>
      <c r="S558" t="s">
        <v>664</v>
      </c>
      <c r="T558" s="3">
        <v>641.6838000000007</v>
      </c>
      <c r="U558" t="s">
        <v>1440</v>
      </c>
      <c r="V558" s="13" t="str">
        <f>TEXT(Table1_1[[#This Row],[OrderDate]],"MM YYYY")</f>
        <v>12 2024</v>
      </c>
      <c r="W558" s="11" t="str">
        <f>TEXT(Table1_1[[#This Row],[OrderDate]],"MM")</f>
        <v>12</v>
      </c>
      <c r="X558" s="11"/>
    </row>
    <row r="559" spans="1:24" x14ac:dyDescent="0.25">
      <c r="A559" t="s">
        <v>229</v>
      </c>
      <c r="B559" s="2">
        <v>45554</v>
      </c>
      <c r="C559" s="2">
        <v>45579</v>
      </c>
      <c r="D559" t="s">
        <v>1413</v>
      </c>
      <c r="E559" s="10">
        <v>25</v>
      </c>
      <c r="F559" t="s">
        <v>1421</v>
      </c>
      <c r="G559" t="s">
        <v>646</v>
      </c>
      <c r="H559" t="s">
        <v>648</v>
      </c>
      <c r="I559" t="s">
        <v>669</v>
      </c>
      <c r="J559" t="s">
        <v>894</v>
      </c>
      <c r="K559">
        <v>27</v>
      </c>
      <c r="L559" s="3">
        <v>386.96</v>
      </c>
      <c r="M559" s="3">
        <v>937.46</v>
      </c>
      <c r="N559" s="3" t="str">
        <f>IF(Table1_1[[#This Row],[UnitPrice]]&lt;=816.08,"low",IF(Table1_1[[#This Row],[UnitPrice]]&lt;=1640.06,"medium","high"))</f>
        <v>medium</v>
      </c>
      <c r="O559" s="4">
        <v>0.26600000000000001</v>
      </c>
      <c r="P559" s="3">
        <v>18578.582280000002</v>
      </c>
      <c r="Q559" s="3">
        <v>10447.92</v>
      </c>
      <c r="R559" s="4">
        <v>0.43763631462626301</v>
      </c>
      <c r="S559" t="s">
        <v>664</v>
      </c>
      <c r="T559" s="3">
        <v>8130.6622800000023</v>
      </c>
      <c r="U559" t="s">
        <v>1437</v>
      </c>
      <c r="V559" s="13" t="str">
        <f>TEXT(Table1_1[[#This Row],[OrderDate]],"MM YYYY")</f>
        <v>09 2024</v>
      </c>
      <c r="W559" s="11" t="str">
        <f>TEXT(Table1_1[[#This Row],[OrderDate]],"MM")</f>
        <v>09</v>
      </c>
      <c r="X559" s="11"/>
    </row>
    <row r="560" spans="1:24" x14ac:dyDescent="0.25">
      <c r="A560" t="s">
        <v>97</v>
      </c>
      <c r="B560" s="2">
        <v>45388</v>
      </c>
      <c r="C560" s="2">
        <v>45407</v>
      </c>
      <c r="D560" t="s">
        <v>1413</v>
      </c>
      <c r="E560" s="10">
        <v>19</v>
      </c>
      <c r="F560" t="s">
        <v>1401</v>
      </c>
      <c r="G560" t="s">
        <v>642</v>
      </c>
      <c r="H560" t="s">
        <v>648</v>
      </c>
      <c r="I560" t="s">
        <v>668</v>
      </c>
      <c r="J560" t="s">
        <v>761</v>
      </c>
      <c r="K560">
        <v>9</v>
      </c>
      <c r="L560" s="3">
        <v>1366.48</v>
      </c>
      <c r="M560" s="3">
        <v>1678.14</v>
      </c>
      <c r="N560" s="3" t="str">
        <f>IF(Table1_1[[#This Row],[UnitPrice]]&lt;=816.08,"low",IF(Table1_1[[#This Row],[UnitPrice]]&lt;=1640.06,"medium","high"))</f>
        <v>high</v>
      </c>
      <c r="O560" s="4">
        <v>0.154</v>
      </c>
      <c r="P560" s="3">
        <v>12777.357959999999</v>
      </c>
      <c r="Q560" s="3">
        <v>12298.32</v>
      </c>
      <c r="R560" s="4">
        <v>3.7491159087790001E-2</v>
      </c>
      <c r="S560" t="s">
        <v>664</v>
      </c>
      <c r="T560" s="3">
        <v>479.03795999999966</v>
      </c>
      <c r="U560" t="s">
        <v>1436</v>
      </c>
      <c r="V560" s="13" t="str">
        <f>TEXT(Table1_1[[#This Row],[OrderDate]],"MM YYYY")</f>
        <v>04 2024</v>
      </c>
      <c r="W560" s="11" t="str">
        <f>TEXT(Table1_1[[#This Row],[OrderDate]],"MM")</f>
        <v>04</v>
      </c>
      <c r="X560" s="11"/>
    </row>
    <row r="561" spans="1:24" x14ac:dyDescent="0.25">
      <c r="A561" t="s">
        <v>584</v>
      </c>
      <c r="B561" s="2">
        <v>45279</v>
      </c>
      <c r="C561" s="2">
        <v>45292</v>
      </c>
      <c r="D561" t="s">
        <v>1413</v>
      </c>
      <c r="E561" s="10">
        <v>13</v>
      </c>
      <c r="F561" t="s">
        <v>1414</v>
      </c>
      <c r="G561" t="s">
        <v>647</v>
      </c>
      <c r="H561" t="s">
        <v>648</v>
      </c>
      <c r="I561" t="s">
        <v>673</v>
      </c>
      <c r="J561" t="s">
        <v>1247</v>
      </c>
      <c r="K561">
        <v>9</v>
      </c>
      <c r="L561" s="3">
        <v>856.1</v>
      </c>
      <c r="M561" s="3">
        <v>901.48</v>
      </c>
      <c r="N561" s="3" t="str">
        <f>IF(Table1_1[[#This Row],[UnitPrice]]&lt;=816.08,"low",IF(Table1_1[[#This Row],[UnitPrice]]&lt;=1640.06,"medium","high"))</f>
        <v>medium</v>
      </c>
      <c r="O561" s="4">
        <v>5.6000000000000001E-2</v>
      </c>
      <c r="P561" s="3">
        <v>7658.974079999999</v>
      </c>
      <c r="Q561" s="3">
        <v>7704.9000000000005</v>
      </c>
      <c r="R561" s="4">
        <v>-5.9963540182135597E-3</v>
      </c>
      <c r="S561" t="s">
        <v>664</v>
      </c>
      <c r="T561" s="3">
        <v>-45.925920000001497</v>
      </c>
      <c r="U561" t="s">
        <v>1439</v>
      </c>
      <c r="V561" s="13" t="str">
        <f>TEXT(Table1_1[[#This Row],[OrderDate]],"MM YYYY")</f>
        <v>12 2023</v>
      </c>
      <c r="W561" s="11" t="str">
        <f>TEXT(Table1_1[[#This Row],[OrderDate]],"MM")</f>
        <v>12</v>
      </c>
      <c r="X561" s="11"/>
    </row>
    <row r="562" spans="1:24" x14ac:dyDescent="0.25">
      <c r="A562" t="s">
        <v>510</v>
      </c>
      <c r="B562" s="2">
        <v>45048</v>
      </c>
      <c r="C562" s="2">
        <v>45062</v>
      </c>
      <c r="D562" t="s">
        <v>1413</v>
      </c>
      <c r="E562" s="10">
        <v>14</v>
      </c>
      <c r="F562" t="s">
        <v>1388</v>
      </c>
      <c r="G562" t="s">
        <v>644</v>
      </c>
      <c r="H562" t="s">
        <v>648</v>
      </c>
      <c r="I562" t="s">
        <v>673</v>
      </c>
      <c r="J562" t="s">
        <v>1174</v>
      </c>
      <c r="K562">
        <v>25</v>
      </c>
      <c r="L562" s="3">
        <v>475.37</v>
      </c>
      <c r="M562" s="3">
        <v>963.73</v>
      </c>
      <c r="N562" s="3" t="str">
        <f>IF(Table1_1[[#This Row],[UnitPrice]]&lt;=816.08,"low",IF(Table1_1[[#This Row],[UnitPrice]]&lt;=1640.06,"medium","high"))</f>
        <v>medium</v>
      </c>
      <c r="O562" s="4">
        <v>4.1000000000000002E-2</v>
      </c>
      <c r="P562" s="3">
        <v>23105.426749999999</v>
      </c>
      <c r="Q562" s="3">
        <v>11884.25</v>
      </c>
      <c r="R562" s="4">
        <v>0.48565113604750898</v>
      </c>
      <c r="S562" t="s">
        <v>657</v>
      </c>
      <c r="T562" s="3">
        <v>11221.176749999999</v>
      </c>
      <c r="U562" t="s">
        <v>1435</v>
      </c>
      <c r="V562" s="13" t="str">
        <f>TEXT(Table1_1[[#This Row],[OrderDate]],"MM YYYY")</f>
        <v>05 2023</v>
      </c>
      <c r="W562" s="11" t="str">
        <f>TEXT(Table1_1[[#This Row],[OrderDate]],"MM")</f>
        <v>05</v>
      </c>
      <c r="X562" s="11"/>
    </row>
    <row r="563" spans="1:24" x14ac:dyDescent="0.25">
      <c r="A563" t="s">
        <v>462</v>
      </c>
      <c r="B563" s="2">
        <v>45413</v>
      </c>
      <c r="C563" s="2">
        <v>45428</v>
      </c>
      <c r="D563" t="s">
        <v>1413</v>
      </c>
      <c r="E563" s="10">
        <v>15</v>
      </c>
      <c r="F563" t="s">
        <v>1388</v>
      </c>
      <c r="G563" t="s">
        <v>646</v>
      </c>
      <c r="H563" t="s">
        <v>648</v>
      </c>
      <c r="I563" t="s">
        <v>668</v>
      </c>
      <c r="J563" t="s">
        <v>1126</v>
      </c>
      <c r="K563">
        <v>15</v>
      </c>
      <c r="L563" s="3">
        <v>901.19</v>
      </c>
      <c r="M563" s="3">
        <v>2125.44</v>
      </c>
      <c r="N563" s="3" t="str">
        <f>IF(Table1_1[[#This Row],[UnitPrice]]&lt;=816.08,"low",IF(Table1_1[[#This Row],[UnitPrice]]&lt;=1640.06,"medium","high"))</f>
        <v>high</v>
      </c>
      <c r="O563" s="4">
        <v>7.0999999999999994E-2</v>
      </c>
      <c r="P563" s="3">
        <v>29618.006400000002</v>
      </c>
      <c r="Q563" s="3">
        <v>13517.85</v>
      </c>
      <c r="R563" s="4">
        <v>0.54359352154100404</v>
      </c>
      <c r="S563" t="s">
        <v>657</v>
      </c>
      <c r="T563" s="3">
        <v>16100.156400000002</v>
      </c>
      <c r="U563" t="s">
        <v>1436</v>
      </c>
      <c r="V563" s="13" t="str">
        <f>TEXT(Table1_1[[#This Row],[OrderDate]],"MM YYYY")</f>
        <v>05 2024</v>
      </c>
      <c r="W563" s="11" t="str">
        <f>TEXT(Table1_1[[#This Row],[OrderDate]],"MM")</f>
        <v>05</v>
      </c>
      <c r="X563" s="11"/>
    </row>
    <row r="564" spans="1:24" x14ac:dyDescent="0.25">
      <c r="A564" t="s">
        <v>453</v>
      </c>
      <c r="B564" s="2">
        <v>45526</v>
      </c>
      <c r="C564" s="2">
        <v>45539</v>
      </c>
      <c r="D564" t="s">
        <v>1413</v>
      </c>
      <c r="E564" s="10">
        <v>13</v>
      </c>
      <c r="F564" t="s">
        <v>1410</v>
      </c>
      <c r="G564" t="s">
        <v>644</v>
      </c>
      <c r="H564" t="s">
        <v>648</v>
      </c>
      <c r="I564" t="s">
        <v>669</v>
      </c>
      <c r="J564" t="s">
        <v>1117</v>
      </c>
      <c r="K564">
        <v>19</v>
      </c>
      <c r="L564" s="3">
        <v>90.04</v>
      </c>
      <c r="M564" s="3">
        <v>194.62</v>
      </c>
      <c r="N564" s="3" t="str">
        <f>IF(Table1_1[[#This Row],[UnitPrice]]&lt;=816.08,"low",IF(Table1_1[[#This Row],[UnitPrice]]&lt;=1640.06,"medium","high"))</f>
        <v>low</v>
      </c>
      <c r="O564" s="4">
        <v>4.2999999999999997E-2</v>
      </c>
      <c r="P564" s="3">
        <v>3538.7754599999998</v>
      </c>
      <c r="Q564" s="3">
        <v>1710.7600000000002</v>
      </c>
      <c r="R564" s="4">
        <v>0.51656723650954695</v>
      </c>
      <c r="S564" t="s">
        <v>657</v>
      </c>
      <c r="T564" s="3">
        <v>1828.0154599999996</v>
      </c>
      <c r="U564" t="s">
        <v>1437</v>
      </c>
      <c r="V564" s="13" t="str">
        <f>TEXT(Table1_1[[#This Row],[OrderDate]],"MM YYYY")</f>
        <v>08 2024</v>
      </c>
      <c r="W564" s="11" t="str">
        <f>TEXT(Table1_1[[#This Row],[OrderDate]],"MM")</f>
        <v>08</v>
      </c>
      <c r="X564" s="11"/>
    </row>
    <row r="565" spans="1:24" x14ac:dyDescent="0.25">
      <c r="A565" t="s">
        <v>299</v>
      </c>
      <c r="B565" s="2">
        <v>45125</v>
      </c>
      <c r="C565" s="2">
        <v>45148</v>
      </c>
      <c r="D565" t="s">
        <v>1413</v>
      </c>
      <c r="E565" s="10">
        <v>23</v>
      </c>
      <c r="F565" t="s">
        <v>1398</v>
      </c>
      <c r="G565" t="s">
        <v>646</v>
      </c>
      <c r="H565" t="s">
        <v>648</v>
      </c>
      <c r="I565" t="s">
        <v>668</v>
      </c>
      <c r="J565" t="s">
        <v>964</v>
      </c>
      <c r="K565">
        <v>6</v>
      </c>
      <c r="L565" s="3">
        <v>1271.56</v>
      </c>
      <c r="M565" s="3">
        <v>995.47</v>
      </c>
      <c r="N565" s="3" t="str">
        <f>IF(Table1_1[[#This Row],[UnitPrice]]&lt;=816.08,"low",IF(Table1_1[[#This Row],[UnitPrice]]&lt;=1640.06,"medium","high"))</f>
        <v>medium</v>
      </c>
      <c r="O565" s="4">
        <v>0.192</v>
      </c>
      <c r="P565" s="3">
        <v>4826.03856</v>
      </c>
      <c r="Q565" s="3">
        <v>7629.36</v>
      </c>
      <c r="R565" s="4">
        <v>-0.58087423155607798</v>
      </c>
      <c r="S565" t="s">
        <v>657</v>
      </c>
      <c r="T565" s="3">
        <v>-2803.3214399999997</v>
      </c>
      <c r="U565" t="s">
        <v>1430</v>
      </c>
      <c r="V565" s="13" t="str">
        <f>TEXT(Table1_1[[#This Row],[OrderDate]],"MM YYYY")</f>
        <v>07 2023</v>
      </c>
      <c r="W565" s="11" t="str">
        <f>TEXT(Table1_1[[#This Row],[OrderDate]],"MM")</f>
        <v>07</v>
      </c>
      <c r="X565" s="11"/>
    </row>
    <row r="566" spans="1:24" x14ac:dyDescent="0.25">
      <c r="A566" t="s">
        <v>218</v>
      </c>
      <c r="B566" s="2">
        <v>45545</v>
      </c>
      <c r="C566" s="2">
        <v>45572</v>
      </c>
      <c r="D566" t="s">
        <v>1413</v>
      </c>
      <c r="E566" s="10">
        <v>27</v>
      </c>
      <c r="F566" t="s">
        <v>1383</v>
      </c>
      <c r="G566" t="s">
        <v>645</v>
      </c>
      <c r="H566" t="s">
        <v>648</v>
      </c>
      <c r="I566" t="s">
        <v>669</v>
      </c>
      <c r="J566" t="s">
        <v>883</v>
      </c>
      <c r="K566">
        <v>15</v>
      </c>
      <c r="L566" s="3">
        <v>1248.3900000000001</v>
      </c>
      <c r="M566" s="3">
        <v>1805.11</v>
      </c>
      <c r="N566" s="3" t="str">
        <f>IF(Table1_1[[#This Row],[UnitPrice]]&lt;=816.08,"low",IF(Table1_1[[#This Row],[UnitPrice]]&lt;=1640.06,"medium","high"))</f>
        <v>high</v>
      </c>
      <c r="O566" s="4">
        <v>0.20300000000000001</v>
      </c>
      <c r="P566" s="3">
        <v>21580.090049999995</v>
      </c>
      <c r="Q566" s="3">
        <v>18725.850000000002</v>
      </c>
      <c r="R566" s="4">
        <v>0.132262657078208</v>
      </c>
      <c r="S566" t="s">
        <v>657</v>
      </c>
      <c r="T566" s="3">
        <v>2854.2400499999931</v>
      </c>
      <c r="U566" t="s">
        <v>1437</v>
      </c>
      <c r="V566" s="13" t="str">
        <f>TEXT(Table1_1[[#This Row],[OrderDate]],"MM YYYY")</f>
        <v>09 2024</v>
      </c>
      <c r="W566" s="11" t="str">
        <f>TEXT(Table1_1[[#This Row],[OrderDate]],"MM")</f>
        <v>09</v>
      </c>
      <c r="X566" s="11"/>
    </row>
    <row r="567" spans="1:24" x14ac:dyDescent="0.25">
      <c r="A567" t="s">
        <v>77</v>
      </c>
      <c r="B567" s="2">
        <v>45004</v>
      </c>
      <c r="C567" s="2">
        <v>45025</v>
      </c>
      <c r="D567" t="s">
        <v>1413</v>
      </c>
      <c r="E567" s="10">
        <v>21</v>
      </c>
      <c r="F567" t="s">
        <v>1406</v>
      </c>
      <c r="G567" t="s">
        <v>645</v>
      </c>
      <c r="H567" t="s">
        <v>648</v>
      </c>
      <c r="I567" t="s">
        <v>674</v>
      </c>
      <c r="J567" t="s">
        <v>741</v>
      </c>
      <c r="K567">
        <v>4</v>
      </c>
      <c r="L567" s="3">
        <v>1082.17</v>
      </c>
      <c r="M567" s="3">
        <v>1234.0999999999999</v>
      </c>
      <c r="N567" s="3" t="str">
        <f>IF(Table1_1[[#This Row],[UnitPrice]]&lt;=816.08,"low",IF(Table1_1[[#This Row],[UnitPrice]]&lt;=1640.06,"medium","high"))</f>
        <v>medium</v>
      </c>
      <c r="O567" s="4">
        <v>0.189</v>
      </c>
      <c r="P567" s="3">
        <v>4003.4203999999995</v>
      </c>
      <c r="Q567" s="3">
        <v>4328.68</v>
      </c>
      <c r="R567" s="4">
        <v>-8.1245427035342294E-2</v>
      </c>
      <c r="S567" t="s">
        <v>657</v>
      </c>
      <c r="T567" s="3">
        <v>-325.25960000000077</v>
      </c>
      <c r="U567" t="s">
        <v>1432</v>
      </c>
      <c r="V567" s="13" t="str">
        <f>TEXT(Table1_1[[#This Row],[OrderDate]],"MM YYYY")</f>
        <v>03 2023</v>
      </c>
      <c r="W567" s="11" t="str">
        <f>TEXT(Table1_1[[#This Row],[OrderDate]],"MM")</f>
        <v>03</v>
      </c>
      <c r="X567" s="11"/>
    </row>
    <row r="568" spans="1:24" x14ac:dyDescent="0.25">
      <c r="A568" t="s">
        <v>68</v>
      </c>
      <c r="B568" s="2">
        <v>45643</v>
      </c>
      <c r="C568" s="2">
        <v>45644</v>
      </c>
      <c r="D568" t="s">
        <v>1413</v>
      </c>
      <c r="E568" s="10">
        <v>1</v>
      </c>
      <c r="F568" t="s">
        <v>1400</v>
      </c>
      <c r="G568" t="s">
        <v>643</v>
      </c>
      <c r="H568" t="s">
        <v>648</v>
      </c>
      <c r="I568" t="s">
        <v>674</v>
      </c>
      <c r="J568" t="s">
        <v>732</v>
      </c>
      <c r="K568">
        <v>13</v>
      </c>
      <c r="L568" s="3">
        <v>346.82</v>
      </c>
      <c r="M568" s="3">
        <v>701.95</v>
      </c>
      <c r="N568" s="3" t="str">
        <f>IF(Table1_1[[#This Row],[UnitPrice]]&lt;=816.08,"low",IF(Table1_1[[#This Row],[UnitPrice]]&lt;=1640.06,"medium","high"))</f>
        <v>low</v>
      </c>
      <c r="O568" s="4">
        <v>0.14699999999999999</v>
      </c>
      <c r="P568" s="3">
        <v>7783.9235500000004</v>
      </c>
      <c r="Q568" s="3">
        <v>4508.66</v>
      </c>
      <c r="R568" s="4">
        <v>0.42077283120284498</v>
      </c>
      <c r="S568" t="s">
        <v>657</v>
      </c>
      <c r="T568" s="3">
        <v>3275.2635500000006</v>
      </c>
      <c r="U568" t="s">
        <v>1440</v>
      </c>
      <c r="V568" s="13" t="str">
        <f>TEXT(Table1_1[[#This Row],[OrderDate]],"MM YYYY")</f>
        <v>12 2024</v>
      </c>
      <c r="W568" s="11" t="str">
        <f>TEXT(Table1_1[[#This Row],[OrderDate]],"MM")</f>
        <v>12</v>
      </c>
      <c r="X568" s="11"/>
    </row>
    <row r="569" spans="1:24" x14ac:dyDescent="0.25">
      <c r="A569" t="s">
        <v>563</v>
      </c>
      <c r="B569" s="2">
        <v>45704</v>
      </c>
      <c r="C569" s="2">
        <v>45733</v>
      </c>
      <c r="D569" t="s">
        <v>1413</v>
      </c>
      <c r="E569" s="10">
        <v>29</v>
      </c>
      <c r="F569" t="s">
        <v>1400</v>
      </c>
      <c r="G569" t="s">
        <v>645</v>
      </c>
      <c r="H569" t="s">
        <v>648</v>
      </c>
      <c r="I569" t="s">
        <v>674</v>
      </c>
      <c r="J569" t="s">
        <v>1226</v>
      </c>
      <c r="K569">
        <v>23</v>
      </c>
      <c r="L569" s="3">
        <v>730.42</v>
      </c>
      <c r="M569" s="3">
        <v>956.7</v>
      </c>
      <c r="N569" s="3" t="str">
        <f>IF(Table1_1[[#This Row],[UnitPrice]]&lt;=816.08,"low",IF(Table1_1[[#This Row],[UnitPrice]]&lt;=1640.06,"medium","high"))</f>
        <v>medium</v>
      </c>
      <c r="O569" s="4">
        <v>4.2000000000000003E-2</v>
      </c>
      <c r="P569" s="3">
        <v>21079.927800000001</v>
      </c>
      <c r="Q569" s="3">
        <v>16799.66</v>
      </c>
      <c r="R569" s="4">
        <v>0.20304945256975701</v>
      </c>
      <c r="S569" t="s">
        <v>657</v>
      </c>
      <c r="T569" s="3">
        <v>4280.2678000000014</v>
      </c>
      <c r="U569" t="s">
        <v>1434</v>
      </c>
      <c r="V569" s="13" t="str">
        <f>TEXT(Table1_1[[#This Row],[OrderDate]],"MM YYYY")</f>
        <v>02 2025</v>
      </c>
      <c r="W569" s="11" t="str">
        <f>TEXT(Table1_1[[#This Row],[OrderDate]],"MM")</f>
        <v>02</v>
      </c>
      <c r="X569" s="11"/>
    </row>
    <row r="570" spans="1:24" x14ac:dyDescent="0.25">
      <c r="A570" t="s">
        <v>15</v>
      </c>
      <c r="B570" s="2">
        <v>45266</v>
      </c>
      <c r="C570" s="2">
        <v>45291</v>
      </c>
      <c r="D570" t="s">
        <v>1413</v>
      </c>
      <c r="E570" s="10">
        <v>25</v>
      </c>
      <c r="F570" t="s">
        <v>1387</v>
      </c>
      <c r="G570" t="s">
        <v>645</v>
      </c>
      <c r="H570" t="s">
        <v>648</v>
      </c>
      <c r="I570" t="s">
        <v>669</v>
      </c>
      <c r="J570" t="s">
        <v>679</v>
      </c>
      <c r="K570">
        <v>17</v>
      </c>
      <c r="L570" s="3">
        <v>663.03</v>
      </c>
      <c r="M570" s="3">
        <v>813.51</v>
      </c>
      <c r="N570" s="3" t="str">
        <f>IF(Table1_1[[#This Row],[UnitPrice]]&lt;=816.08,"low",IF(Table1_1[[#This Row],[UnitPrice]]&lt;=1640.06,"medium","high"))</f>
        <v>low</v>
      </c>
      <c r="O570" s="4">
        <v>0.10199999999999999</v>
      </c>
      <c r="P570" s="3">
        <v>12419.043660000001</v>
      </c>
      <c r="Q570" s="3">
        <v>11271.51</v>
      </c>
      <c r="R570" s="4">
        <v>9.2401129379715896E-2</v>
      </c>
      <c r="S570" t="s">
        <v>657</v>
      </c>
      <c r="T570" s="3">
        <v>1147.533660000001</v>
      </c>
      <c r="U570" t="s">
        <v>1439</v>
      </c>
      <c r="V570" s="13" t="str">
        <f>TEXT(Table1_1[[#This Row],[OrderDate]],"MM YYYY")</f>
        <v>12 2023</v>
      </c>
      <c r="W570" s="11" t="str">
        <f>TEXT(Table1_1[[#This Row],[OrderDate]],"MM")</f>
        <v>12</v>
      </c>
      <c r="X570" s="11"/>
    </row>
    <row r="571" spans="1:24" x14ac:dyDescent="0.25">
      <c r="A571" t="s">
        <v>125</v>
      </c>
      <c r="B571" s="2">
        <v>45250</v>
      </c>
      <c r="C571" s="2">
        <v>45265</v>
      </c>
      <c r="D571" t="s">
        <v>1413</v>
      </c>
      <c r="E571" s="10">
        <v>15</v>
      </c>
      <c r="F571" t="s">
        <v>1403</v>
      </c>
      <c r="G571" t="s">
        <v>647</v>
      </c>
      <c r="H571" t="s">
        <v>648</v>
      </c>
      <c r="I571" t="s">
        <v>670</v>
      </c>
      <c r="J571" t="s">
        <v>789</v>
      </c>
      <c r="K571">
        <v>12</v>
      </c>
      <c r="L571" s="3">
        <v>354.24</v>
      </c>
      <c r="M571" s="3">
        <v>249.87</v>
      </c>
      <c r="N571" s="3" t="str">
        <f>IF(Table1_1[[#This Row],[UnitPrice]]&lt;=816.08,"low",IF(Table1_1[[#This Row],[UnitPrice]]&lt;=1640.06,"medium","high"))</f>
        <v>low</v>
      </c>
      <c r="O571" s="4">
        <v>0</v>
      </c>
      <c r="P571" s="3">
        <v>2998.44</v>
      </c>
      <c r="Q571" s="3">
        <v>4250.88</v>
      </c>
      <c r="R571" s="4">
        <v>-0.417697202545324</v>
      </c>
      <c r="S571" t="s">
        <v>657</v>
      </c>
      <c r="T571" s="3">
        <v>-1252.44</v>
      </c>
      <c r="U571" t="s">
        <v>1439</v>
      </c>
      <c r="V571" s="13" t="str">
        <f>TEXT(Table1_1[[#This Row],[OrderDate]],"MM YYYY")</f>
        <v>11 2023</v>
      </c>
      <c r="W571" s="11" t="str">
        <f>TEXT(Table1_1[[#This Row],[OrderDate]],"MM")</f>
        <v>11</v>
      </c>
      <c r="X571" s="11"/>
    </row>
    <row r="572" spans="1:24" x14ac:dyDescent="0.25">
      <c r="A572" t="s">
        <v>416</v>
      </c>
      <c r="B572" s="2">
        <v>45646</v>
      </c>
      <c r="C572" s="2">
        <v>45671</v>
      </c>
      <c r="D572" t="s">
        <v>1413</v>
      </c>
      <c r="E572" s="10">
        <v>25</v>
      </c>
      <c r="F572" t="s">
        <v>1397</v>
      </c>
      <c r="G572" t="s">
        <v>646</v>
      </c>
      <c r="H572" t="s">
        <v>648</v>
      </c>
      <c r="I572" t="s">
        <v>669</v>
      </c>
      <c r="J572" t="s">
        <v>1080</v>
      </c>
      <c r="K572">
        <v>12</v>
      </c>
      <c r="L572" s="3">
        <v>1361.34</v>
      </c>
      <c r="M572" s="3">
        <v>1737.9</v>
      </c>
      <c r="N572" s="3" t="str">
        <f>IF(Table1_1[[#This Row],[UnitPrice]]&lt;=816.08,"low",IF(Table1_1[[#This Row],[UnitPrice]]&lt;=1640.06,"medium","high"))</f>
        <v>high</v>
      </c>
      <c r="O572" s="4">
        <v>7.6999999999999999E-2</v>
      </c>
      <c r="P572" s="3">
        <v>19248.980400000004</v>
      </c>
      <c r="Q572" s="3">
        <v>16336.079999999998</v>
      </c>
      <c r="R572" s="4">
        <v>0.15132751654731799</v>
      </c>
      <c r="S572" t="s">
        <v>665</v>
      </c>
      <c r="T572" s="3">
        <v>2912.9004000000059</v>
      </c>
      <c r="U572" t="s">
        <v>1440</v>
      </c>
      <c r="V572" s="13" t="str">
        <f>TEXT(Table1_1[[#This Row],[OrderDate]],"MM YYYY")</f>
        <v>12 2024</v>
      </c>
      <c r="W572" s="11" t="str">
        <f>TEXT(Table1_1[[#This Row],[OrderDate]],"MM")</f>
        <v>12</v>
      </c>
      <c r="X572" s="11"/>
    </row>
    <row r="573" spans="1:24" x14ac:dyDescent="0.25">
      <c r="A573" t="s">
        <v>213</v>
      </c>
      <c r="B573" s="2">
        <v>44946</v>
      </c>
      <c r="C573" s="2">
        <v>44960</v>
      </c>
      <c r="D573" t="s">
        <v>1413</v>
      </c>
      <c r="E573" s="10">
        <v>14</v>
      </c>
      <c r="F573" t="s">
        <v>1383</v>
      </c>
      <c r="G573" t="s">
        <v>642</v>
      </c>
      <c r="H573" t="s">
        <v>648</v>
      </c>
      <c r="I573" t="s">
        <v>670</v>
      </c>
      <c r="J573" t="s">
        <v>878</v>
      </c>
      <c r="K573">
        <v>5</v>
      </c>
      <c r="L573" s="3">
        <v>884.36</v>
      </c>
      <c r="M573" s="3">
        <v>1545.34</v>
      </c>
      <c r="N573" s="3" t="str">
        <f>IF(Table1_1[[#This Row],[UnitPrice]]&lt;=816.08,"low",IF(Table1_1[[#This Row],[UnitPrice]]&lt;=1640.06,"medium","high"))</f>
        <v>medium</v>
      </c>
      <c r="O573" s="4">
        <v>0.24299999999999999</v>
      </c>
      <c r="P573" s="3">
        <v>5849.1118999999999</v>
      </c>
      <c r="Q573" s="3">
        <v>4421.8</v>
      </c>
      <c r="R573" s="4">
        <v>0.24402198562828001</v>
      </c>
      <c r="S573" t="s">
        <v>665</v>
      </c>
      <c r="T573" s="3">
        <v>1427.3118999999997</v>
      </c>
      <c r="U573" t="s">
        <v>1432</v>
      </c>
      <c r="V573" s="13" t="str">
        <f>TEXT(Table1_1[[#This Row],[OrderDate]],"MM YYYY")</f>
        <v>01 2023</v>
      </c>
      <c r="W573" s="11" t="str">
        <f>TEXT(Table1_1[[#This Row],[OrderDate]],"MM")</f>
        <v>01</v>
      </c>
      <c r="X573" s="11"/>
    </row>
    <row r="574" spans="1:24" x14ac:dyDescent="0.25">
      <c r="A574" t="s">
        <v>323</v>
      </c>
      <c r="B574" s="2">
        <v>45600</v>
      </c>
      <c r="C574" s="2">
        <v>45601</v>
      </c>
      <c r="D574" t="s">
        <v>1413</v>
      </c>
      <c r="E574" s="10">
        <v>1</v>
      </c>
      <c r="F574" t="s">
        <v>1399</v>
      </c>
      <c r="G574" t="s">
        <v>642</v>
      </c>
      <c r="H574" t="s">
        <v>648</v>
      </c>
      <c r="I574" t="s">
        <v>669</v>
      </c>
      <c r="J574" t="s">
        <v>988</v>
      </c>
      <c r="K574">
        <v>19</v>
      </c>
      <c r="L574" s="3">
        <v>840.68</v>
      </c>
      <c r="M574" s="3">
        <v>1493.53</v>
      </c>
      <c r="N574" s="3" t="str">
        <f>IF(Table1_1[[#This Row],[UnitPrice]]&lt;=816.08,"low",IF(Table1_1[[#This Row],[UnitPrice]]&lt;=1640.06,"medium","high"))</f>
        <v>medium</v>
      </c>
      <c r="O574" s="4">
        <v>0</v>
      </c>
      <c r="P574" s="3">
        <v>28377.07</v>
      </c>
      <c r="Q574" s="3">
        <v>15972.919999999998</v>
      </c>
      <c r="R574" s="4">
        <v>0.43711877230453999</v>
      </c>
      <c r="S574" t="s">
        <v>665</v>
      </c>
      <c r="T574" s="3">
        <v>12404.150000000001</v>
      </c>
      <c r="U574" t="s">
        <v>1440</v>
      </c>
      <c r="V574" s="13" t="str">
        <f>TEXT(Table1_1[[#This Row],[OrderDate]],"MM YYYY")</f>
        <v>11 2024</v>
      </c>
      <c r="W574" s="11" t="str">
        <f>TEXT(Table1_1[[#This Row],[OrderDate]],"MM")</f>
        <v>11</v>
      </c>
      <c r="X574" s="11"/>
    </row>
    <row r="575" spans="1:24" x14ac:dyDescent="0.25">
      <c r="A575" t="s">
        <v>380</v>
      </c>
      <c r="B575" s="2">
        <v>45286</v>
      </c>
      <c r="C575" s="2">
        <v>45294</v>
      </c>
      <c r="D575" t="s">
        <v>1413</v>
      </c>
      <c r="E575" s="10">
        <v>8</v>
      </c>
      <c r="F575" t="s">
        <v>1396</v>
      </c>
      <c r="G575" t="s">
        <v>646</v>
      </c>
      <c r="H575" t="s">
        <v>648</v>
      </c>
      <c r="I575" t="s">
        <v>672</v>
      </c>
      <c r="J575" t="s">
        <v>1045</v>
      </c>
      <c r="K575">
        <v>32</v>
      </c>
      <c r="L575" s="3">
        <v>492.75</v>
      </c>
      <c r="M575" s="3">
        <v>731.29</v>
      </c>
      <c r="N575" s="3" t="str">
        <f>IF(Table1_1[[#This Row],[UnitPrice]]&lt;=816.08,"low",IF(Table1_1[[#This Row],[UnitPrice]]&lt;=1640.06,"medium","high"))</f>
        <v>low</v>
      </c>
      <c r="O575" s="4">
        <v>5.8000000000000003E-2</v>
      </c>
      <c r="P575" s="3">
        <v>22044.005759999996</v>
      </c>
      <c r="Q575" s="3">
        <v>15768</v>
      </c>
      <c r="R575" s="4">
        <v>0.28470350753528401</v>
      </c>
      <c r="S575" t="s">
        <v>665</v>
      </c>
      <c r="T575" s="3">
        <v>6276.0057599999964</v>
      </c>
      <c r="U575" t="s">
        <v>1439</v>
      </c>
      <c r="V575" s="13" t="str">
        <f>TEXT(Table1_1[[#This Row],[OrderDate]],"MM YYYY")</f>
        <v>12 2023</v>
      </c>
      <c r="W575" s="11" t="str">
        <f>TEXT(Table1_1[[#This Row],[OrderDate]],"MM")</f>
        <v>12</v>
      </c>
      <c r="X575" s="11"/>
    </row>
    <row r="576" spans="1:24" x14ac:dyDescent="0.25">
      <c r="A576" t="s">
        <v>246</v>
      </c>
      <c r="B576" s="2">
        <v>45548</v>
      </c>
      <c r="C576" s="2">
        <v>45567</v>
      </c>
      <c r="D576" t="s">
        <v>1413</v>
      </c>
      <c r="E576" s="10">
        <v>19</v>
      </c>
      <c r="F576" t="s">
        <v>1393</v>
      </c>
      <c r="G576" t="s">
        <v>646</v>
      </c>
      <c r="H576" t="s">
        <v>648</v>
      </c>
      <c r="I576" t="s">
        <v>671</v>
      </c>
      <c r="J576" t="s">
        <v>911</v>
      </c>
      <c r="K576">
        <v>17</v>
      </c>
      <c r="L576" s="3">
        <v>1338.99</v>
      </c>
      <c r="M576" s="3">
        <v>1765.76</v>
      </c>
      <c r="N576" s="3" t="str">
        <f>IF(Table1_1[[#This Row],[UnitPrice]]&lt;=816.08,"low",IF(Table1_1[[#This Row],[UnitPrice]]&lt;=1640.06,"medium","high"))</f>
        <v>high</v>
      </c>
      <c r="O576" s="4">
        <v>0.126</v>
      </c>
      <c r="P576" s="3">
        <v>26235.662079999998</v>
      </c>
      <c r="Q576" s="3">
        <v>22762.83</v>
      </c>
      <c r="R576" s="4">
        <v>0.132370666667772</v>
      </c>
      <c r="S576" t="s">
        <v>665</v>
      </c>
      <c r="T576" s="3">
        <v>3472.8320799999965</v>
      </c>
      <c r="U576" t="s">
        <v>1437</v>
      </c>
      <c r="V576" s="13" t="str">
        <f>TEXT(Table1_1[[#This Row],[OrderDate]],"MM YYYY")</f>
        <v>09 2024</v>
      </c>
      <c r="W576" s="11" t="str">
        <f>TEXT(Table1_1[[#This Row],[OrderDate]],"MM")</f>
        <v>09</v>
      </c>
      <c r="X576" s="11"/>
    </row>
    <row r="577" spans="1:24" x14ac:dyDescent="0.25">
      <c r="A577" t="s">
        <v>531</v>
      </c>
      <c r="B577" s="2">
        <v>45056</v>
      </c>
      <c r="C577" s="2">
        <v>45073</v>
      </c>
      <c r="D577" t="s">
        <v>1413</v>
      </c>
      <c r="E577" s="10">
        <v>17</v>
      </c>
      <c r="F577" t="s">
        <v>1405</v>
      </c>
      <c r="G577" t="s">
        <v>645</v>
      </c>
      <c r="H577" t="s">
        <v>648</v>
      </c>
      <c r="I577" t="s">
        <v>672</v>
      </c>
      <c r="J577" t="s">
        <v>1195</v>
      </c>
      <c r="K577">
        <v>5</v>
      </c>
      <c r="L577" s="3">
        <v>1286.1600000000001</v>
      </c>
      <c r="M577" s="3">
        <v>3101.11</v>
      </c>
      <c r="N577" s="3" t="str">
        <f>IF(Table1_1[[#This Row],[UnitPrice]]&lt;=816.08,"low",IF(Table1_1[[#This Row],[UnitPrice]]&lt;=1640.06,"medium","high"))</f>
        <v>high</v>
      </c>
      <c r="O577" s="4">
        <v>0.1</v>
      </c>
      <c r="P577" s="3">
        <v>13954.995000000001</v>
      </c>
      <c r="Q577" s="3">
        <v>6430.8</v>
      </c>
      <c r="R577" s="4">
        <v>0.53917575749758395</v>
      </c>
      <c r="S577" t="s">
        <v>665</v>
      </c>
      <c r="T577" s="3">
        <v>7524.1950000000006</v>
      </c>
      <c r="U577" t="s">
        <v>1435</v>
      </c>
      <c r="V577" s="13" t="str">
        <f>TEXT(Table1_1[[#This Row],[OrderDate]],"MM YYYY")</f>
        <v>05 2023</v>
      </c>
      <c r="W577" s="11" t="str">
        <f>TEXT(Table1_1[[#This Row],[OrderDate]],"MM")</f>
        <v>05</v>
      </c>
      <c r="X577" s="11"/>
    </row>
    <row r="578" spans="1:24" x14ac:dyDescent="0.25">
      <c r="A578" t="s">
        <v>153</v>
      </c>
      <c r="B578" s="2">
        <v>45133</v>
      </c>
      <c r="C578" s="2">
        <v>45163</v>
      </c>
      <c r="D578" t="s">
        <v>1413</v>
      </c>
      <c r="E578" s="10">
        <v>30</v>
      </c>
      <c r="F578" t="s">
        <v>1428</v>
      </c>
      <c r="G578" t="s">
        <v>645</v>
      </c>
      <c r="H578" t="s">
        <v>648</v>
      </c>
      <c r="I578" t="s">
        <v>674</v>
      </c>
      <c r="J578" t="s">
        <v>817</v>
      </c>
      <c r="K578">
        <v>15</v>
      </c>
      <c r="L578" s="3">
        <v>1261.48</v>
      </c>
      <c r="M578" s="3">
        <v>1643.18</v>
      </c>
      <c r="N578" s="3" t="str">
        <f>IF(Table1_1[[#This Row],[UnitPrice]]&lt;=816.08,"low",IF(Table1_1[[#This Row],[UnitPrice]]&lt;=1640.06,"medium","high"))</f>
        <v>high</v>
      </c>
      <c r="O578" s="4">
        <v>0.151</v>
      </c>
      <c r="P578" s="3">
        <v>20925.897300000001</v>
      </c>
      <c r="Q578" s="3">
        <v>18922.2</v>
      </c>
      <c r="R578" s="4">
        <v>9.5752037357079101E-2</v>
      </c>
      <c r="S578" t="s">
        <v>665</v>
      </c>
      <c r="T578" s="3">
        <v>2003.6972999999998</v>
      </c>
      <c r="U578" t="s">
        <v>1430</v>
      </c>
      <c r="V578" s="13" t="str">
        <f>TEXT(Table1_1[[#This Row],[OrderDate]],"MM YYYY")</f>
        <v>07 2023</v>
      </c>
      <c r="W578" s="11" t="str">
        <f>TEXT(Table1_1[[#This Row],[OrderDate]],"MM")</f>
        <v>07</v>
      </c>
      <c r="X578" s="11"/>
    </row>
    <row r="579" spans="1:24" x14ac:dyDescent="0.25">
      <c r="A579" t="s">
        <v>568</v>
      </c>
      <c r="B579" s="2">
        <v>45362</v>
      </c>
      <c r="C579" s="2">
        <v>45380</v>
      </c>
      <c r="D579" t="s">
        <v>1413</v>
      </c>
      <c r="E579" s="10">
        <v>18</v>
      </c>
      <c r="F579" t="s">
        <v>1428</v>
      </c>
      <c r="G579" t="s">
        <v>642</v>
      </c>
      <c r="H579" t="s">
        <v>648</v>
      </c>
      <c r="I579" t="s">
        <v>673</v>
      </c>
      <c r="J579" t="s">
        <v>1231</v>
      </c>
      <c r="K579">
        <v>43</v>
      </c>
      <c r="L579" s="3">
        <v>710.98</v>
      </c>
      <c r="M579" s="3">
        <v>1481.45</v>
      </c>
      <c r="N579" s="3" t="str">
        <f>IF(Table1_1[[#This Row],[UnitPrice]]&lt;=816.08,"low",IF(Table1_1[[#This Row],[UnitPrice]]&lt;=1640.06,"medium","high"))</f>
        <v>medium</v>
      </c>
      <c r="O579" s="4">
        <v>0.21099999999999999</v>
      </c>
      <c r="P579" s="3">
        <v>50261.154150000002</v>
      </c>
      <c r="Q579" s="3">
        <v>30572.14</v>
      </c>
      <c r="R579" s="4">
        <v>0.391734222641205</v>
      </c>
      <c r="S579" t="s">
        <v>665</v>
      </c>
      <c r="T579" s="3">
        <v>19689.014150000003</v>
      </c>
      <c r="U579" t="s">
        <v>1433</v>
      </c>
      <c r="V579" s="13" t="str">
        <f>TEXT(Table1_1[[#This Row],[OrderDate]],"MM YYYY")</f>
        <v>03 2024</v>
      </c>
      <c r="W579" s="11" t="str">
        <f>TEXT(Table1_1[[#This Row],[OrderDate]],"MM")</f>
        <v>03</v>
      </c>
      <c r="X579" s="11"/>
    </row>
    <row r="580" spans="1:24" x14ac:dyDescent="0.25">
      <c r="A580" t="s">
        <v>555</v>
      </c>
      <c r="B580" s="2">
        <v>45889</v>
      </c>
      <c r="C580" s="2">
        <v>45895</v>
      </c>
      <c r="D580" t="s">
        <v>1413</v>
      </c>
      <c r="E580" s="10">
        <v>6</v>
      </c>
      <c r="F580" t="s">
        <v>1428</v>
      </c>
      <c r="G580" t="s">
        <v>642</v>
      </c>
      <c r="H580" t="s">
        <v>648</v>
      </c>
      <c r="I580" t="s">
        <v>670</v>
      </c>
      <c r="J580" t="s">
        <v>1218</v>
      </c>
      <c r="K580">
        <v>7</v>
      </c>
      <c r="L580" s="3">
        <v>1304.95</v>
      </c>
      <c r="M580" s="3">
        <v>1712.03</v>
      </c>
      <c r="N580" s="3" t="str">
        <f>IF(Table1_1[[#This Row],[UnitPrice]]&lt;=816.08,"low",IF(Table1_1[[#This Row],[UnitPrice]]&lt;=1640.06,"medium","high"))</f>
        <v>high</v>
      </c>
      <c r="O580" s="4">
        <v>0.21199999999999999</v>
      </c>
      <c r="P580" s="3">
        <v>9443.5574799999995</v>
      </c>
      <c r="Q580" s="3">
        <v>9134.65</v>
      </c>
      <c r="R580" s="4">
        <v>3.2710922833287998E-2</v>
      </c>
      <c r="S580" t="s">
        <v>665</v>
      </c>
      <c r="T580" s="3">
        <v>308.90747999999985</v>
      </c>
      <c r="U580" t="s">
        <v>1438</v>
      </c>
      <c r="V580" s="13" t="str">
        <f>TEXT(Table1_1[[#This Row],[OrderDate]],"MM YYYY")</f>
        <v>08 2025</v>
      </c>
      <c r="W580" s="11" t="str">
        <f>TEXT(Table1_1[[#This Row],[OrderDate]],"MM")</f>
        <v>08</v>
      </c>
      <c r="X580" s="11"/>
    </row>
    <row r="581" spans="1:24" x14ac:dyDescent="0.25">
      <c r="A581" t="s">
        <v>485</v>
      </c>
      <c r="B581" s="2">
        <v>45069</v>
      </c>
      <c r="C581" s="2">
        <v>45071</v>
      </c>
      <c r="D581" t="s">
        <v>1413</v>
      </c>
      <c r="E581" s="10">
        <v>2</v>
      </c>
      <c r="F581" t="s">
        <v>1421</v>
      </c>
      <c r="G581" t="s">
        <v>647</v>
      </c>
      <c r="H581" t="s">
        <v>648</v>
      </c>
      <c r="I581" t="s">
        <v>669</v>
      </c>
      <c r="J581" t="s">
        <v>1149</v>
      </c>
      <c r="K581">
        <v>14</v>
      </c>
      <c r="L581" s="3">
        <v>690.49</v>
      </c>
      <c r="M581" s="3">
        <v>1290.29</v>
      </c>
      <c r="N581" s="3" t="str">
        <f>IF(Table1_1[[#This Row],[UnitPrice]]&lt;=816.08,"low",IF(Table1_1[[#This Row],[UnitPrice]]&lt;=1640.06,"medium","high"))</f>
        <v>medium</v>
      </c>
      <c r="O581" s="4">
        <v>4.2000000000000003E-2</v>
      </c>
      <c r="P581" s="3">
        <v>17305.369479999998</v>
      </c>
      <c r="Q581" s="3">
        <v>9666.86</v>
      </c>
      <c r="R581" s="4">
        <v>0.44139534199647701</v>
      </c>
      <c r="S581" t="s">
        <v>665</v>
      </c>
      <c r="T581" s="3">
        <v>7638.509479999997</v>
      </c>
      <c r="U581" t="s">
        <v>1435</v>
      </c>
      <c r="V581" s="13" t="str">
        <f>TEXT(Table1_1[[#This Row],[OrderDate]],"MM YYYY")</f>
        <v>05 2023</v>
      </c>
      <c r="W581" s="11" t="str">
        <f>TEXT(Table1_1[[#This Row],[OrderDate]],"MM")</f>
        <v>05</v>
      </c>
      <c r="X581" s="11"/>
    </row>
    <row r="582" spans="1:24" x14ac:dyDescent="0.25">
      <c r="A582" t="s">
        <v>537</v>
      </c>
      <c r="B582" s="2">
        <v>44938</v>
      </c>
      <c r="C582" s="2">
        <v>44952</v>
      </c>
      <c r="D582" t="s">
        <v>1413</v>
      </c>
      <c r="E582" s="10">
        <v>14</v>
      </c>
      <c r="F582" t="s">
        <v>1394</v>
      </c>
      <c r="G582" t="s">
        <v>644</v>
      </c>
      <c r="H582" t="s">
        <v>648</v>
      </c>
      <c r="I582" t="s">
        <v>669</v>
      </c>
      <c r="J582" t="s">
        <v>1201</v>
      </c>
      <c r="K582">
        <v>17</v>
      </c>
      <c r="L582" s="3">
        <v>1083.0899999999999</v>
      </c>
      <c r="M582" s="3">
        <v>1425.87</v>
      </c>
      <c r="N582" s="3" t="str">
        <f>IF(Table1_1[[#This Row],[UnitPrice]]&lt;=816.08,"low",IF(Table1_1[[#This Row],[UnitPrice]]&lt;=1640.06,"medium","high"))</f>
        <v>medium</v>
      </c>
      <c r="O582" s="4">
        <v>0</v>
      </c>
      <c r="P582" s="3">
        <v>24239.789999999997</v>
      </c>
      <c r="Q582" s="3">
        <v>18412.53</v>
      </c>
      <c r="R582" s="4">
        <v>0.24040059752992901</v>
      </c>
      <c r="S582" t="s">
        <v>665</v>
      </c>
      <c r="T582" s="3">
        <v>5827.2599999999984</v>
      </c>
      <c r="U582" t="s">
        <v>1432</v>
      </c>
      <c r="V582" s="13" t="str">
        <f>TEXT(Table1_1[[#This Row],[OrderDate]],"MM YYYY")</f>
        <v>01 2023</v>
      </c>
      <c r="W582" s="11" t="str">
        <f>TEXT(Table1_1[[#This Row],[OrderDate]],"MM")</f>
        <v>01</v>
      </c>
      <c r="X582" s="11"/>
    </row>
    <row r="583" spans="1:24" x14ac:dyDescent="0.25">
      <c r="A583" t="s">
        <v>234</v>
      </c>
      <c r="B583" s="2">
        <v>45035</v>
      </c>
      <c r="C583" s="2">
        <v>45053</v>
      </c>
      <c r="D583" t="s">
        <v>1413</v>
      </c>
      <c r="E583" s="10">
        <v>18</v>
      </c>
      <c r="F583" t="s">
        <v>1392</v>
      </c>
      <c r="G583" t="s">
        <v>647</v>
      </c>
      <c r="H583" t="s">
        <v>648</v>
      </c>
      <c r="I583" t="s">
        <v>672</v>
      </c>
      <c r="J583" t="s">
        <v>899</v>
      </c>
      <c r="K583">
        <v>3</v>
      </c>
      <c r="L583" s="3">
        <v>1089.1500000000001</v>
      </c>
      <c r="M583" s="3">
        <v>1088.2</v>
      </c>
      <c r="N583" s="3" t="str">
        <f>IF(Table1_1[[#This Row],[UnitPrice]]&lt;=816.08,"low",IF(Table1_1[[#This Row],[UnitPrice]]&lt;=1640.06,"medium","high"))</f>
        <v>medium</v>
      </c>
      <c r="O583" s="4">
        <v>5.0999999999999997E-2</v>
      </c>
      <c r="P583" s="3">
        <v>3098.1054000000004</v>
      </c>
      <c r="Q583" s="3">
        <v>3267.4500000000003</v>
      </c>
      <c r="R583" s="4">
        <v>-5.46606968245818E-2</v>
      </c>
      <c r="S583" t="s">
        <v>666</v>
      </c>
      <c r="T583" s="3">
        <v>-169.3445999999999</v>
      </c>
      <c r="U583" t="s">
        <v>1435</v>
      </c>
      <c r="V583" s="13" t="str">
        <f>TEXT(Table1_1[[#This Row],[OrderDate]],"MM YYYY")</f>
        <v>04 2023</v>
      </c>
      <c r="W583" s="11" t="str">
        <f>TEXT(Table1_1[[#This Row],[OrderDate]],"MM")</f>
        <v>04</v>
      </c>
      <c r="X583" s="11"/>
    </row>
    <row r="584" spans="1:24" x14ac:dyDescent="0.25">
      <c r="A584" t="s">
        <v>292</v>
      </c>
      <c r="B584" s="2">
        <v>45153</v>
      </c>
      <c r="C584" s="2">
        <v>45163</v>
      </c>
      <c r="D584" t="s">
        <v>1413</v>
      </c>
      <c r="E584" s="10">
        <v>10</v>
      </c>
      <c r="F584" t="s">
        <v>1385</v>
      </c>
      <c r="G584" t="s">
        <v>646</v>
      </c>
      <c r="H584" t="s">
        <v>648</v>
      </c>
      <c r="I584" t="s">
        <v>671</v>
      </c>
      <c r="J584" t="s">
        <v>957</v>
      </c>
      <c r="K584">
        <v>27</v>
      </c>
      <c r="L584" s="3">
        <v>91.85</v>
      </c>
      <c r="M584" s="3">
        <v>111.29</v>
      </c>
      <c r="N584" s="3" t="str">
        <f>IF(Table1_1[[#This Row],[UnitPrice]]&lt;=816.08,"low",IF(Table1_1[[#This Row],[UnitPrice]]&lt;=1640.06,"medium","high"))</f>
        <v>low</v>
      </c>
      <c r="O584" s="4">
        <v>0</v>
      </c>
      <c r="P584" s="3">
        <v>3004.8300000000004</v>
      </c>
      <c r="Q584" s="3">
        <v>2479.9499999999998</v>
      </c>
      <c r="R584" s="4">
        <v>0.17467876718483299</v>
      </c>
      <c r="S584" t="s">
        <v>666</v>
      </c>
      <c r="T584" s="3">
        <v>524.88000000000056</v>
      </c>
      <c r="U584" t="s">
        <v>1430</v>
      </c>
      <c r="V584" s="13" t="str">
        <f>TEXT(Table1_1[[#This Row],[OrderDate]],"MM YYYY")</f>
        <v>08 2023</v>
      </c>
      <c r="W584" s="11" t="str">
        <f>TEXT(Table1_1[[#This Row],[OrderDate]],"MM")</f>
        <v>08</v>
      </c>
      <c r="X584" s="11"/>
    </row>
    <row r="585" spans="1:24" x14ac:dyDescent="0.25">
      <c r="A585" t="s">
        <v>271</v>
      </c>
      <c r="B585" s="2">
        <v>45073</v>
      </c>
      <c r="C585" s="2">
        <v>45096</v>
      </c>
      <c r="D585" t="s">
        <v>1413</v>
      </c>
      <c r="E585" s="10">
        <v>23</v>
      </c>
      <c r="F585" t="s">
        <v>1390</v>
      </c>
      <c r="G585" t="s">
        <v>643</v>
      </c>
      <c r="H585" t="s">
        <v>648</v>
      </c>
      <c r="I585" t="s">
        <v>674</v>
      </c>
      <c r="J585" t="s">
        <v>936</v>
      </c>
      <c r="K585">
        <v>21</v>
      </c>
      <c r="L585" s="3">
        <v>1471.58</v>
      </c>
      <c r="M585" s="3">
        <v>2576.65</v>
      </c>
      <c r="N585" s="3" t="str">
        <f>IF(Table1_1[[#This Row],[UnitPrice]]&lt;=816.08,"low",IF(Table1_1[[#This Row],[UnitPrice]]&lt;=1640.06,"medium","high"))</f>
        <v>high</v>
      </c>
      <c r="O585" s="4">
        <v>4.0000000000000001E-3</v>
      </c>
      <c r="P585" s="3">
        <v>53893.2114</v>
      </c>
      <c r="Q585" s="3">
        <v>30903.18</v>
      </c>
      <c r="R585" s="4">
        <v>0.42658492234515499</v>
      </c>
      <c r="S585" t="s">
        <v>660</v>
      </c>
      <c r="T585" s="3">
        <v>22990.0314</v>
      </c>
      <c r="U585" t="s">
        <v>1435</v>
      </c>
      <c r="V585" s="13" t="str">
        <f>TEXT(Table1_1[[#This Row],[OrderDate]],"MM YYYY")</f>
        <v>05 2023</v>
      </c>
      <c r="W585" s="11" t="str">
        <f>TEXT(Table1_1[[#This Row],[OrderDate]],"MM")</f>
        <v>05</v>
      </c>
      <c r="X585" s="11"/>
    </row>
    <row r="586" spans="1:24" x14ac:dyDescent="0.25">
      <c r="A586" t="s">
        <v>165</v>
      </c>
      <c r="B586" s="2">
        <v>45230</v>
      </c>
      <c r="C586" s="2">
        <v>45232</v>
      </c>
      <c r="D586" t="s">
        <v>1413</v>
      </c>
      <c r="E586" s="10">
        <v>2</v>
      </c>
      <c r="F586" t="s">
        <v>1383</v>
      </c>
      <c r="G586" t="s">
        <v>643</v>
      </c>
      <c r="H586" t="s">
        <v>648</v>
      </c>
      <c r="I586" t="s">
        <v>674</v>
      </c>
      <c r="J586" t="s">
        <v>829</v>
      </c>
      <c r="K586">
        <v>4</v>
      </c>
      <c r="L586" s="3">
        <v>867.89</v>
      </c>
      <c r="M586" s="3">
        <v>1349.94</v>
      </c>
      <c r="N586" s="3" t="str">
        <f>IF(Table1_1[[#This Row],[UnitPrice]]&lt;=816.08,"low",IF(Table1_1[[#This Row],[UnitPrice]]&lt;=1640.06,"medium","high"))</f>
        <v>medium</v>
      </c>
      <c r="O586" s="4">
        <v>0.184</v>
      </c>
      <c r="P586" s="3">
        <v>4406.2041600000002</v>
      </c>
      <c r="Q586" s="3">
        <v>3471.56</v>
      </c>
      <c r="R586" s="4">
        <v>0.21212003031652499</v>
      </c>
      <c r="S586" t="s">
        <v>660</v>
      </c>
      <c r="T586" s="3">
        <v>934.64416000000028</v>
      </c>
      <c r="U586" t="s">
        <v>1439</v>
      </c>
      <c r="V586" s="13" t="str">
        <f>TEXT(Table1_1[[#This Row],[OrderDate]],"MM YYYY")</f>
        <v>10 2023</v>
      </c>
      <c r="W586" s="11" t="str">
        <f>TEXT(Table1_1[[#This Row],[OrderDate]],"MM")</f>
        <v>10</v>
      </c>
      <c r="X586" s="11"/>
    </row>
    <row r="587" spans="1:24" x14ac:dyDescent="0.25">
      <c r="A587" t="s">
        <v>443</v>
      </c>
      <c r="B587" s="2">
        <v>45636</v>
      </c>
      <c r="C587" s="2">
        <v>45645</v>
      </c>
      <c r="D587" t="s">
        <v>1413</v>
      </c>
      <c r="E587" s="10">
        <v>9</v>
      </c>
      <c r="F587" t="s">
        <v>1386</v>
      </c>
      <c r="G587" t="s">
        <v>642</v>
      </c>
      <c r="H587" t="s">
        <v>648</v>
      </c>
      <c r="I587" t="s">
        <v>673</v>
      </c>
      <c r="J587" t="s">
        <v>1107</v>
      </c>
      <c r="K587">
        <v>21</v>
      </c>
      <c r="L587" s="3">
        <v>488.68</v>
      </c>
      <c r="M587" s="3">
        <v>984.36</v>
      </c>
      <c r="N587" s="3" t="str">
        <f>IF(Table1_1[[#This Row],[UnitPrice]]&lt;=816.08,"low",IF(Table1_1[[#This Row],[UnitPrice]]&lt;=1640.06,"medium","high"))</f>
        <v>medium</v>
      </c>
      <c r="O587" s="4">
        <v>5.8999999999999997E-2</v>
      </c>
      <c r="P587" s="3">
        <v>19451.937960000003</v>
      </c>
      <c r="Q587" s="3">
        <v>10262.280000000001</v>
      </c>
      <c r="R587" s="4">
        <v>0.47242891576649898</v>
      </c>
      <c r="S587" t="s">
        <v>660</v>
      </c>
      <c r="T587" s="3">
        <v>9189.6579600000023</v>
      </c>
      <c r="U587" t="s">
        <v>1440</v>
      </c>
      <c r="V587" s="13" t="str">
        <f>TEXT(Table1_1[[#This Row],[OrderDate]],"MM YYYY")</f>
        <v>12 2024</v>
      </c>
      <c r="W587" s="11" t="str">
        <f>TEXT(Table1_1[[#This Row],[OrderDate]],"MM")</f>
        <v>12</v>
      </c>
      <c r="X587" s="11"/>
    </row>
    <row r="588" spans="1:24" x14ac:dyDescent="0.25">
      <c r="A588" t="s">
        <v>422</v>
      </c>
      <c r="B588" s="2">
        <v>45002</v>
      </c>
      <c r="C588" s="2">
        <v>45022</v>
      </c>
      <c r="D588" t="s">
        <v>1413</v>
      </c>
      <c r="E588" s="10">
        <v>20</v>
      </c>
      <c r="F588" t="s">
        <v>1400</v>
      </c>
      <c r="G588" t="s">
        <v>645</v>
      </c>
      <c r="H588" t="s">
        <v>648</v>
      </c>
      <c r="I588" t="s">
        <v>671</v>
      </c>
      <c r="J588" t="s">
        <v>1086</v>
      </c>
      <c r="K588">
        <v>3</v>
      </c>
      <c r="L588" s="3">
        <v>692.18</v>
      </c>
      <c r="M588" s="3">
        <v>1159.3499999999999</v>
      </c>
      <c r="N588" s="3" t="str">
        <f>IF(Table1_1[[#This Row],[UnitPrice]]&lt;=816.08,"low",IF(Table1_1[[#This Row],[UnitPrice]]&lt;=1640.06,"medium","high"))</f>
        <v>medium</v>
      </c>
      <c r="O588" s="4">
        <v>0.112</v>
      </c>
      <c r="P588" s="3">
        <v>3088.5083999999997</v>
      </c>
      <c r="Q588" s="3">
        <v>2076.54</v>
      </c>
      <c r="R588" s="4">
        <v>0.32765602968733998</v>
      </c>
      <c r="S588" t="s">
        <v>660</v>
      </c>
      <c r="T588" s="3">
        <v>1011.9683999999997</v>
      </c>
      <c r="U588" t="s">
        <v>1432</v>
      </c>
      <c r="V588" s="13" t="str">
        <f>TEXT(Table1_1[[#This Row],[OrderDate]],"MM YYYY")</f>
        <v>03 2023</v>
      </c>
      <c r="W588" s="11" t="str">
        <f>TEXT(Table1_1[[#This Row],[OrderDate]],"MM")</f>
        <v>03</v>
      </c>
      <c r="X588" s="11"/>
    </row>
    <row r="589" spans="1:24" x14ac:dyDescent="0.25">
      <c r="A589" t="s">
        <v>76</v>
      </c>
      <c r="B589" s="2">
        <v>45263</v>
      </c>
      <c r="C589" s="2">
        <v>45286</v>
      </c>
      <c r="D589" t="s">
        <v>1413</v>
      </c>
      <c r="E589" s="10">
        <v>23</v>
      </c>
      <c r="F589" t="s">
        <v>1421</v>
      </c>
      <c r="G589" t="s">
        <v>643</v>
      </c>
      <c r="H589" t="s">
        <v>648</v>
      </c>
      <c r="I589" t="s">
        <v>671</v>
      </c>
      <c r="J589" t="s">
        <v>740</v>
      </c>
      <c r="K589">
        <v>16</v>
      </c>
      <c r="L589" s="3">
        <v>1303.1099999999999</v>
      </c>
      <c r="M589" s="3">
        <v>1145.67</v>
      </c>
      <c r="N589" s="3" t="str">
        <f>IF(Table1_1[[#This Row],[UnitPrice]]&lt;=816.08,"low",IF(Table1_1[[#This Row],[UnitPrice]]&lt;=1640.06,"medium","high"))</f>
        <v>medium</v>
      </c>
      <c r="O589" s="4">
        <v>0.184</v>
      </c>
      <c r="P589" s="3">
        <v>14957.867520000002</v>
      </c>
      <c r="Q589" s="3">
        <v>20849.759999999998</v>
      </c>
      <c r="R589" s="4">
        <v>-0.39389922875851202</v>
      </c>
      <c r="S589" t="s">
        <v>660</v>
      </c>
      <c r="T589" s="3">
        <v>-5891.8924799999968</v>
      </c>
      <c r="U589" t="s">
        <v>1439</v>
      </c>
      <c r="V589" s="13" t="str">
        <f>TEXT(Table1_1[[#This Row],[OrderDate]],"MM YYYY")</f>
        <v>12 2023</v>
      </c>
      <c r="W589" s="11" t="str">
        <f>TEXT(Table1_1[[#This Row],[OrderDate]],"MM")</f>
        <v>12</v>
      </c>
      <c r="X589" s="11"/>
    </row>
    <row r="590" spans="1:24" x14ac:dyDescent="0.25">
      <c r="A590" t="s">
        <v>552</v>
      </c>
      <c r="B590" s="2">
        <v>45450</v>
      </c>
      <c r="C590" s="2">
        <v>45452</v>
      </c>
      <c r="D590" t="s">
        <v>1413</v>
      </c>
      <c r="E590" s="10">
        <v>2</v>
      </c>
      <c r="F590" t="s">
        <v>1401</v>
      </c>
      <c r="G590" t="s">
        <v>642</v>
      </c>
      <c r="H590" t="s">
        <v>648</v>
      </c>
      <c r="I590" t="s">
        <v>673</v>
      </c>
      <c r="J590" t="s">
        <v>1215</v>
      </c>
      <c r="K590">
        <v>25</v>
      </c>
      <c r="L590" s="3">
        <v>1370.28</v>
      </c>
      <c r="M590" s="3">
        <v>2209.66</v>
      </c>
      <c r="N590" s="3" t="str">
        <f>IF(Table1_1[[#This Row],[UnitPrice]]&lt;=816.08,"low",IF(Table1_1[[#This Row],[UnitPrice]]&lt;=1640.06,"medium","high"))</f>
        <v>high</v>
      </c>
      <c r="O590" s="4">
        <v>0.13300000000000001</v>
      </c>
      <c r="P590" s="3">
        <v>47894.380499999999</v>
      </c>
      <c r="Q590" s="3">
        <v>34257</v>
      </c>
      <c r="R590" s="4">
        <v>0.284738634420796</v>
      </c>
      <c r="S590" t="s">
        <v>660</v>
      </c>
      <c r="T590" s="3">
        <v>13637.380499999999</v>
      </c>
      <c r="U590" t="s">
        <v>1436</v>
      </c>
      <c r="V590" s="13" t="str">
        <f>TEXT(Table1_1[[#This Row],[OrderDate]],"MM YYYY")</f>
        <v>06 2024</v>
      </c>
      <c r="W590" s="11" t="str">
        <f>TEXT(Table1_1[[#This Row],[OrderDate]],"MM")</f>
        <v>06</v>
      </c>
      <c r="X590" s="11"/>
    </row>
    <row r="591" spans="1:24" x14ac:dyDescent="0.25">
      <c r="A591" t="s">
        <v>640</v>
      </c>
      <c r="B591" s="2">
        <v>45249</v>
      </c>
      <c r="C591" s="2">
        <v>45279</v>
      </c>
      <c r="D591" t="s">
        <v>1413</v>
      </c>
      <c r="E591" s="10">
        <v>30</v>
      </c>
      <c r="F591" t="s">
        <v>1407</v>
      </c>
      <c r="G591" t="s">
        <v>645</v>
      </c>
      <c r="H591" t="s">
        <v>648</v>
      </c>
      <c r="I591" t="s">
        <v>671</v>
      </c>
      <c r="J591" t="s">
        <v>1303</v>
      </c>
      <c r="K591">
        <v>6</v>
      </c>
      <c r="L591" s="3">
        <v>807.11</v>
      </c>
      <c r="M591" s="3">
        <v>1853.86</v>
      </c>
      <c r="N591" s="3" t="str">
        <f>IF(Table1_1[[#This Row],[UnitPrice]]&lt;=816.08,"low",IF(Table1_1[[#This Row],[UnitPrice]]&lt;=1640.06,"medium","high"))</f>
        <v>high</v>
      </c>
      <c r="O591" s="4">
        <v>0.13900000000000001</v>
      </c>
      <c r="P591" s="3">
        <v>9577.0407599999999</v>
      </c>
      <c r="Q591" s="3">
        <v>4842.66</v>
      </c>
      <c r="R591" s="4">
        <v>0.494346936453886</v>
      </c>
      <c r="S591" t="s">
        <v>1366</v>
      </c>
      <c r="T591" s="3">
        <v>4734.38076</v>
      </c>
      <c r="U591" t="s">
        <v>1439</v>
      </c>
      <c r="V591" s="13" t="str">
        <f>TEXT(Table1_1[[#This Row],[OrderDate]],"MM YYYY")</f>
        <v>11 2023</v>
      </c>
      <c r="W591" s="11" t="str">
        <f>TEXT(Table1_1[[#This Row],[OrderDate]],"MM")</f>
        <v>11</v>
      </c>
      <c r="X591" s="11"/>
    </row>
    <row r="592" spans="1:24" x14ac:dyDescent="0.25">
      <c r="A592" t="s">
        <v>452</v>
      </c>
      <c r="B592" s="2">
        <v>45189</v>
      </c>
      <c r="C592" s="2">
        <v>45197</v>
      </c>
      <c r="D592" t="s">
        <v>1413</v>
      </c>
      <c r="E592" s="10">
        <v>8</v>
      </c>
      <c r="F592" t="s">
        <v>1423</v>
      </c>
      <c r="G592" t="s">
        <v>642</v>
      </c>
      <c r="H592" t="s">
        <v>1366</v>
      </c>
      <c r="I592" t="s">
        <v>674</v>
      </c>
      <c r="J592" t="s">
        <v>1116</v>
      </c>
      <c r="K592">
        <v>15</v>
      </c>
      <c r="L592" s="3">
        <v>1362.06</v>
      </c>
      <c r="M592" s="3">
        <v>3398.37</v>
      </c>
      <c r="N592" s="3" t="str">
        <f>IF(Table1_1[[#This Row],[UnitPrice]]&lt;=816.08,"low",IF(Table1_1[[#This Row],[UnitPrice]]&lt;=1640.06,"medium","high"))</f>
        <v>high</v>
      </c>
      <c r="O592" s="4">
        <v>0.157</v>
      </c>
      <c r="P592" s="3">
        <v>42972.388649999994</v>
      </c>
      <c r="Q592" s="3">
        <v>20430.899999999998</v>
      </c>
      <c r="R592" s="4">
        <v>0.52455749745714897</v>
      </c>
      <c r="S592" t="s">
        <v>658</v>
      </c>
      <c r="T592" s="3">
        <v>22541.488649999996</v>
      </c>
      <c r="U592" t="s">
        <v>1430</v>
      </c>
      <c r="V592" s="13" t="str">
        <f>TEXT(Table1_1[[#This Row],[OrderDate]],"MM YYYY")</f>
        <v>09 2023</v>
      </c>
      <c r="W592" s="11" t="str">
        <f>TEXT(Table1_1[[#This Row],[OrderDate]],"MM")</f>
        <v>09</v>
      </c>
      <c r="X592" s="11"/>
    </row>
    <row r="593" spans="1:24" x14ac:dyDescent="0.25">
      <c r="A593" t="s">
        <v>622</v>
      </c>
      <c r="B593" s="2">
        <v>45584</v>
      </c>
      <c r="C593" s="2">
        <v>45602</v>
      </c>
      <c r="D593" t="s">
        <v>1413</v>
      </c>
      <c r="E593" s="10">
        <v>18</v>
      </c>
      <c r="F593" t="s">
        <v>1422</v>
      </c>
      <c r="G593" t="s">
        <v>643</v>
      </c>
      <c r="H593" t="s">
        <v>1366</v>
      </c>
      <c r="I593" t="s">
        <v>673</v>
      </c>
      <c r="J593" t="s">
        <v>1285</v>
      </c>
      <c r="K593">
        <v>15</v>
      </c>
      <c r="L593" s="3">
        <v>942.02</v>
      </c>
      <c r="M593" s="3">
        <v>1028.46</v>
      </c>
      <c r="N593" s="3" t="str">
        <f>IF(Table1_1[[#This Row],[UnitPrice]]&lt;=816.08,"low",IF(Table1_1[[#This Row],[UnitPrice]]&lt;=1640.06,"medium","high"))</f>
        <v>medium</v>
      </c>
      <c r="O593" s="4">
        <v>0</v>
      </c>
      <c r="P593" s="3">
        <v>15426.900000000001</v>
      </c>
      <c r="Q593" s="3">
        <v>14130.3</v>
      </c>
      <c r="R593" s="4">
        <v>8.4047994088248604E-2</v>
      </c>
      <c r="S593" t="s">
        <v>653</v>
      </c>
      <c r="T593" s="3">
        <v>1296.6000000000022</v>
      </c>
      <c r="U593" t="s">
        <v>1440</v>
      </c>
      <c r="V593" s="13" t="str">
        <f>TEXT(Table1_1[[#This Row],[OrderDate]],"MM YYYY")</f>
        <v>10 2024</v>
      </c>
      <c r="W593" s="11" t="str">
        <f>TEXT(Table1_1[[#This Row],[OrderDate]],"MM")</f>
        <v>10</v>
      </c>
      <c r="X593" s="11"/>
    </row>
    <row r="594" spans="1:24" x14ac:dyDescent="0.25">
      <c r="A594" t="s">
        <v>44</v>
      </c>
      <c r="B594" s="2">
        <v>45400</v>
      </c>
      <c r="C594" s="2">
        <v>45420</v>
      </c>
      <c r="D594" t="s">
        <v>1413</v>
      </c>
      <c r="E594" s="10">
        <v>20</v>
      </c>
      <c r="F594" t="s">
        <v>1399</v>
      </c>
      <c r="G594" t="s">
        <v>644</v>
      </c>
      <c r="H594" t="s">
        <v>1366</v>
      </c>
      <c r="I594" t="s">
        <v>672</v>
      </c>
      <c r="J594" t="s">
        <v>708</v>
      </c>
      <c r="K594">
        <v>26</v>
      </c>
      <c r="L594" s="3">
        <v>645.33000000000004</v>
      </c>
      <c r="M594" s="3">
        <v>1321.85</v>
      </c>
      <c r="N594" s="3" t="str">
        <f>IF(Table1_1[[#This Row],[UnitPrice]]&lt;=816.08,"low",IF(Table1_1[[#This Row],[UnitPrice]]&lt;=1640.06,"medium","high"))</f>
        <v>medium</v>
      </c>
      <c r="O594" s="4">
        <v>0</v>
      </c>
      <c r="P594" s="3">
        <v>34368.1</v>
      </c>
      <c r="Q594" s="3">
        <v>16778.580000000002</v>
      </c>
      <c r="R594" s="4">
        <v>0.51179785906116404</v>
      </c>
      <c r="S594" t="s">
        <v>667</v>
      </c>
      <c r="T594" s="3">
        <v>17589.519999999997</v>
      </c>
      <c r="U594" t="s">
        <v>1436</v>
      </c>
      <c r="V594" s="13" t="str">
        <f>TEXT(Table1_1[[#This Row],[OrderDate]],"MM YYYY")</f>
        <v>04 2024</v>
      </c>
      <c r="W594" s="11" t="str">
        <f>TEXT(Table1_1[[#This Row],[OrderDate]],"MM")</f>
        <v>04</v>
      </c>
      <c r="X594" s="11"/>
    </row>
    <row r="595" spans="1:24" x14ac:dyDescent="0.25">
      <c r="A595" t="s">
        <v>197</v>
      </c>
      <c r="B595" s="2">
        <v>45670</v>
      </c>
      <c r="C595" s="2">
        <v>45696</v>
      </c>
      <c r="D595" t="s">
        <v>1413</v>
      </c>
      <c r="E595" s="10">
        <v>26</v>
      </c>
      <c r="F595" t="s">
        <v>1404</v>
      </c>
      <c r="G595" t="s">
        <v>644</v>
      </c>
      <c r="H595" t="s">
        <v>1366</v>
      </c>
      <c r="I595" t="s">
        <v>673</v>
      </c>
      <c r="J595" t="s">
        <v>861</v>
      </c>
      <c r="K595">
        <v>5</v>
      </c>
      <c r="L595" s="3">
        <v>594.74</v>
      </c>
      <c r="M595" s="3">
        <v>1020.69</v>
      </c>
      <c r="N595" s="3" t="str">
        <f>IF(Table1_1[[#This Row],[UnitPrice]]&lt;=816.08,"low",IF(Table1_1[[#This Row],[UnitPrice]]&lt;=1640.06,"medium","high"))</f>
        <v>medium</v>
      </c>
      <c r="O595" s="4">
        <v>0.21099999999999999</v>
      </c>
      <c r="P595" s="3">
        <v>4026.6220500000009</v>
      </c>
      <c r="Q595" s="3">
        <v>2973.7</v>
      </c>
      <c r="R595" s="4">
        <v>0.26149016146176401</v>
      </c>
      <c r="S595" t="s">
        <v>659</v>
      </c>
      <c r="T595" s="3">
        <v>1052.922050000001</v>
      </c>
      <c r="U595" t="s">
        <v>1434</v>
      </c>
      <c r="V595" s="13" t="str">
        <f>TEXT(Table1_1[[#This Row],[OrderDate]],"MM YYYY")</f>
        <v>01 2025</v>
      </c>
      <c r="W595" s="11" t="str">
        <f>TEXT(Table1_1[[#This Row],[OrderDate]],"MM")</f>
        <v>01</v>
      </c>
      <c r="X595" s="11"/>
    </row>
    <row r="596" spans="1:24" x14ac:dyDescent="0.25">
      <c r="A596" t="s">
        <v>473</v>
      </c>
      <c r="B596" s="2">
        <v>45757</v>
      </c>
      <c r="C596" s="2">
        <v>45766</v>
      </c>
      <c r="D596" t="s">
        <v>1413</v>
      </c>
      <c r="E596" s="10">
        <v>9</v>
      </c>
      <c r="F596" t="s">
        <v>1402</v>
      </c>
      <c r="G596" t="s">
        <v>647</v>
      </c>
      <c r="H596" t="s">
        <v>1366</v>
      </c>
      <c r="I596" t="s">
        <v>670</v>
      </c>
      <c r="J596" t="s">
        <v>1137</v>
      </c>
      <c r="K596">
        <v>13</v>
      </c>
      <c r="L596" s="3">
        <v>113.74</v>
      </c>
      <c r="M596" s="3">
        <v>165.7</v>
      </c>
      <c r="N596" s="3" t="str">
        <f>IF(Table1_1[[#This Row],[UnitPrice]]&lt;=816.08,"low",IF(Table1_1[[#This Row],[UnitPrice]]&lt;=1640.06,"medium","high"))</f>
        <v>low</v>
      </c>
      <c r="O596" s="4">
        <v>0.124</v>
      </c>
      <c r="P596" s="3">
        <v>1886.9915999999998</v>
      </c>
      <c r="Q596" s="3">
        <v>1478.62</v>
      </c>
      <c r="R596" s="4">
        <v>0.216414105923948</v>
      </c>
      <c r="S596" t="s">
        <v>656</v>
      </c>
      <c r="T596" s="3">
        <v>408.37159999999994</v>
      </c>
      <c r="U596" t="s">
        <v>1431</v>
      </c>
      <c r="V596" s="13" t="str">
        <f>TEXT(Table1_1[[#This Row],[OrderDate]],"MM YYYY")</f>
        <v>04 2025</v>
      </c>
      <c r="W596" s="11" t="str">
        <f>TEXT(Table1_1[[#This Row],[OrderDate]],"MM")</f>
        <v>04</v>
      </c>
      <c r="X596" s="11"/>
    </row>
    <row r="597" spans="1:24" x14ac:dyDescent="0.25">
      <c r="A597" t="s">
        <v>617</v>
      </c>
      <c r="B597" s="2">
        <v>45827</v>
      </c>
      <c r="C597" s="2">
        <v>45829</v>
      </c>
      <c r="D597" t="s">
        <v>1413</v>
      </c>
      <c r="E597" s="10">
        <v>2</v>
      </c>
      <c r="F597" t="s">
        <v>1398</v>
      </c>
      <c r="G597" t="s">
        <v>646</v>
      </c>
      <c r="H597" t="s">
        <v>1366</v>
      </c>
      <c r="I597" t="s">
        <v>671</v>
      </c>
      <c r="J597" t="s">
        <v>1280</v>
      </c>
      <c r="K597">
        <v>9</v>
      </c>
      <c r="L597" s="3">
        <v>1466.27</v>
      </c>
      <c r="M597" s="3">
        <v>3589.89</v>
      </c>
      <c r="N597" s="3" t="str">
        <f>IF(Table1_1[[#This Row],[UnitPrice]]&lt;=816.08,"low",IF(Table1_1[[#This Row],[UnitPrice]]&lt;=1640.06,"medium","high"))</f>
        <v>high</v>
      </c>
      <c r="O597" s="4">
        <v>9.7000000000000003E-2</v>
      </c>
      <c r="P597" s="3">
        <v>29175.036029999999</v>
      </c>
      <c r="Q597" s="3">
        <v>13196.43</v>
      </c>
      <c r="R597" s="4">
        <v>0.54768076425234202</v>
      </c>
      <c r="S597" t="s">
        <v>663</v>
      </c>
      <c r="T597" s="3">
        <v>15978.606029999999</v>
      </c>
      <c r="U597" t="s">
        <v>1431</v>
      </c>
      <c r="V597" s="13" t="str">
        <f>TEXT(Table1_1[[#This Row],[OrderDate]],"MM YYYY")</f>
        <v>06 2025</v>
      </c>
      <c r="W597" s="11" t="str">
        <f>TEXT(Table1_1[[#This Row],[OrderDate]],"MM")</f>
        <v>06</v>
      </c>
      <c r="X597" s="11"/>
    </row>
    <row r="598" spans="1:24" x14ac:dyDescent="0.25">
      <c r="A598" t="s">
        <v>311</v>
      </c>
      <c r="B598" s="2">
        <v>45204</v>
      </c>
      <c r="C598" s="2">
        <v>45230</v>
      </c>
      <c r="D598" t="s">
        <v>1413</v>
      </c>
      <c r="E598" s="10">
        <v>26</v>
      </c>
      <c r="F598" t="s">
        <v>1401</v>
      </c>
      <c r="G598" t="s">
        <v>645</v>
      </c>
      <c r="H598" t="s">
        <v>1366</v>
      </c>
      <c r="I598" t="s">
        <v>669</v>
      </c>
      <c r="J598" t="s">
        <v>976</v>
      </c>
      <c r="K598">
        <v>5</v>
      </c>
      <c r="L598" s="3">
        <v>649.91</v>
      </c>
      <c r="M598" s="3">
        <v>1360.12</v>
      </c>
      <c r="N598" s="3" t="str">
        <f>IF(Table1_1[[#This Row],[UnitPrice]]&lt;=816.08,"low",IF(Table1_1[[#This Row],[UnitPrice]]&lt;=1640.06,"medium","high"))</f>
        <v>medium</v>
      </c>
      <c r="O598" s="4">
        <v>0.19400000000000001</v>
      </c>
      <c r="P598" s="3">
        <v>5481.2835999999998</v>
      </c>
      <c r="Q598" s="3">
        <v>3249.5499999999997</v>
      </c>
      <c r="R598" s="4">
        <v>0.40715528749506802</v>
      </c>
      <c r="S598" t="s">
        <v>654</v>
      </c>
      <c r="T598" s="3">
        <v>2231.7336</v>
      </c>
      <c r="U598" t="s">
        <v>1439</v>
      </c>
      <c r="V598" s="13" t="str">
        <f>TEXT(Table1_1[[#This Row],[OrderDate]],"MM YYYY")</f>
        <v>10 2023</v>
      </c>
      <c r="W598" s="11" t="str">
        <f>TEXT(Table1_1[[#This Row],[OrderDate]],"MM")</f>
        <v>10</v>
      </c>
      <c r="X598" s="11"/>
    </row>
    <row r="599" spans="1:24" x14ac:dyDescent="0.25">
      <c r="A599" t="s">
        <v>98</v>
      </c>
      <c r="B599" s="2">
        <v>45876</v>
      </c>
      <c r="C599" s="2">
        <v>45888</v>
      </c>
      <c r="D599" t="s">
        <v>1413</v>
      </c>
      <c r="E599" s="10">
        <v>12</v>
      </c>
      <c r="F599" t="s">
        <v>1395</v>
      </c>
      <c r="G599" t="s">
        <v>642</v>
      </c>
      <c r="H599" t="s">
        <v>1366</v>
      </c>
      <c r="I599" t="s">
        <v>668</v>
      </c>
      <c r="J599" t="s">
        <v>762</v>
      </c>
      <c r="K599">
        <v>5</v>
      </c>
      <c r="L599" s="3">
        <v>601.51</v>
      </c>
      <c r="M599" s="3">
        <v>679.35</v>
      </c>
      <c r="N599" s="3" t="str">
        <f>IF(Table1_1[[#This Row],[UnitPrice]]&lt;=816.08,"low",IF(Table1_1[[#This Row],[UnitPrice]]&lt;=1640.06,"medium","high"))</f>
        <v>low</v>
      </c>
      <c r="O599" s="4">
        <v>0.188</v>
      </c>
      <c r="P599" s="3">
        <v>2758.1610000000001</v>
      </c>
      <c r="Q599" s="3">
        <v>3007.55</v>
      </c>
      <c r="R599" s="4">
        <v>-9.0418579626062506E-2</v>
      </c>
      <c r="S599" t="s">
        <v>665</v>
      </c>
      <c r="T599" s="3">
        <v>-249.38900000000012</v>
      </c>
      <c r="U599" t="s">
        <v>1438</v>
      </c>
      <c r="V599" s="13" t="str">
        <f>TEXT(Table1_1[[#This Row],[OrderDate]],"MM YYYY")</f>
        <v>08 2025</v>
      </c>
      <c r="W599" s="11" t="str">
        <f>TEXT(Table1_1[[#This Row],[OrderDate]],"MM")</f>
        <v>08</v>
      </c>
      <c r="X599" s="11"/>
    </row>
    <row r="600" spans="1:24" x14ac:dyDescent="0.25">
      <c r="A600" t="s">
        <v>593</v>
      </c>
      <c r="B600" s="2">
        <v>45539</v>
      </c>
      <c r="C600" s="2">
        <v>45541</v>
      </c>
      <c r="D600" t="s">
        <v>1413</v>
      </c>
      <c r="E600" s="10">
        <v>2</v>
      </c>
      <c r="F600" t="s">
        <v>1387</v>
      </c>
      <c r="G600" t="s">
        <v>642</v>
      </c>
      <c r="H600" t="s">
        <v>652</v>
      </c>
      <c r="I600" t="s">
        <v>672</v>
      </c>
      <c r="J600" t="s">
        <v>1256</v>
      </c>
      <c r="K600">
        <v>4</v>
      </c>
      <c r="L600" s="3">
        <v>1368.17</v>
      </c>
      <c r="M600" s="3">
        <v>2307.75</v>
      </c>
      <c r="N600" s="3" t="str">
        <f>IF(Table1_1[[#This Row],[UnitPrice]]&lt;=816.08,"low",IF(Table1_1[[#This Row],[UnitPrice]]&lt;=1640.06,"medium","high"))</f>
        <v>high</v>
      </c>
      <c r="O600" s="4">
        <v>0.16300000000000001</v>
      </c>
      <c r="P600" s="3">
        <v>7726.3469999999998</v>
      </c>
      <c r="Q600" s="3">
        <v>5472.68</v>
      </c>
      <c r="R600" s="4">
        <v>0.29168596750831899</v>
      </c>
      <c r="S600" t="s">
        <v>661</v>
      </c>
      <c r="T600" s="3">
        <v>2253.6669999999995</v>
      </c>
      <c r="U600" t="s">
        <v>1437</v>
      </c>
      <c r="V600" s="13" t="str">
        <f>TEXT(Table1_1[[#This Row],[OrderDate]],"MM YYYY")</f>
        <v>09 2024</v>
      </c>
      <c r="W600" s="11" t="str">
        <f>TEXT(Table1_1[[#This Row],[OrderDate]],"MM")</f>
        <v>09</v>
      </c>
      <c r="X600" s="11"/>
    </row>
    <row r="601" spans="1:24" x14ac:dyDescent="0.25">
      <c r="A601" t="s">
        <v>26</v>
      </c>
      <c r="B601" s="2">
        <v>45038</v>
      </c>
      <c r="C601" s="2">
        <v>45039</v>
      </c>
      <c r="D601" t="s">
        <v>1413</v>
      </c>
      <c r="E601" s="10">
        <v>1</v>
      </c>
      <c r="F601" t="s">
        <v>1385</v>
      </c>
      <c r="G601" t="s">
        <v>646</v>
      </c>
      <c r="H601" t="s">
        <v>652</v>
      </c>
      <c r="I601" t="s">
        <v>672</v>
      </c>
      <c r="J601" t="s">
        <v>690</v>
      </c>
      <c r="K601">
        <v>25</v>
      </c>
      <c r="L601" s="3">
        <v>756.51</v>
      </c>
      <c r="M601" s="3">
        <v>850.8</v>
      </c>
      <c r="N601" s="3" t="str">
        <f>IF(Table1_1[[#This Row],[UnitPrice]]&lt;=816.08,"low",IF(Table1_1[[#This Row],[UnitPrice]]&lt;=1640.06,"medium","high"))</f>
        <v>medium</v>
      </c>
      <c r="O601" s="4">
        <v>7.3999999999999996E-2</v>
      </c>
      <c r="P601" s="3">
        <v>19696.02</v>
      </c>
      <c r="Q601" s="3">
        <v>18912.75</v>
      </c>
      <c r="R601" s="4">
        <v>3.9767932810791197E-2</v>
      </c>
      <c r="S601" t="s">
        <v>659</v>
      </c>
      <c r="T601" s="3">
        <v>783.27000000000044</v>
      </c>
      <c r="U601" t="s">
        <v>1435</v>
      </c>
      <c r="V601" s="13" t="str">
        <f>TEXT(Table1_1[[#This Row],[OrderDate]],"MM YYYY")</f>
        <v>04 2023</v>
      </c>
      <c r="W601" s="11" t="str">
        <f>TEXT(Table1_1[[#This Row],[OrderDate]],"MM")</f>
        <v>04</v>
      </c>
      <c r="X601" s="11"/>
    </row>
    <row r="602" spans="1:24" x14ac:dyDescent="0.25">
      <c r="A602" t="s">
        <v>227</v>
      </c>
      <c r="B602" s="2">
        <v>44947</v>
      </c>
      <c r="C602" s="2">
        <v>44948</v>
      </c>
      <c r="D602" t="s">
        <v>1413</v>
      </c>
      <c r="E602" s="10">
        <v>1</v>
      </c>
      <c r="F602" t="s">
        <v>1400</v>
      </c>
      <c r="G602" t="s">
        <v>642</v>
      </c>
      <c r="H602" t="s">
        <v>652</v>
      </c>
      <c r="I602" t="s">
        <v>673</v>
      </c>
      <c r="J602" t="s">
        <v>892</v>
      </c>
      <c r="K602">
        <v>19</v>
      </c>
      <c r="L602" s="3">
        <v>150.86000000000001</v>
      </c>
      <c r="M602" s="3">
        <v>346.96</v>
      </c>
      <c r="N602" s="3" t="str">
        <f>IF(Table1_1[[#This Row],[UnitPrice]]&lt;=816.08,"low",IF(Table1_1[[#This Row],[UnitPrice]]&lt;=1640.06,"medium","high"))</f>
        <v>low</v>
      </c>
      <c r="O602" s="4">
        <v>0.19600000000000001</v>
      </c>
      <c r="P602" s="3">
        <v>5300.1609600000002</v>
      </c>
      <c r="Q602" s="3">
        <v>2866.34</v>
      </c>
      <c r="R602" s="4">
        <v>0.45919755614365299</v>
      </c>
      <c r="S602" t="s">
        <v>662</v>
      </c>
      <c r="T602" s="3">
        <v>2433.82096</v>
      </c>
      <c r="U602" t="s">
        <v>1432</v>
      </c>
      <c r="V602" s="13" t="str">
        <f>TEXT(Table1_1[[#This Row],[OrderDate]],"MM YYYY")</f>
        <v>01 2023</v>
      </c>
      <c r="W602" s="11" t="str">
        <f>TEXT(Table1_1[[#This Row],[OrderDate]],"MM")</f>
        <v>01</v>
      </c>
      <c r="X602" s="11"/>
    </row>
    <row r="603" spans="1:24" x14ac:dyDescent="0.25">
      <c r="A603" t="s">
        <v>503</v>
      </c>
      <c r="B603" s="2">
        <v>45351</v>
      </c>
      <c r="C603" s="2">
        <v>45352</v>
      </c>
      <c r="D603" t="s">
        <v>1413</v>
      </c>
      <c r="E603" s="10">
        <v>1</v>
      </c>
      <c r="F603" t="s">
        <v>1417</v>
      </c>
      <c r="G603" t="s">
        <v>644</v>
      </c>
      <c r="H603" t="s">
        <v>652</v>
      </c>
      <c r="I603" t="s">
        <v>671</v>
      </c>
      <c r="J603" t="s">
        <v>1167</v>
      </c>
      <c r="K603">
        <v>7</v>
      </c>
      <c r="L603" s="3">
        <v>5.34</v>
      </c>
      <c r="M603" s="3">
        <v>12.69</v>
      </c>
      <c r="N603" s="3" t="str">
        <f>IF(Table1_1[[#This Row],[UnitPrice]]&lt;=816.08,"low",IF(Table1_1[[#This Row],[UnitPrice]]&lt;=1640.06,"medium","high"))</f>
        <v>low</v>
      </c>
      <c r="O603" s="4">
        <v>0.13200000000000001</v>
      </c>
      <c r="P603" s="3">
        <v>77.104439999999997</v>
      </c>
      <c r="Q603" s="3">
        <v>37.379999999999995</v>
      </c>
      <c r="R603" s="4">
        <v>0.51520301554618697</v>
      </c>
      <c r="S603" t="s">
        <v>655</v>
      </c>
      <c r="T603" s="3">
        <v>39.724440000000001</v>
      </c>
      <c r="U603" t="s">
        <v>1433</v>
      </c>
      <c r="V603" s="13" t="str">
        <f>TEXT(Table1_1[[#This Row],[OrderDate]],"MM YYYY")</f>
        <v>02 2024</v>
      </c>
      <c r="W603" s="11" t="str">
        <f>TEXT(Table1_1[[#This Row],[OrderDate]],"MM")</f>
        <v>02</v>
      </c>
      <c r="X603" s="11"/>
    </row>
    <row r="604" spans="1:24" x14ac:dyDescent="0.25">
      <c r="A604" t="s">
        <v>31</v>
      </c>
      <c r="B604" s="2">
        <v>45497</v>
      </c>
      <c r="C604" s="2">
        <v>45498</v>
      </c>
      <c r="D604" t="s">
        <v>1413</v>
      </c>
      <c r="E604" s="10">
        <v>1</v>
      </c>
      <c r="F604" t="s">
        <v>1393</v>
      </c>
      <c r="G604" t="s">
        <v>644</v>
      </c>
      <c r="H604" t="s">
        <v>652</v>
      </c>
      <c r="I604" t="s">
        <v>672</v>
      </c>
      <c r="J604" t="s">
        <v>695</v>
      </c>
      <c r="K604">
        <v>2</v>
      </c>
      <c r="L604" s="3">
        <v>1494.4</v>
      </c>
      <c r="M604" s="3">
        <v>3661.07</v>
      </c>
      <c r="N604" s="3" t="str">
        <f>IF(Table1_1[[#This Row],[UnitPrice]]&lt;=816.08,"low",IF(Table1_1[[#This Row],[UnitPrice]]&lt;=1640.06,"medium","high"))</f>
        <v>high</v>
      </c>
      <c r="O604" s="4">
        <v>7.1999999999999995E-2</v>
      </c>
      <c r="P604" s="3">
        <v>6794.945920000001</v>
      </c>
      <c r="Q604" s="3">
        <v>2988.8</v>
      </c>
      <c r="R604" s="4">
        <v>0.56014366630897305</v>
      </c>
      <c r="S604" t="s">
        <v>654</v>
      </c>
      <c r="T604" s="3">
        <v>3806.1459200000008</v>
      </c>
      <c r="U604" t="s">
        <v>1437</v>
      </c>
      <c r="V604" s="13" t="str">
        <f>TEXT(Table1_1[[#This Row],[OrderDate]],"MM YYYY")</f>
        <v>07 2024</v>
      </c>
      <c r="W604" s="11" t="str">
        <f>TEXT(Table1_1[[#This Row],[OrderDate]],"MM")</f>
        <v>07</v>
      </c>
      <c r="X604" s="11"/>
    </row>
    <row r="605" spans="1:24" x14ac:dyDescent="0.25">
      <c r="A605" t="s">
        <v>634</v>
      </c>
      <c r="B605" s="2">
        <v>45140</v>
      </c>
      <c r="C605" s="2">
        <v>45141</v>
      </c>
      <c r="D605" t="s">
        <v>1413</v>
      </c>
      <c r="E605" s="10">
        <v>1</v>
      </c>
      <c r="F605" t="s">
        <v>1401</v>
      </c>
      <c r="G605" t="s">
        <v>644</v>
      </c>
      <c r="H605" t="s">
        <v>652</v>
      </c>
      <c r="I605" t="s">
        <v>670</v>
      </c>
      <c r="J605" t="s">
        <v>1297</v>
      </c>
      <c r="K605">
        <v>17</v>
      </c>
      <c r="L605" s="3">
        <v>1021.97</v>
      </c>
      <c r="M605" s="3">
        <v>2296.25</v>
      </c>
      <c r="N605" s="3" t="str">
        <f>IF(Table1_1[[#This Row],[UnitPrice]]&lt;=816.08,"low",IF(Table1_1[[#This Row],[UnitPrice]]&lt;=1640.06,"medium","high"))</f>
        <v>high</v>
      </c>
      <c r="O605" s="4">
        <v>0.161</v>
      </c>
      <c r="P605" s="3">
        <v>32751.41375</v>
      </c>
      <c r="Q605" s="3">
        <v>17373.490000000002</v>
      </c>
      <c r="R605" s="4">
        <v>0.46953465482081702</v>
      </c>
      <c r="S605" t="s">
        <v>654</v>
      </c>
      <c r="T605" s="3">
        <v>15377.923749999998</v>
      </c>
      <c r="U605" t="s">
        <v>1430</v>
      </c>
      <c r="V605" s="13" t="str">
        <f>TEXT(Table1_1[[#This Row],[OrderDate]],"MM YYYY")</f>
        <v>08 2023</v>
      </c>
      <c r="W605" s="11" t="str">
        <f>TEXT(Table1_1[[#This Row],[OrderDate]],"MM")</f>
        <v>08</v>
      </c>
      <c r="X605" s="11"/>
    </row>
    <row r="606" spans="1:24" x14ac:dyDescent="0.25">
      <c r="A606" t="s">
        <v>88</v>
      </c>
      <c r="B606" s="2">
        <v>45471</v>
      </c>
      <c r="C606" s="2">
        <v>45473</v>
      </c>
      <c r="D606" t="s">
        <v>1413</v>
      </c>
      <c r="E606" s="10">
        <v>2</v>
      </c>
      <c r="F606" t="s">
        <v>1421</v>
      </c>
      <c r="G606" t="s">
        <v>646</v>
      </c>
      <c r="H606" t="s">
        <v>652</v>
      </c>
      <c r="I606" t="s">
        <v>674</v>
      </c>
      <c r="J606" t="s">
        <v>752</v>
      </c>
      <c r="K606">
        <v>7</v>
      </c>
      <c r="L606" s="3">
        <v>1112.98</v>
      </c>
      <c r="M606" s="3">
        <v>2095.73</v>
      </c>
      <c r="N606" s="3" t="str">
        <f>IF(Table1_1[[#This Row],[UnitPrice]]&lt;=816.08,"low",IF(Table1_1[[#This Row],[UnitPrice]]&lt;=1640.06,"medium","high"))</f>
        <v>high</v>
      </c>
      <c r="O606" s="4">
        <v>7.1999999999999995E-2</v>
      </c>
      <c r="P606" s="3">
        <v>13613.862080000001</v>
      </c>
      <c r="Q606" s="3">
        <v>7790.8600000000006</v>
      </c>
      <c r="R606" s="4">
        <v>0.42772594916724799</v>
      </c>
      <c r="S606" t="s">
        <v>657</v>
      </c>
      <c r="T606" s="3">
        <v>5823.0020800000002</v>
      </c>
      <c r="U606" t="s">
        <v>1436</v>
      </c>
      <c r="V606" s="13" t="str">
        <f>TEXT(Table1_1[[#This Row],[OrderDate]],"MM YYYY")</f>
        <v>06 2024</v>
      </c>
      <c r="W606" s="11" t="str">
        <f>TEXT(Table1_1[[#This Row],[OrderDate]],"MM")</f>
        <v>06</v>
      </c>
      <c r="X606" s="11"/>
    </row>
    <row r="607" spans="1:24" x14ac:dyDescent="0.25">
      <c r="A607" t="s">
        <v>447</v>
      </c>
      <c r="B607" s="2">
        <v>45035</v>
      </c>
      <c r="C607" s="2">
        <v>45037</v>
      </c>
      <c r="D607" t="s">
        <v>1413</v>
      </c>
      <c r="E607" s="10">
        <v>2</v>
      </c>
      <c r="F607" t="s">
        <v>1407</v>
      </c>
      <c r="G607" t="s">
        <v>646</v>
      </c>
      <c r="H607" t="s">
        <v>652</v>
      </c>
      <c r="I607" t="s">
        <v>668</v>
      </c>
      <c r="J607" t="s">
        <v>1111</v>
      </c>
      <c r="K607">
        <v>13</v>
      </c>
      <c r="L607" s="3">
        <v>607.04</v>
      </c>
      <c r="M607" s="3">
        <v>1229.3399999999999</v>
      </c>
      <c r="N607" s="3" t="str">
        <f>IF(Table1_1[[#This Row],[UnitPrice]]&lt;=816.08,"low",IF(Table1_1[[#This Row],[UnitPrice]]&lt;=1640.06,"medium","high"))</f>
        <v>medium</v>
      </c>
      <c r="O607" s="4">
        <v>0.14699999999999999</v>
      </c>
      <c r="P607" s="3">
        <v>13632.151259999999</v>
      </c>
      <c r="Q607" s="3">
        <v>7891.5199999999995</v>
      </c>
      <c r="R607" s="4">
        <v>0.42110970972310102</v>
      </c>
      <c r="S607" t="s">
        <v>665</v>
      </c>
      <c r="T607" s="3">
        <v>5740.6312599999992</v>
      </c>
      <c r="U607" t="s">
        <v>1435</v>
      </c>
      <c r="V607" s="13" t="str">
        <f>TEXT(Table1_1[[#This Row],[OrderDate]],"MM YYYY")</f>
        <v>04 2023</v>
      </c>
      <c r="W607" s="11" t="str">
        <f>TEXT(Table1_1[[#This Row],[OrderDate]],"MM")</f>
        <v>04</v>
      </c>
      <c r="X607" s="11"/>
    </row>
    <row r="608" spans="1:24" x14ac:dyDescent="0.25">
      <c r="A608" t="s">
        <v>609</v>
      </c>
      <c r="B608" s="2">
        <v>45519</v>
      </c>
      <c r="C608" s="2">
        <v>45521</v>
      </c>
      <c r="D608" t="s">
        <v>1413</v>
      </c>
      <c r="E608" s="10">
        <v>2</v>
      </c>
      <c r="F608" t="s">
        <v>1421</v>
      </c>
      <c r="G608" t="s">
        <v>645</v>
      </c>
      <c r="H608" t="s">
        <v>652</v>
      </c>
      <c r="I608" t="s">
        <v>673</v>
      </c>
      <c r="J608" t="s">
        <v>1272</v>
      </c>
      <c r="K608">
        <v>11</v>
      </c>
      <c r="L608" s="3">
        <v>165.3</v>
      </c>
      <c r="M608" s="3">
        <v>275.07</v>
      </c>
      <c r="N608" s="3" t="str">
        <f>IF(Table1_1[[#This Row],[UnitPrice]]&lt;=816.08,"low",IF(Table1_1[[#This Row],[UnitPrice]]&lt;=1640.06,"medium","high"))</f>
        <v>low</v>
      </c>
      <c r="O608" s="4">
        <v>0.13300000000000001</v>
      </c>
      <c r="P608" s="3">
        <v>2623.3425899999997</v>
      </c>
      <c r="Q608" s="3">
        <v>1818.3000000000002</v>
      </c>
      <c r="R608" s="4">
        <v>0.30687665159280603</v>
      </c>
      <c r="S608" t="s">
        <v>665</v>
      </c>
      <c r="T608" s="3">
        <v>805.04258999999956</v>
      </c>
      <c r="U608" t="s">
        <v>1437</v>
      </c>
      <c r="V608" s="13" t="str">
        <f>TEXT(Table1_1[[#This Row],[OrderDate]],"MM YYYY")</f>
        <v>08 2024</v>
      </c>
      <c r="W608" s="11" t="str">
        <f>TEXT(Table1_1[[#This Row],[OrderDate]],"MM")</f>
        <v>08</v>
      </c>
      <c r="X608" s="11"/>
    </row>
    <row r="609" spans="1:24" x14ac:dyDescent="0.25">
      <c r="A609" t="s">
        <v>619</v>
      </c>
      <c r="B609" s="2">
        <v>45318</v>
      </c>
      <c r="C609" s="2">
        <v>45319</v>
      </c>
      <c r="D609" t="s">
        <v>1413</v>
      </c>
      <c r="E609" s="10">
        <v>1</v>
      </c>
      <c r="F609" t="s">
        <v>1408</v>
      </c>
      <c r="G609" t="s">
        <v>647</v>
      </c>
      <c r="H609" t="s">
        <v>652</v>
      </c>
      <c r="I609" t="s">
        <v>668</v>
      </c>
      <c r="J609" t="s">
        <v>1282</v>
      </c>
      <c r="K609">
        <v>9</v>
      </c>
      <c r="L609" s="3">
        <v>109.75</v>
      </c>
      <c r="M609" s="3">
        <v>124.25</v>
      </c>
      <c r="N609" s="3" t="str">
        <f>IF(Table1_1[[#This Row],[UnitPrice]]&lt;=816.08,"low",IF(Table1_1[[#This Row],[UnitPrice]]&lt;=1640.06,"medium","high"))</f>
        <v>low</v>
      </c>
      <c r="O609" s="4">
        <v>0.12</v>
      </c>
      <c r="P609" s="3">
        <v>984.06000000000006</v>
      </c>
      <c r="Q609" s="3">
        <v>987.75</v>
      </c>
      <c r="R609" s="4">
        <v>-3.7497713554051001E-3</v>
      </c>
      <c r="S609" t="s">
        <v>660</v>
      </c>
      <c r="T609" s="3">
        <v>-3.6899999999999409</v>
      </c>
      <c r="U609" t="s">
        <v>1433</v>
      </c>
      <c r="V609" s="13" t="str">
        <f>TEXT(Table1_1[[#This Row],[OrderDate]],"MM YYYY")</f>
        <v>01 2024</v>
      </c>
      <c r="W609" s="11" t="str">
        <f>TEXT(Table1_1[[#This Row],[OrderDate]],"MM")</f>
        <v>01</v>
      </c>
      <c r="X609" s="11"/>
    </row>
    <row r="610" spans="1:24" x14ac:dyDescent="0.25">
      <c r="A610" t="s">
        <v>85</v>
      </c>
      <c r="B610" s="2">
        <v>45064</v>
      </c>
      <c r="C610" s="2">
        <v>45066</v>
      </c>
      <c r="D610" t="s">
        <v>1413</v>
      </c>
      <c r="E610" s="10">
        <v>2</v>
      </c>
      <c r="F610" t="s">
        <v>1402</v>
      </c>
      <c r="G610" t="s">
        <v>642</v>
      </c>
      <c r="H610" t="s">
        <v>651</v>
      </c>
      <c r="I610" t="s">
        <v>668</v>
      </c>
      <c r="J610" t="s">
        <v>749</v>
      </c>
      <c r="K610">
        <v>14</v>
      </c>
      <c r="L610" s="3">
        <v>917.88</v>
      </c>
      <c r="M610" s="3">
        <v>1347.92</v>
      </c>
      <c r="N610" s="3" t="str">
        <f>IF(Table1_1[[#This Row],[UnitPrice]]&lt;=816.08,"low",IF(Table1_1[[#This Row],[UnitPrice]]&lt;=1640.06,"medium","high"))</f>
        <v>medium</v>
      </c>
      <c r="O610" s="4">
        <v>0.34300000000000003</v>
      </c>
      <c r="P610" s="3">
        <v>12398.168160000001</v>
      </c>
      <c r="Q610" s="3">
        <v>12850.32</v>
      </c>
      <c r="R610" s="4">
        <v>-3.64692456308802E-2</v>
      </c>
      <c r="S610" t="s">
        <v>661</v>
      </c>
      <c r="T610" s="3">
        <v>-452.15183999999863</v>
      </c>
      <c r="U610" t="s">
        <v>1435</v>
      </c>
      <c r="V610" s="13" t="str">
        <f>TEXT(Table1_1[[#This Row],[OrderDate]],"MM YYYY")</f>
        <v>05 2023</v>
      </c>
      <c r="W610" s="11" t="str">
        <f>TEXT(Table1_1[[#This Row],[OrderDate]],"MM")</f>
        <v>05</v>
      </c>
      <c r="X610" s="11"/>
    </row>
    <row r="611" spans="1:24" x14ac:dyDescent="0.25">
      <c r="A611" t="s">
        <v>94</v>
      </c>
      <c r="B611" s="2">
        <v>45769</v>
      </c>
      <c r="C611" s="2">
        <v>45770</v>
      </c>
      <c r="D611" t="s">
        <v>1413</v>
      </c>
      <c r="E611" s="10">
        <v>1</v>
      </c>
      <c r="F611" t="s">
        <v>1419</v>
      </c>
      <c r="G611" t="s">
        <v>644</v>
      </c>
      <c r="H611" t="s">
        <v>651</v>
      </c>
      <c r="I611" t="s">
        <v>673</v>
      </c>
      <c r="J611" t="s">
        <v>758</v>
      </c>
      <c r="K611">
        <v>19</v>
      </c>
      <c r="L611" s="3">
        <v>23.24</v>
      </c>
      <c r="M611" s="3">
        <v>44.57</v>
      </c>
      <c r="N611" s="3" t="str">
        <f>IF(Table1_1[[#This Row],[UnitPrice]]&lt;=816.08,"low",IF(Table1_1[[#This Row],[UnitPrice]]&lt;=1640.06,"medium","high"))</f>
        <v>low</v>
      </c>
      <c r="O611" s="4">
        <v>0.215</v>
      </c>
      <c r="P611" s="3">
        <v>664.76155000000006</v>
      </c>
      <c r="Q611" s="3">
        <v>441.55999999999995</v>
      </c>
      <c r="R611" s="4">
        <v>0.335761823168022</v>
      </c>
      <c r="S611" t="s">
        <v>667</v>
      </c>
      <c r="T611" s="3">
        <v>223.20155000000011</v>
      </c>
      <c r="U611" t="s">
        <v>1431</v>
      </c>
      <c r="V611" s="13" t="str">
        <f>TEXT(Table1_1[[#This Row],[OrderDate]],"MM YYYY")</f>
        <v>04 2025</v>
      </c>
      <c r="W611" s="11" t="str">
        <f>TEXT(Table1_1[[#This Row],[OrderDate]],"MM")</f>
        <v>04</v>
      </c>
      <c r="X611" s="11"/>
    </row>
    <row r="612" spans="1:24" x14ac:dyDescent="0.25">
      <c r="A612" t="s">
        <v>460</v>
      </c>
      <c r="B612" s="2">
        <v>45128</v>
      </c>
      <c r="C612" s="2">
        <v>45129</v>
      </c>
      <c r="D612" t="s">
        <v>1413</v>
      </c>
      <c r="E612" s="10">
        <v>1</v>
      </c>
      <c r="F612" t="s">
        <v>1397</v>
      </c>
      <c r="G612" t="s">
        <v>646</v>
      </c>
      <c r="H612" t="s">
        <v>651</v>
      </c>
      <c r="I612" t="s">
        <v>669</v>
      </c>
      <c r="J612" t="s">
        <v>1124</v>
      </c>
      <c r="K612">
        <v>8</v>
      </c>
      <c r="L612" s="3">
        <v>946.99</v>
      </c>
      <c r="M612" s="3">
        <v>2132.19</v>
      </c>
      <c r="N612" s="3" t="str">
        <f>IF(Table1_1[[#This Row],[UnitPrice]]&lt;=816.08,"low",IF(Table1_1[[#This Row],[UnitPrice]]&lt;=1640.06,"medium","high"))</f>
        <v>high</v>
      </c>
      <c r="O612" s="4">
        <v>0.16500000000000001</v>
      </c>
      <c r="P612" s="3">
        <v>14243.029199999999</v>
      </c>
      <c r="Q612" s="3">
        <v>7575.92</v>
      </c>
      <c r="R612" s="4">
        <v>0.468096295133622</v>
      </c>
      <c r="S612" t="s">
        <v>659</v>
      </c>
      <c r="T612" s="3">
        <v>6667.109199999999</v>
      </c>
      <c r="U612" t="s">
        <v>1430</v>
      </c>
      <c r="V612" s="13" t="str">
        <f>TEXT(Table1_1[[#This Row],[OrderDate]],"MM YYYY")</f>
        <v>07 2023</v>
      </c>
      <c r="W612" s="11" t="str">
        <f>TEXT(Table1_1[[#This Row],[OrderDate]],"MM")</f>
        <v>07</v>
      </c>
      <c r="X612" s="11"/>
    </row>
    <row r="613" spans="1:24" x14ac:dyDescent="0.25">
      <c r="A613" t="s">
        <v>567</v>
      </c>
      <c r="B613" s="2">
        <v>45789</v>
      </c>
      <c r="C613" s="2">
        <v>45791</v>
      </c>
      <c r="D613" t="s">
        <v>1413</v>
      </c>
      <c r="E613" s="10">
        <v>2</v>
      </c>
      <c r="F613" t="s">
        <v>1415</v>
      </c>
      <c r="G613" t="s">
        <v>644</v>
      </c>
      <c r="H613" t="s">
        <v>651</v>
      </c>
      <c r="I613" t="s">
        <v>669</v>
      </c>
      <c r="J613" t="s">
        <v>1230</v>
      </c>
      <c r="K613">
        <v>14</v>
      </c>
      <c r="L613" s="3">
        <v>883.5</v>
      </c>
      <c r="M613" s="3">
        <v>1978.91</v>
      </c>
      <c r="N613" s="3" t="str">
        <f>IF(Table1_1[[#This Row],[UnitPrice]]&lt;=816.08,"low",IF(Table1_1[[#This Row],[UnitPrice]]&lt;=1640.06,"medium","high"))</f>
        <v>high</v>
      </c>
      <c r="O613" s="4">
        <v>5.3999999999999999E-2</v>
      </c>
      <c r="P613" s="3">
        <v>26208.68404</v>
      </c>
      <c r="Q613" s="3">
        <v>12369</v>
      </c>
      <c r="R613" s="4">
        <v>0.52805718970390603</v>
      </c>
      <c r="S613" t="s">
        <v>662</v>
      </c>
      <c r="T613" s="3">
        <v>13839.68404</v>
      </c>
      <c r="U613" t="s">
        <v>1431</v>
      </c>
      <c r="V613" s="13" t="str">
        <f>TEXT(Table1_1[[#This Row],[OrderDate]],"MM YYYY")</f>
        <v>05 2025</v>
      </c>
      <c r="W613" s="11" t="str">
        <f>TEXT(Table1_1[[#This Row],[OrderDate]],"MM")</f>
        <v>05</v>
      </c>
      <c r="X613" s="11"/>
    </row>
    <row r="614" spans="1:24" x14ac:dyDescent="0.25">
      <c r="A614" t="s">
        <v>338</v>
      </c>
      <c r="B614" s="2">
        <v>45794</v>
      </c>
      <c r="C614" s="2">
        <v>45796</v>
      </c>
      <c r="D614" t="s">
        <v>1413</v>
      </c>
      <c r="E614" s="10">
        <v>2</v>
      </c>
      <c r="F614" t="s">
        <v>1417</v>
      </c>
      <c r="G614" t="s">
        <v>646</v>
      </c>
      <c r="H614" t="s">
        <v>651</v>
      </c>
      <c r="I614" t="s">
        <v>673</v>
      </c>
      <c r="J614" t="s">
        <v>1003</v>
      </c>
      <c r="K614">
        <v>9</v>
      </c>
      <c r="L614" s="3">
        <v>383.77</v>
      </c>
      <c r="M614" s="3">
        <v>952.56</v>
      </c>
      <c r="N614" s="3" t="str">
        <f>IF(Table1_1[[#This Row],[UnitPrice]]&lt;=816.08,"low",IF(Table1_1[[#This Row],[UnitPrice]]&lt;=1640.06,"medium","high"))</f>
        <v>medium</v>
      </c>
      <c r="O614" s="4">
        <v>0.34599999999999997</v>
      </c>
      <c r="P614" s="3">
        <v>5606.7681599999996</v>
      </c>
      <c r="Q614" s="3">
        <v>3453.93</v>
      </c>
      <c r="R614" s="4">
        <v>0.383971317979376</v>
      </c>
      <c r="S614" t="s">
        <v>657</v>
      </c>
      <c r="T614" s="3">
        <v>2152.8381599999998</v>
      </c>
      <c r="U614" t="s">
        <v>1431</v>
      </c>
      <c r="V614" s="13" t="str">
        <f>TEXT(Table1_1[[#This Row],[OrderDate]],"MM YYYY")</f>
        <v>05 2025</v>
      </c>
      <c r="W614" s="11" t="str">
        <f>TEXT(Table1_1[[#This Row],[OrderDate]],"MM")</f>
        <v>05</v>
      </c>
      <c r="X614" s="11"/>
    </row>
    <row r="615" spans="1:24" x14ac:dyDescent="0.25">
      <c r="A615" t="s">
        <v>511</v>
      </c>
      <c r="B615" s="2">
        <v>45406</v>
      </c>
      <c r="C615" s="2">
        <v>45408</v>
      </c>
      <c r="D615" t="s">
        <v>1413</v>
      </c>
      <c r="E615" s="10">
        <v>2</v>
      </c>
      <c r="F615" t="s">
        <v>1399</v>
      </c>
      <c r="G615" t="s">
        <v>644</v>
      </c>
      <c r="H615" t="s">
        <v>651</v>
      </c>
      <c r="I615" t="s">
        <v>671</v>
      </c>
      <c r="J615" t="s">
        <v>1175</v>
      </c>
      <c r="K615">
        <v>26</v>
      </c>
      <c r="L615" s="3">
        <v>1232.77</v>
      </c>
      <c r="M615" s="3">
        <v>891.73</v>
      </c>
      <c r="N615" s="3" t="str">
        <f>IF(Table1_1[[#This Row],[UnitPrice]]&lt;=816.08,"low",IF(Table1_1[[#This Row],[UnitPrice]]&lt;=1640.06,"medium","high"))</f>
        <v>medium</v>
      </c>
      <c r="O615" s="4">
        <v>0.16700000000000001</v>
      </c>
      <c r="P615" s="3">
        <v>19313.088339999998</v>
      </c>
      <c r="Q615" s="3">
        <v>32052.02</v>
      </c>
      <c r="R615" s="4">
        <v>-0.65960096260813805</v>
      </c>
      <c r="S615" t="s">
        <v>666</v>
      </c>
      <c r="T615" s="3">
        <v>-12738.931660000002</v>
      </c>
      <c r="U615" t="s">
        <v>1436</v>
      </c>
      <c r="V615" s="13" t="str">
        <f>TEXT(Table1_1[[#This Row],[OrderDate]],"MM YYYY")</f>
        <v>04 2024</v>
      </c>
      <c r="W615" s="11" t="str">
        <f>TEXT(Table1_1[[#This Row],[OrderDate]],"MM")</f>
        <v>04</v>
      </c>
      <c r="X615" s="11"/>
    </row>
    <row r="616" spans="1:24" x14ac:dyDescent="0.25">
      <c r="A616" t="s">
        <v>184</v>
      </c>
      <c r="B616" s="2">
        <v>45796</v>
      </c>
      <c r="C616" s="2">
        <v>45798</v>
      </c>
      <c r="D616" t="s">
        <v>1413</v>
      </c>
      <c r="E616" s="10">
        <v>2</v>
      </c>
      <c r="F616" t="s">
        <v>1398</v>
      </c>
      <c r="G616" t="s">
        <v>644</v>
      </c>
      <c r="H616" t="s">
        <v>651</v>
      </c>
      <c r="I616" t="s">
        <v>672</v>
      </c>
      <c r="J616" t="s">
        <v>848</v>
      </c>
      <c r="K616">
        <v>8</v>
      </c>
      <c r="L616" s="3">
        <v>1263.8399999999999</v>
      </c>
      <c r="M616" s="3">
        <v>2281.7199999999998</v>
      </c>
      <c r="N616" s="3" t="str">
        <f>IF(Table1_1[[#This Row],[UnitPrice]]&lt;=816.08,"low",IF(Table1_1[[#This Row],[UnitPrice]]&lt;=1640.06,"medium","high"))</f>
        <v>high</v>
      </c>
      <c r="O616" s="4">
        <v>7.8E-2</v>
      </c>
      <c r="P616" s="3">
        <v>16829.96672</v>
      </c>
      <c r="Q616" s="3">
        <v>10110.719999999999</v>
      </c>
      <c r="R616" s="4">
        <v>0.399243018823985</v>
      </c>
      <c r="S616" t="s">
        <v>660</v>
      </c>
      <c r="T616" s="3">
        <v>6719.246720000001</v>
      </c>
      <c r="U616" t="s">
        <v>1431</v>
      </c>
      <c r="V616" s="13" t="str">
        <f>TEXT(Table1_1[[#This Row],[OrderDate]],"MM YYYY")</f>
        <v>05 2025</v>
      </c>
      <c r="W616" s="11" t="str">
        <f>TEXT(Table1_1[[#This Row],[OrderDate]],"MM")</f>
        <v>05</v>
      </c>
      <c r="X616" s="11"/>
    </row>
    <row r="617" spans="1:24" x14ac:dyDescent="0.25">
      <c r="A617" t="s">
        <v>277</v>
      </c>
      <c r="B617" s="2">
        <v>45051</v>
      </c>
      <c r="C617" s="2">
        <v>45053</v>
      </c>
      <c r="D617" t="s">
        <v>1413</v>
      </c>
      <c r="E617" s="10">
        <v>2</v>
      </c>
      <c r="F617" t="s">
        <v>1384</v>
      </c>
      <c r="G617" t="s">
        <v>644</v>
      </c>
      <c r="H617" t="s">
        <v>650</v>
      </c>
      <c r="I617" t="s">
        <v>668</v>
      </c>
      <c r="J617" t="s">
        <v>942</v>
      </c>
      <c r="K617">
        <v>6</v>
      </c>
      <c r="L617" s="3">
        <v>1269.6500000000001</v>
      </c>
      <c r="M617" s="3">
        <v>2462.77</v>
      </c>
      <c r="N617" s="3" t="str">
        <f>IF(Table1_1[[#This Row],[UnitPrice]]&lt;=816.08,"low",IF(Table1_1[[#This Row],[UnitPrice]]&lt;=1640.06,"medium","high"))</f>
        <v>high</v>
      </c>
      <c r="O617" s="4">
        <v>0.107</v>
      </c>
      <c r="P617" s="3">
        <v>13195.521659999999</v>
      </c>
      <c r="Q617" s="3">
        <v>7617.9000000000005</v>
      </c>
      <c r="R617" s="4">
        <v>0.42269050089225502</v>
      </c>
      <c r="S617" t="s">
        <v>661</v>
      </c>
      <c r="T617" s="3">
        <v>5577.621659999998</v>
      </c>
      <c r="U617" t="s">
        <v>1435</v>
      </c>
      <c r="V617" s="13" t="str">
        <f>TEXT(Table1_1[[#This Row],[OrderDate]],"MM YYYY")</f>
        <v>05 2023</v>
      </c>
      <c r="W617" s="11" t="str">
        <f>TEXT(Table1_1[[#This Row],[OrderDate]],"MM")</f>
        <v>05</v>
      </c>
      <c r="X617" s="11"/>
    </row>
    <row r="618" spans="1:24" x14ac:dyDescent="0.25">
      <c r="A618" t="s">
        <v>331</v>
      </c>
      <c r="B618" s="2">
        <v>45292</v>
      </c>
      <c r="C618" s="2">
        <v>45293</v>
      </c>
      <c r="D618" t="s">
        <v>1413</v>
      </c>
      <c r="E618" s="10">
        <v>1</v>
      </c>
      <c r="F618" t="s">
        <v>1422</v>
      </c>
      <c r="G618" t="s">
        <v>643</v>
      </c>
      <c r="H618" t="s">
        <v>650</v>
      </c>
      <c r="I618" t="s">
        <v>670</v>
      </c>
      <c r="J618" t="s">
        <v>996</v>
      </c>
      <c r="K618">
        <v>12</v>
      </c>
      <c r="L618" s="3">
        <v>404.77</v>
      </c>
      <c r="M618" s="3">
        <v>433.88</v>
      </c>
      <c r="N618" s="3" t="str">
        <f>IF(Table1_1[[#This Row],[UnitPrice]]&lt;=816.08,"low",IF(Table1_1[[#This Row],[UnitPrice]]&lt;=1640.06,"medium","high"))</f>
        <v>low</v>
      </c>
      <c r="O618" s="4">
        <v>0.215</v>
      </c>
      <c r="P618" s="3">
        <v>4087.1495999999997</v>
      </c>
      <c r="Q618" s="3">
        <v>4857.24</v>
      </c>
      <c r="R618" s="4">
        <v>-0.18841747314558799</v>
      </c>
      <c r="S618" t="s">
        <v>658</v>
      </c>
      <c r="T618" s="3">
        <v>-770.09040000000005</v>
      </c>
      <c r="U618" t="s">
        <v>1433</v>
      </c>
      <c r="V618" s="13" t="str">
        <f>TEXT(Table1_1[[#This Row],[OrderDate]],"MM YYYY")</f>
        <v>01 2024</v>
      </c>
      <c r="W618" s="11" t="str">
        <f>TEXT(Table1_1[[#This Row],[OrderDate]],"MM")</f>
        <v>01</v>
      </c>
      <c r="X618" s="11"/>
    </row>
    <row r="619" spans="1:24" x14ac:dyDescent="0.25">
      <c r="A619" t="s">
        <v>156</v>
      </c>
      <c r="B619" s="2">
        <v>45259</v>
      </c>
      <c r="C619" s="2">
        <v>45260</v>
      </c>
      <c r="D619" t="s">
        <v>1413</v>
      </c>
      <c r="E619" s="10">
        <v>1</v>
      </c>
      <c r="F619" t="s">
        <v>1402</v>
      </c>
      <c r="G619" t="s">
        <v>646</v>
      </c>
      <c r="H619" t="s">
        <v>650</v>
      </c>
      <c r="I619" t="s">
        <v>672</v>
      </c>
      <c r="J619" t="s">
        <v>820</v>
      </c>
      <c r="K619">
        <v>28</v>
      </c>
      <c r="L619" s="3">
        <v>275.56</v>
      </c>
      <c r="M619" s="3">
        <v>630.72</v>
      </c>
      <c r="N619" s="3" t="str">
        <f>IF(Table1_1[[#This Row],[UnitPrice]]&lt;=816.08,"low",IF(Table1_1[[#This Row],[UnitPrice]]&lt;=1640.06,"medium","high"))</f>
        <v>low</v>
      </c>
      <c r="O619" s="4">
        <v>0.107</v>
      </c>
      <c r="P619" s="3">
        <v>15770.52288</v>
      </c>
      <c r="Q619" s="3">
        <v>7715.68</v>
      </c>
      <c r="R619" s="4">
        <v>0.51075306388319297</v>
      </c>
      <c r="S619" t="s">
        <v>659</v>
      </c>
      <c r="T619" s="3">
        <v>8054.8428800000002</v>
      </c>
      <c r="U619" t="s">
        <v>1439</v>
      </c>
      <c r="V619" s="13" t="str">
        <f>TEXT(Table1_1[[#This Row],[OrderDate]],"MM YYYY")</f>
        <v>11 2023</v>
      </c>
      <c r="W619" s="11" t="str">
        <f>TEXT(Table1_1[[#This Row],[OrderDate]],"MM")</f>
        <v>11</v>
      </c>
      <c r="X619" s="11"/>
    </row>
    <row r="620" spans="1:24" x14ac:dyDescent="0.25">
      <c r="A620" t="s">
        <v>354</v>
      </c>
      <c r="B620" s="2">
        <v>45485</v>
      </c>
      <c r="C620" s="2">
        <v>45486</v>
      </c>
      <c r="D620" t="s">
        <v>1413</v>
      </c>
      <c r="E620" s="10">
        <v>1</v>
      </c>
      <c r="F620" t="s">
        <v>1407</v>
      </c>
      <c r="G620" t="s">
        <v>646</v>
      </c>
      <c r="H620" t="s">
        <v>650</v>
      </c>
      <c r="I620" t="s">
        <v>670</v>
      </c>
      <c r="J620" t="s">
        <v>1019</v>
      </c>
      <c r="K620">
        <v>26</v>
      </c>
      <c r="L620" s="3">
        <v>105.13</v>
      </c>
      <c r="M620" s="3">
        <v>244.13</v>
      </c>
      <c r="N620" s="3" t="str">
        <f>IF(Table1_1[[#This Row],[UnitPrice]]&lt;=816.08,"low",IF(Table1_1[[#This Row],[UnitPrice]]&lt;=1640.06,"medium","high"))</f>
        <v>low</v>
      </c>
      <c r="O620" s="4">
        <v>7.0999999999999994E-2</v>
      </c>
      <c r="P620" s="3">
        <v>5896.7160200000008</v>
      </c>
      <c r="Q620" s="3">
        <v>2733.38</v>
      </c>
      <c r="R620" s="4">
        <v>0.53645724319618804</v>
      </c>
      <c r="S620" t="s">
        <v>662</v>
      </c>
      <c r="T620" s="3">
        <v>3163.3360200000006</v>
      </c>
      <c r="U620" t="s">
        <v>1437</v>
      </c>
      <c r="V620" s="13" t="str">
        <f>TEXT(Table1_1[[#This Row],[OrderDate]],"MM YYYY")</f>
        <v>07 2024</v>
      </c>
      <c r="W620" s="11" t="str">
        <f>TEXT(Table1_1[[#This Row],[OrderDate]],"MM")</f>
        <v>07</v>
      </c>
      <c r="X620" s="11"/>
    </row>
    <row r="621" spans="1:24" x14ac:dyDescent="0.25">
      <c r="A621" t="s">
        <v>351</v>
      </c>
      <c r="B621" s="2">
        <v>45027</v>
      </c>
      <c r="C621" s="2">
        <v>45029</v>
      </c>
      <c r="D621" t="s">
        <v>1413</v>
      </c>
      <c r="E621" s="10">
        <v>2</v>
      </c>
      <c r="F621" t="s">
        <v>1419</v>
      </c>
      <c r="G621" t="s">
        <v>643</v>
      </c>
      <c r="H621" t="s">
        <v>650</v>
      </c>
      <c r="I621" t="s">
        <v>670</v>
      </c>
      <c r="J621" t="s">
        <v>1016</v>
      </c>
      <c r="K621">
        <v>43</v>
      </c>
      <c r="L621" s="3">
        <v>32.1</v>
      </c>
      <c r="M621" s="3">
        <v>70.599999999999994</v>
      </c>
      <c r="N621" s="3" t="str">
        <f>IF(Table1_1[[#This Row],[UnitPrice]]&lt;=816.08,"low",IF(Table1_1[[#This Row],[UnitPrice]]&lt;=1640.06,"medium","high"))</f>
        <v>low</v>
      </c>
      <c r="O621" s="4">
        <v>0.28199999999999997</v>
      </c>
      <c r="P621" s="3">
        <v>2179.7043999999996</v>
      </c>
      <c r="Q621" s="3">
        <v>1380.3</v>
      </c>
      <c r="R621" s="4">
        <v>0.36674899587301801</v>
      </c>
      <c r="S621" t="s">
        <v>656</v>
      </c>
      <c r="T621" s="3">
        <v>799.40439999999967</v>
      </c>
      <c r="U621" t="s">
        <v>1435</v>
      </c>
      <c r="V621" s="13" t="str">
        <f>TEXT(Table1_1[[#This Row],[OrderDate]],"MM YYYY")</f>
        <v>04 2023</v>
      </c>
      <c r="W621" s="11" t="str">
        <f>TEXT(Table1_1[[#This Row],[OrderDate]],"MM")</f>
        <v>04</v>
      </c>
      <c r="X621" s="11"/>
    </row>
    <row r="622" spans="1:24" x14ac:dyDescent="0.25">
      <c r="A622" t="s">
        <v>163</v>
      </c>
      <c r="B622" s="2">
        <v>45265</v>
      </c>
      <c r="C622" s="2">
        <v>45267</v>
      </c>
      <c r="D622" t="s">
        <v>1413</v>
      </c>
      <c r="E622" s="10">
        <v>2</v>
      </c>
      <c r="F622" t="s">
        <v>1403</v>
      </c>
      <c r="G622" t="s">
        <v>644</v>
      </c>
      <c r="H622" t="s">
        <v>650</v>
      </c>
      <c r="I622" t="s">
        <v>669</v>
      </c>
      <c r="J622" t="s">
        <v>827</v>
      </c>
      <c r="K622">
        <v>3</v>
      </c>
      <c r="L622" s="3">
        <v>1097.5899999999999</v>
      </c>
      <c r="M622" s="3">
        <v>845.55</v>
      </c>
      <c r="N622" s="3" t="str">
        <f>IF(Table1_1[[#This Row],[UnitPrice]]&lt;=816.08,"low",IF(Table1_1[[#This Row],[UnitPrice]]&lt;=1640.06,"medium","high"))</f>
        <v>medium</v>
      </c>
      <c r="O622" s="4">
        <v>0.184</v>
      </c>
      <c r="P622" s="3">
        <v>2069.9063999999998</v>
      </c>
      <c r="Q622" s="3">
        <v>3292.7699999999995</v>
      </c>
      <c r="R622" s="4">
        <v>-0.59078207594314402</v>
      </c>
      <c r="S622" t="s">
        <v>663</v>
      </c>
      <c r="T622" s="3">
        <v>-1222.8635999999997</v>
      </c>
      <c r="U622" t="s">
        <v>1439</v>
      </c>
      <c r="V622" s="13" t="str">
        <f>TEXT(Table1_1[[#This Row],[OrderDate]],"MM YYYY")</f>
        <v>12 2023</v>
      </c>
      <c r="W622" s="11" t="str">
        <f>TEXT(Table1_1[[#This Row],[OrderDate]],"MM")</f>
        <v>12</v>
      </c>
      <c r="X622" s="11"/>
    </row>
    <row r="623" spans="1:24" x14ac:dyDescent="0.25">
      <c r="A623" t="s">
        <v>108</v>
      </c>
      <c r="B623" s="2">
        <v>45438</v>
      </c>
      <c r="C623" s="2">
        <v>45440</v>
      </c>
      <c r="D623" t="s">
        <v>1413</v>
      </c>
      <c r="E623" s="10">
        <v>2</v>
      </c>
      <c r="F623" t="s">
        <v>1389</v>
      </c>
      <c r="G623" t="s">
        <v>647</v>
      </c>
      <c r="H623" t="s">
        <v>649</v>
      </c>
      <c r="I623" t="s">
        <v>674</v>
      </c>
      <c r="J623" t="s">
        <v>772</v>
      </c>
      <c r="K623">
        <v>7</v>
      </c>
      <c r="L623" s="3">
        <v>1227.08</v>
      </c>
      <c r="M623" s="3">
        <v>1896.62</v>
      </c>
      <c r="N623" s="3" t="str">
        <f>IF(Table1_1[[#This Row],[UnitPrice]]&lt;=816.08,"low",IF(Table1_1[[#This Row],[UnitPrice]]&lt;=1640.06,"medium","high"))</f>
        <v>high</v>
      </c>
      <c r="O623" s="4">
        <v>0</v>
      </c>
      <c r="P623" s="3">
        <v>13276.34</v>
      </c>
      <c r="Q623" s="3">
        <v>8589.56</v>
      </c>
      <c r="R623" s="4">
        <v>0.353017473189147</v>
      </c>
      <c r="S623" t="s">
        <v>662</v>
      </c>
      <c r="T623" s="3">
        <v>4686.7800000000007</v>
      </c>
      <c r="U623" t="s">
        <v>1436</v>
      </c>
      <c r="V623" s="13" t="str">
        <f>TEXT(Table1_1[[#This Row],[OrderDate]],"MM YYYY")</f>
        <v>05 2024</v>
      </c>
      <c r="W623" s="11" t="str">
        <f>TEXT(Table1_1[[#This Row],[OrderDate]],"MM")</f>
        <v>05</v>
      </c>
      <c r="X623" s="11"/>
    </row>
    <row r="624" spans="1:24" x14ac:dyDescent="0.25">
      <c r="A624" t="s">
        <v>12</v>
      </c>
      <c r="B624" s="2">
        <v>45587</v>
      </c>
      <c r="C624" s="2">
        <v>45588</v>
      </c>
      <c r="D624" t="s">
        <v>1413</v>
      </c>
      <c r="E624" s="10">
        <v>1</v>
      </c>
      <c r="F624" t="s">
        <v>1384</v>
      </c>
      <c r="G624" t="s">
        <v>643</v>
      </c>
      <c r="H624" t="s">
        <v>649</v>
      </c>
      <c r="I624" t="s">
        <v>669</v>
      </c>
      <c r="J624" t="s">
        <v>676</v>
      </c>
      <c r="K624">
        <v>24</v>
      </c>
      <c r="L624" s="3">
        <v>1084.3900000000001</v>
      </c>
      <c r="M624" s="3">
        <v>759.33</v>
      </c>
      <c r="N624" s="3" t="str">
        <f>IF(Table1_1[[#This Row],[UnitPrice]]&lt;=816.08,"low",IF(Table1_1[[#This Row],[UnitPrice]]&lt;=1640.06,"medium","high"))</f>
        <v>low</v>
      </c>
      <c r="O624" s="4">
        <v>0.23699999999999999</v>
      </c>
      <c r="P624" s="3">
        <v>13904.850960000002</v>
      </c>
      <c r="Q624" s="3">
        <v>26025.360000000001</v>
      </c>
      <c r="R624" s="4">
        <v>-0.87167486187856302</v>
      </c>
      <c r="S624" t="s">
        <v>654</v>
      </c>
      <c r="T624" s="3">
        <v>-12120.509039999999</v>
      </c>
      <c r="U624" t="s">
        <v>1440</v>
      </c>
      <c r="V624" s="13" t="str">
        <f>TEXT(Table1_1[[#This Row],[OrderDate]],"MM YYYY")</f>
        <v>10 2024</v>
      </c>
      <c r="W624" s="11" t="str">
        <f>TEXT(Table1_1[[#This Row],[OrderDate]],"MM")</f>
        <v>10</v>
      </c>
      <c r="X624" s="11"/>
    </row>
    <row r="625" spans="1:24" x14ac:dyDescent="0.25">
      <c r="A625" t="s">
        <v>602</v>
      </c>
      <c r="B625" s="2">
        <v>44983</v>
      </c>
      <c r="C625" s="2">
        <v>44984</v>
      </c>
      <c r="D625" t="s">
        <v>1413</v>
      </c>
      <c r="E625" s="10">
        <v>1</v>
      </c>
      <c r="F625" t="s">
        <v>1419</v>
      </c>
      <c r="G625" t="s">
        <v>644</v>
      </c>
      <c r="H625" t="s">
        <v>649</v>
      </c>
      <c r="I625" t="s">
        <v>670</v>
      </c>
      <c r="J625" t="s">
        <v>1265</v>
      </c>
      <c r="K625">
        <v>14</v>
      </c>
      <c r="L625" s="3">
        <v>1015.91</v>
      </c>
      <c r="M625" s="3">
        <v>2331.48</v>
      </c>
      <c r="N625" s="3" t="str">
        <f>IF(Table1_1[[#This Row],[UnitPrice]]&lt;=816.08,"low",IF(Table1_1[[#This Row],[UnitPrice]]&lt;=1640.06,"medium","high"))</f>
        <v>high</v>
      </c>
      <c r="O625" s="4">
        <v>0.14599999999999999</v>
      </c>
      <c r="P625" s="3">
        <v>27875.174879999999</v>
      </c>
      <c r="Q625" s="3">
        <v>14222.74</v>
      </c>
      <c r="R625" s="4">
        <v>0.48977037592669598</v>
      </c>
      <c r="S625" t="s">
        <v>657</v>
      </c>
      <c r="T625" s="3">
        <v>13652.434879999999</v>
      </c>
      <c r="U625" t="s">
        <v>1432</v>
      </c>
      <c r="V625" s="13" t="str">
        <f>TEXT(Table1_1[[#This Row],[OrderDate]],"MM YYYY")</f>
        <v>02 2023</v>
      </c>
      <c r="W625" s="11" t="str">
        <f>TEXT(Table1_1[[#This Row],[OrderDate]],"MM")</f>
        <v>02</v>
      </c>
      <c r="X625" s="11"/>
    </row>
    <row r="626" spans="1:24" x14ac:dyDescent="0.25">
      <c r="A626" t="s">
        <v>30</v>
      </c>
      <c r="B626" s="2">
        <v>45796</v>
      </c>
      <c r="C626" s="2">
        <v>45798</v>
      </c>
      <c r="D626" t="s">
        <v>1413</v>
      </c>
      <c r="E626" s="10">
        <v>2</v>
      </c>
      <c r="F626" t="s">
        <v>1392</v>
      </c>
      <c r="G626" t="s">
        <v>647</v>
      </c>
      <c r="H626" t="s">
        <v>649</v>
      </c>
      <c r="I626" t="s">
        <v>672</v>
      </c>
      <c r="J626" t="s">
        <v>694</v>
      </c>
      <c r="K626">
        <v>26</v>
      </c>
      <c r="L626" s="3">
        <v>1015.16</v>
      </c>
      <c r="M626" s="3">
        <v>2148.14</v>
      </c>
      <c r="N626" s="3" t="str">
        <f>IF(Table1_1[[#This Row],[UnitPrice]]&lt;=816.08,"low",IF(Table1_1[[#This Row],[UnitPrice]]&lt;=1640.06,"medium","high"))</f>
        <v>high</v>
      </c>
      <c r="O626" s="4">
        <v>3.7999999999999999E-2</v>
      </c>
      <c r="P626" s="3">
        <v>53729.277679999999</v>
      </c>
      <c r="Q626" s="3">
        <v>26394.16</v>
      </c>
      <c r="R626" s="4">
        <v>0.50875647059322204</v>
      </c>
      <c r="S626" t="s">
        <v>665</v>
      </c>
      <c r="T626" s="3">
        <v>27335.117679999999</v>
      </c>
      <c r="U626" t="s">
        <v>1431</v>
      </c>
      <c r="V626" s="13" t="str">
        <f>TEXT(Table1_1[[#This Row],[OrderDate]],"MM YYYY")</f>
        <v>05 2025</v>
      </c>
      <c r="W626" s="11" t="str">
        <f>TEXT(Table1_1[[#This Row],[OrderDate]],"MM")</f>
        <v>05</v>
      </c>
      <c r="X626" s="11"/>
    </row>
    <row r="627" spans="1:24" x14ac:dyDescent="0.25">
      <c r="A627" t="s">
        <v>18</v>
      </c>
      <c r="B627" s="2">
        <v>44939</v>
      </c>
      <c r="C627" s="2">
        <v>44941</v>
      </c>
      <c r="D627" t="s">
        <v>1413</v>
      </c>
      <c r="E627" s="10">
        <v>2</v>
      </c>
      <c r="F627" t="s">
        <v>1389</v>
      </c>
      <c r="G627" t="s">
        <v>643</v>
      </c>
      <c r="H627" t="s">
        <v>649</v>
      </c>
      <c r="I627" t="s">
        <v>669</v>
      </c>
      <c r="J627" t="s">
        <v>682</v>
      </c>
      <c r="K627">
        <v>14</v>
      </c>
      <c r="L627" s="3">
        <v>28.38</v>
      </c>
      <c r="M627" s="3">
        <v>47.22</v>
      </c>
      <c r="N627" s="3" t="str">
        <f>IF(Table1_1[[#This Row],[UnitPrice]]&lt;=816.08,"low",IF(Table1_1[[#This Row],[UnitPrice]]&lt;=1640.06,"medium","high"))</f>
        <v>low</v>
      </c>
      <c r="O627" s="4">
        <v>0.19400000000000001</v>
      </c>
      <c r="P627" s="3">
        <v>532.83047999999997</v>
      </c>
      <c r="Q627" s="3">
        <v>397.32</v>
      </c>
      <c r="R627" s="4">
        <v>0.25432193743871401</v>
      </c>
      <c r="S627" t="s">
        <v>660</v>
      </c>
      <c r="T627" s="3">
        <v>135.51047999999997</v>
      </c>
      <c r="U627" t="s">
        <v>1432</v>
      </c>
      <c r="V627" s="13" t="str">
        <f>TEXT(Table1_1[[#This Row],[OrderDate]],"MM YYYY")</f>
        <v>01 2023</v>
      </c>
      <c r="W627" s="11" t="str">
        <f>TEXT(Table1_1[[#This Row],[OrderDate]],"MM")</f>
        <v>01</v>
      </c>
      <c r="X627" s="11"/>
    </row>
    <row r="628" spans="1:24" x14ac:dyDescent="0.25">
      <c r="A628" t="s">
        <v>300</v>
      </c>
      <c r="B628" s="2">
        <v>45895</v>
      </c>
      <c r="C628" s="2">
        <v>45897</v>
      </c>
      <c r="D628" t="s">
        <v>1413</v>
      </c>
      <c r="E628" s="10">
        <v>2</v>
      </c>
      <c r="F628" t="s">
        <v>1384</v>
      </c>
      <c r="G628" t="s">
        <v>646</v>
      </c>
      <c r="H628" t="s">
        <v>648</v>
      </c>
      <c r="I628" t="s">
        <v>674</v>
      </c>
      <c r="J628" t="s">
        <v>965</v>
      </c>
      <c r="K628">
        <v>17</v>
      </c>
      <c r="L628" s="3">
        <v>521.05999999999995</v>
      </c>
      <c r="M628" s="3">
        <v>1240.31</v>
      </c>
      <c r="N628" s="3" t="str">
        <f>IF(Table1_1[[#This Row],[UnitPrice]]&lt;=816.08,"low",IF(Table1_1[[#This Row],[UnitPrice]]&lt;=1640.06,"medium","high"))</f>
        <v>medium</v>
      </c>
      <c r="O628" s="4">
        <v>0.14599999999999999</v>
      </c>
      <c r="P628" s="3">
        <v>18006.82058</v>
      </c>
      <c r="Q628" s="3">
        <v>8858.0199999999986</v>
      </c>
      <c r="R628" s="4">
        <v>0.50807417885650996</v>
      </c>
      <c r="S628" t="s">
        <v>661</v>
      </c>
      <c r="T628" s="3">
        <v>9148.800580000001</v>
      </c>
      <c r="U628" t="s">
        <v>1438</v>
      </c>
      <c r="V628" s="13" t="str">
        <f>TEXT(Table1_1[[#This Row],[OrderDate]],"MM YYYY")</f>
        <v>08 2025</v>
      </c>
      <c r="W628" s="11" t="str">
        <f>TEXT(Table1_1[[#This Row],[OrderDate]],"MM")</f>
        <v>08</v>
      </c>
      <c r="X628" s="11"/>
    </row>
    <row r="629" spans="1:24" x14ac:dyDescent="0.25">
      <c r="A629" t="s">
        <v>606</v>
      </c>
      <c r="B629" s="2">
        <v>45703</v>
      </c>
      <c r="C629" s="2">
        <v>45705</v>
      </c>
      <c r="D629" t="s">
        <v>1413</v>
      </c>
      <c r="E629" s="10">
        <v>2</v>
      </c>
      <c r="F629" t="s">
        <v>1414</v>
      </c>
      <c r="G629" t="s">
        <v>646</v>
      </c>
      <c r="H629" t="s">
        <v>648</v>
      </c>
      <c r="I629" t="s">
        <v>668</v>
      </c>
      <c r="J629" t="s">
        <v>1269</v>
      </c>
      <c r="K629">
        <v>11</v>
      </c>
      <c r="L629" s="3">
        <v>1133.47</v>
      </c>
      <c r="M629" s="3">
        <v>1698.75</v>
      </c>
      <c r="N629" s="3" t="str">
        <f>IF(Table1_1[[#This Row],[UnitPrice]]&lt;=816.08,"low",IF(Table1_1[[#This Row],[UnitPrice]]&lt;=1640.06,"medium","high"))</f>
        <v>high</v>
      </c>
      <c r="O629" s="4">
        <v>4.2999999999999997E-2</v>
      </c>
      <c r="P629" s="3">
        <v>17882.741249999999</v>
      </c>
      <c r="Q629" s="3">
        <v>12468.17</v>
      </c>
      <c r="R629" s="4">
        <v>0.30278194904821998</v>
      </c>
      <c r="S629" t="s">
        <v>667</v>
      </c>
      <c r="T629" s="3">
        <v>5414.5712499999991</v>
      </c>
      <c r="U629" t="s">
        <v>1434</v>
      </c>
      <c r="V629" s="13" t="str">
        <f>TEXT(Table1_1[[#This Row],[OrderDate]],"MM YYYY")</f>
        <v>02 2025</v>
      </c>
      <c r="W629" s="11" t="str">
        <f>TEXT(Table1_1[[#This Row],[OrderDate]],"MM")</f>
        <v>02</v>
      </c>
      <c r="X629" s="11"/>
    </row>
    <row r="630" spans="1:24" x14ac:dyDescent="0.25">
      <c r="A630" t="s">
        <v>45</v>
      </c>
      <c r="B630" s="2">
        <v>45525</v>
      </c>
      <c r="C630" s="2">
        <v>45527</v>
      </c>
      <c r="D630" t="s">
        <v>1413</v>
      </c>
      <c r="E630" s="10">
        <v>2</v>
      </c>
      <c r="F630" t="s">
        <v>1398</v>
      </c>
      <c r="G630" t="s">
        <v>643</v>
      </c>
      <c r="H630" t="s">
        <v>648</v>
      </c>
      <c r="I630" t="s">
        <v>668</v>
      </c>
      <c r="J630" t="s">
        <v>709</v>
      </c>
      <c r="K630">
        <v>23</v>
      </c>
      <c r="L630" s="3">
        <v>1432.52</v>
      </c>
      <c r="M630" s="3">
        <v>3036.87</v>
      </c>
      <c r="N630" s="3" t="str">
        <f>IF(Table1_1[[#This Row],[UnitPrice]]&lt;=816.08,"low",IF(Table1_1[[#This Row],[UnitPrice]]&lt;=1640.06,"medium","high"))</f>
        <v>high</v>
      </c>
      <c r="O630" s="4">
        <v>0</v>
      </c>
      <c r="P630" s="3">
        <v>69848.009999999995</v>
      </c>
      <c r="Q630" s="3">
        <v>32947.96</v>
      </c>
      <c r="R630" s="4">
        <v>0.52829064135112802</v>
      </c>
      <c r="S630" t="s">
        <v>659</v>
      </c>
      <c r="T630" s="3">
        <v>36900.049999999996</v>
      </c>
      <c r="U630" t="s">
        <v>1437</v>
      </c>
      <c r="V630" s="13" t="str">
        <f>TEXT(Table1_1[[#This Row],[OrderDate]],"MM YYYY")</f>
        <v>08 2024</v>
      </c>
      <c r="W630" s="11" t="str">
        <f>TEXT(Table1_1[[#This Row],[OrderDate]],"MM")</f>
        <v>08</v>
      </c>
      <c r="X630" s="11"/>
    </row>
    <row r="631" spans="1:24" x14ac:dyDescent="0.25">
      <c r="A631" t="s">
        <v>103</v>
      </c>
      <c r="B631" s="2">
        <v>45100</v>
      </c>
      <c r="C631" s="2">
        <v>45101</v>
      </c>
      <c r="D631" t="s">
        <v>1413</v>
      </c>
      <c r="E631" s="10">
        <v>1</v>
      </c>
      <c r="F631" t="s">
        <v>1421</v>
      </c>
      <c r="G631" t="s">
        <v>644</v>
      </c>
      <c r="H631" t="s">
        <v>648</v>
      </c>
      <c r="I631" t="s">
        <v>669</v>
      </c>
      <c r="J631" t="s">
        <v>767</v>
      </c>
      <c r="K631">
        <v>18</v>
      </c>
      <c r="L631" s="3">
        <v>804.01</v>
      </c>
      <c r="M631" s="3">
        <v>1405.07</v>
      </c>
      <c r="N631" s="3" t="str">
        <f>IF(Table1_1[[#This Row],[UnitPrice]]&lt;=816.08,"low",IF(Table1_1[[#This Row],[UnitPrice]]&lt;=1640.06,"medium","high"))</f>
        <v>medium</v>
      </c>
      <c r="O631" s="4">
        <v>9.6000000000000002E-2</v>
      </c>
      <c r="P631" s="3">
        <v>22863.299039999998</v>
      </c>
      <c r="Q631" s="3">
        <v>14472.18</v>
      </c>
      <c r="R631" s="4">
        <v>0.367012609392874</v>
      </c>
      <c r="S631" t="s">
        <v>659</v>
      </c>
      <c r="T631" s="3">
        <v>8391.1190399999978</v>
      </c>
      <c r="U631" t="s">
        <v>1435</v>
      </c>
      <c r="V631" s="13" t="str">
        <f>TEXT(Table1_1[[#This Row],[OrderDate]],"MM YYYY")</f>
        <v>06 2023</v>
      </c>
      <c r="W631" s="11" t="str">
        <f>TEXT(Table1_1[[#This Row],[OrderDate]],"MM")</f>
        <v>06</v>
      </c>
      <c r="X631" s="11"/>
    </row>
    <row r="632" spans="1:24" x14ac:dyDescent="0.25">
      <c r="A632" t="s">
        <v>332</v>
      </c>
      <c r="B632" s="2">
        <v>44984</v>
      </c>
      <c r="C632" s="2">
        <v>44985</v>
      </c>
      <c r="D632" t="s">
        <v>1413</v>
      </c>
      <c r="E632" s="10">
        <v>1</v>
      </c>
      <c r="F632" t="s">
        <v>1391</v>
      </c>
      <c r="G632" t="s">
        <v>642</v>
      </c>
      <c r="H632" t="s">
        <v>648</v>
      </c>
      <c r="I632" t="s">
        <v>670</v>
      </c>
      <c r="J632" t="s">
        <v>997</v>
      </c>
      <c r="K632">
        <v>8</v>
      </c>
      <c r="L632" s="3">
        <v>1299.81</v>
      </c>
      <c r="M632" s="3">
        <v>3149.13</v>
      </c>
      <c r="N632" s="3" t="str">
        <f>IF(Table1_1[[#This Row],[UnitPrice]]&lt;=816.08,"low",IF(Table1_1[[#This Row],[UnitPrice]]&lt;=1640.06,"medium","high"))</f>
        <v>high</v>
      </c>
      <c r="O632" s="4">
        <v>0.10299999999999999</v>
      </c>
      <c r="P632" s="3">
        <v>22598.156880000002</v>
      </c>
      <c r="Q632" s="3">
        <v>10398.48</v>
      </c>
      <c r="R632" s="4">
        <v>0.53985273864511696</v>
      </c>
      <c r="S632" t="s">
        <v>664</v>
      </c>
      <c r="T632" s="3">
        <v>12199.676880000003</v>
      </c>
      <c r="U632" t="s">
        <v>1432</v>
      </c>
      <c r="V632" s="13" t="str">
        <f>TEXT(Table1_1[[#This Row],[OrderDate]],"MM YYYY")</f>
        <v>02 2023</v>
      </c>
      <c r="W632" s="11" t="str">
        <f>TEXT(Table1_1[[#This Row],[OrderDate]],"MM")</f>
        <v>02</v>
      </c>
      <c r="X632" s="11"/>
    </row>
    <row r="633" spans="1:24" x14ac:dyDescent="0.25">
      <c r="A633" t="s">
        <v>322</v>
      </c>
      <c r="B633" s="2">
        <v>45099</v>
      </c>
      <c r="C633" s="2">
        <v>45101</v>
      </c>
      <c r="D633" t="s">
        <v>1413</v>
      </c>
      <c r="E633" s="10">
        <v>2</v>
      </c>
      <c r="F633" t="s">
        <v>1414</v>
      </c>
      <c r="G633" t="s">
        <v>644</v>
      </c>
      <c r="H633" t="s">
        <v>648</v>
      </c>
      <c r="I633" t="s">
        <v>674</v>
      </c>
      <c r="J633" t="s">
        <v>987</v>
      </c>
      <c r="K633">
        <v>7</v>
      </c>
      <c r="L633" s="3">
        <v>471.42</v>
      </c>
      <c r="M633" s="3">
        <v>824.81</v>
      </c>
      <c r="N633" s="3" t="str">
        <f>IF(Table1_1[[#This Row],[UnitPrice]]&lt;=816.08,"low",IF(Table1_1[[#This Row],[UnitPrice]]&lt;=1640.06,"medium","high"))</f>
        <v>medium</v>
      </c>
      <c r="O633" s="4">
        <v>8.7999999999999995E-2</v>
      </c>
      <c r="P633" s="3">
        <v>5265.5870400000003</v>
      </c>
      <c r="Q633" s="3">
        <v>3299.94</v>
      </c>
      <c r="R633" s="4">
        <v>0.37330064531608198</v>
      </c>
      <c r="S633" t="s">
        <v>665</v>
      </c>
      <c r="T633" s="3">
        <v>1965.6470400000003</v>
      </c>
      <c r="U633" t="s">
        <v>1435</v>
      </c>
      <c r="V633" s="13" t="str">
        <f>TEXT(Table1_1[[#This Row],[OrderDate]],"MM YYYY")</f>
        <v>06 2023</v>
      </c>
      <c r="W633" s="11" t="str">
        <f>TEXT(Table1_1[[#This Row],[OrderDate]],"MM")</f>
        <v>06</v>
      </c>
      <c r="X633" s="11"/>
    </row>
    <row r="635" spans="1:24" x14ac:dyDescent="0.25">
      <c r="M635" s="7">
        <f>_xlfn.PERCENTILE.INC(M2:M633,0.33)</f>
        <v>816.08010000000013</v>
      </c>
    </row>
    <row r="636" spans="1:24" x14ac:dyDescent="0.25">
      <c r="M636" s="7">
        <f>_xlfn.PERCENTILE.INC(M2:M633,0.67)</f>
        <v>1640.0575000000001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0627-CC52-4188-A66B-7A1A5F699DCE}">
  <dimension ref="A1:E21"/>
  <sheetViews>
    <sheetView workbookViewId="0">
      <selection activeCell="A32" sqref="A32"/>
    </sheetView>
  </sheetViews>
  <sheetFormatPr defaultRowHeight="15" x14ac:dyDescent="0.25"/>
  <cols>
    <col min="1" max="1" width="192.140625" customWidth="1"/>
  </cols>
  <sheetData>
    <row r="1" spans="1:5" x14ac:dyDescent="0.25">
      <c r="A1" t="s">
        <v>1364</v>
      </c>
    </row>
    <row r="2" spans="1:5" x14ac:dyDescent="0.25">
      <c r="A2" t="s">
        <v>1365</v>
      </c>
    </row>
    <row r="3" spans="1:5" x14ac:dyDescent="0.25">
      <c r="A3" t="s">
        <v>1367</v>
      </c>
    </row>
    <row r="4" spans="1:5" x14ac:dyDescent="0.25">
      <c r="A4" t="s">
        <v>1369</v>
      </c>
    </row>
    <row r="5" spans="1:5" x14ac:dyDescent="0.25">
      <c r="A5" t="s">
        <v>1374</v>
      </c>
    </row>
    <row r="6" spans="1:5" x14ac:dyDescent="0.25">
      <c r="A6" t="s">
        <v>1375</v>
      </c>
    </row>
    <row r="7" spans="1:5" x14ac:dyDescent="0.25">
      <c r="A7" t="s">
        <v>1377</v>
      </c>
    </row>
    <row r="8" spans="1:5" x14ac:dyDescent="0.25">
      <c r="A8" t="s">
        <v>1442</v>
      </c>
    </row>
    <row r="9" spans="1:5" x14ac:dyDescent="0.25">
      <c r="A9" t="s">
        <v>1381</v>
      </c>
      <c r="E9" t="s">
        <v>1380</v>
      </c>
    </row>
    <row r="10" spans="1:5" x14ac:dyDescent="0.25">
      <c r="A10" t="s">
        <v>1382</v>
      </c>
    </row>
    <row r="11" spans="1:5" x14ac:dyDescent="0.25">
      <c r="A11" t="s">
        <v>1446</v>
      </c>
    </row>
    <row r="12" spans="1:5" x14ac:dyDescent="0.25">
      <c r="A12" t="s">
        <v>1444</v>
      </c>
    </row>
    <row r="13" spans="1:5" x14ac:dyDescent="0.25">
      <c r="A13" t="s">
        <v>1445</v>
      </c>
    </row>
    <row r="15" spans="1:5" x14ac:dyDescent="0.25">
      <c r="A15" t="s">
        <v>1447</v>
      </c>
    </row>
    <row r="16" spans="1:5" x14ac:dyDescent="0.25">
      <c r="A16" t="s">
        <v>1460</v>
      </c>
    </row>
    <row r="17" spans="1:1" x14ac:dyDescent="0.25">
      <c r="A17" t="s">
        <v>1520</v>
      </c>
    </row>
    <row r="18" spans="1:1" x14ac:dyDescent="0.25">
      <c r="A18" t="s">
        <v>1528</v>
      </c>
    </row>
    <row r="19" spans="1:1" x14ac:dyDescent="0.25">
      <c r="A19" t="s">
        <v>1527</v>
      </c>
    </row>
    <row r="20" spans="1:1" x14ac:dyDescent="0.25">
      <c r="A20" t="s">
        <v>1529</v>
      </c>
    </row>
    <row r="21" spans="1:1" x14ac:dyDescent="0.25">
      <c r="A21" t="s">
        <v>1530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"/>
  <sheetViews>
    <sheetView topLeftCell="A24" workbookViewId="0">
      <selection activeCell="A27" sqref="A27"/>
    </sheetView>
  </sheetViews>
  <sheetFormatPr defaultRowHeight="15" x14ac:dyDescent="0.25"/>
  <cols>
    <col min="1" max="1" width="74.140625" customWidth="1"/>
  </cols>
  <sheetData>
    <row r="1" spans="1:1" x14ac:dyDescent="0.25">
      <c r="A1" s="1" t="s">
        <v>1305</v>
      </c>
    </row>
    <row r="2" spans="1:1" x14ac:dyDescent="0.25">
      <c r="A2" t="s">
        <v>1306</v>
      </c>
    </row>
    <row r="4" spans="1:1" x14ac:dyDescent="0.25">
      <c r="A4" t="s">
        <v>1307</v>
      </c>
    </row>
    <row r="5" spans="1:1" x14ac:dyDescent="0.25">
      <c r="A5" t="s">
        <v>1308</v>
      </c>
    </row>
    <row r="6" spans="1:1" x14ac:dyDescent="0.25">
      <c r="A6" t="s">
        <v>1309</v>
      </c>
    </row>
    <row r="8" spans="1:1" x14ac:dyDescent="0.25">
      <c r="A8" t="s">
        <v>1310</v>
      </c>
    </row>
    <row r="9" spans="1:1" x14ac:dyDescent="0.25">
      <c r="A9" t="s">
        <v>1311</v>
      </c>
    </row>
    <row r="10" spans="1:1" x14ac:dyDescent="0.25">
      <c r="A10" t="s">
        <v>1312</v>
      </c>
    </row>
    <row r="11" spans="1:1" x14ac:dyDescent="0.25">
      <c r="A11" t="s">
        <v>1313</v>
      </c>
    </row>
    <row r="12" spans="1:1" x14ac:dyDescent="0.25">
      <c r="A12" t="s">
        <v>1314</v>
      </c>
    </row>
    <row r="13" spans="1:1" x14ac:dyDescent="0.25">
      <c r="A13" t="s">
        <v>1315</v>
      </c>
    </row>
    <row r="14" spans="1:1" x14ac:dyDescent="0.25">
      <c r="A14" t="s">
        <v>1316</v>
      </c>
    </row>
    <row r="15" spans="1:1" x14ac:dyDescent="0.25">
      <c r="A15" t="s">
        <v>1317</v>
      </c>
    </row>
    <row r="17" spans="1:1" x14ac:dyDescent="0.25">
      <c r="A17" t="s">
        <v>1318</v>
      </c>
    </row>
    <row r="18" spans="1:1" x14ac:dyDescent="0.25">
      <c r="A18" t="s">
        <v>1319</v>
      </c>
    </row>
    <row r="19" spans="1:1" x14ac:dyDescent="0.25">
      <c r="A19" t="s">
        <v>1320</v>
      </c>
    </row>
    <row r="20" spans="1:1" x14ac:dyDescent="0.25">
      <c r="A20" t="s">
        <v>1321</v>
      </c>
    </row>
    <row r="21" spans="1:1" x14ac:dyDescent="0.25">
      <c r="A21" t="s">
        <v>1322</v>
      </c>
    </row>
    <row r="23" spans="1:1" x14ac:dyDescent="0.25">
      <c r="A23" t="s">
        <v>1323</v>
      </c>
    </row>
    <row r="24" spans="1:1" x14ac:dyDescent="0.25">
      <c r="A24" t="s">
        <v>1324</v>
      </c>
    </row>
    <row r="25" spans="1:1" x14ac:dyDescent="0.25">
      <c r="A25" t="s">
        <v>1325</v>
      </c>
    </row>
    <row r="26" spans="1:1" x14ac:dyDescent="0.25">
      <c r="A26" t="s">
        <v>1326</v>
      </c>
    </row>
    <row r="27" spans="1:1" x14ac:dyDescent="0.25">
      <c r="A27" t="s">
        <v>1327</v>
      </c>
    </row>
    <row r="29" spans="1:1" x14ac:dyDescent="0.25">
      <c r="A29" t="s">
        <v>1328</v>
      </c>
    </row>
    <row r="30" spans="1:1" x14ac:dyDescent="0.25">
      <c r="A30" t="s">
        <v>1329</v>
      </c>
    </row>
    <row r="31" spans="1:1" x14ac:dyDescent="0.25">
      <c r="A31" t="s">
        <v>1330</v>
      </c>
    </row>
    <row r="32" spans="1:1" x14ac:dyDescent="0.25">
      <c r="A32" t="s">
        <v>1331</v>
      </c>
    </row>
    <row r="33" spans="1:1" x14ac:dyDescent="0.25">
      <c r="A33" t="s">
        <v>1332</v>
      </c>
    </row>
    <row r="34" spans="1:1" x14ac:dyDescent="0.25">
      <c r="A34" t="s">
        <v>1333</v>
      </c>
    </row>
    <row r="35" spans="1:1" x14ac:dyDescent="0.25">
      <c r="A35" t="s">
        <v>1334</v>
      </c>
    </row>
    <row r="36" spans="1:1" x14ac:dyDescent="0.25">
      <c r="A36" t="s">
        <v>1335</v>
      </c>
    </row>
    <row r="37" spans="1:1" x14ac:dyDescent="0.25">
      <c r="A37" t="s">
        <v>1336</v>
      </c>
    </row>
    <row r="38" spans="1:1" x14ac:dyDescent="0.25">
      <c r="A38" t="s">
        <v>1337</v>
      </c>
    </row>
    <row r="39" spans="1:1" x14ac:dyDescent="0.25">
      <c r="A39" t="s">
        <v>1338</v>
      </c>
    </row>
    <row r="40" spans="1:1" x14ac:dyDescent="0.25">
      <c r="A40" t="s">
        <v>1339</v>
      </c>
    </row>
    <row r="41" spans="1:1" x14ac:dyDescent="0.25">
      <c r="A41" t="s">
        <v>1340</v>
      </c>
    </row>
    <row r="43" spans="1:1" x14ac:dyDescent="0.25">
      <c r="A43" t="s">
        <v>1341</v>
      </c>
    </row>
    <row r="44" spans="1:1" x14ac:dyDescent="0.25">
      <c r="A44" t="s">
        <v>1342</v>
      </c>
    </row>
    <row r="45" spans="1:1" x14ac:dyDescent="0.25">
      <c r="A45" t="s">
        <v>1343</v>
      </c>
    </row>
    <row r="46" spans="1:1" x14ac:dyDescent="0.25">
      <c r="A46" t="s">
        <v>1344</v>
      </c>
    </row>
    <row r="47" spans="1:1" x14ac:dyDescent="0.25">
      <c r="A47" t="s">
        <v>1345</v>
      </c>
    </row>
    <row r="48" spans="1:1" x14ac:dyDescent="0.25">
      <c r="A48" t="s">
        <v>1346</v>
      </c>
    </row>
    <row r="50" spans="1:1" x14ac:dyDescent="0.25">
      <c r="A50" t="s">
        <v>1347</v>
      </c>
    </row>
    <row r="51" spans="1:1" x14ac:dyDescent="0.25">
      <c r="A51" t="s">
        <v>1348</v>
      </c>
    </row>
    <row r="52" spans="1:1" x14ac:dyDescent="0.25">
      <c r="A52" t="s">
        <v>1349</v>
      </c>
    </row>
    <row r="53" spans="1:1" x14ac:dyDescent="0.25">
      <c r="A53" t="s">
        <v>1350</v>
      </c>
    </row>
    <row r="54" spans="1:1" x14ac:dyDescent="0.25">
      <c r="A54" t="s">
        <v>1351</v>
      </c>
    </row>
    <row r="55" spans="1:1" x14ac:dyDescent="0.25">
      <c r="A55" t="s">
        <v>1352</v>
      </c>
    </row>
    <row r="56" spans="1:1" x14ac:dyDescent="0.25">
      <c r="A56" t="s">
        <v>1353</v>
      </c>
    </row>
    <row r="57" spans="1:1" x14ac:dyDescent="0.25">
      <c r="A57" t="s">
        <v>1354</v>
      </c>
    </row>
    <row r="58" spans="1:1" x14ac:dyDescent="0.25">
      <c r="A58" t="s">
        <v>1355</v>
      </c>
    </row>
    <row r="59" spans="1:1" x14ac:dyDescent="0.25">
      <c r="A59" t="s">
        <v>1356</v>
      </c>
    </row>
    <row r="61" spans="1:1" x14ac:dyDescent="0.25">
      <c r="A61" t="s">
        <v>1357</v>
      </c>
    </row>
    <row r="62" spans="1:1" x14ac:dyDescent="0.25">
      <c r="A62" t="s">
        <v>1358</v>
      </c>
    </row>
    <row r="64" spans="1:1" x14ac:dyDescent="0.25">
      <c r="A64" t="s">
        <v>1359</v>
      </c>
    </row>
    <row r="65" spans="1:1" x14ac:dyDescent="0.25">
      <c r="A65" t="s">
        <v>1360</v>
      </c>
    </row>
    <row r="66" spans="1:1" x14ac:dyDescent="0.25">
      <c r="A66" t="s">
        <v>1361</v>
      </c>
    </row>
    <row r="67" spans="1:1" x14ac:dyDescent="0.25">
      <c r="A67" t="s">
        <v>1362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4E0C20-6890-4427-AAB0-7C27615E4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SKU </vt:lpstr>
      <vt:lpstr>DATA</vt:lpstr>
      <vt:lpstr>Cohort Analysis</vt:lpstr>
      <vt:lpstr>Data 2</vt:lpstr>
      <vt:lpstr>README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ADMIN</cp:lastModifiedBy>
  <dcterms:created xsi:type="dcterms:W3CDTF">2025-09-28T10:49:35Z</dcterms:created>
  <dcterms:modified xsi:type="dcterms:W3CDTF">2026-06-13T14:24:38Z</dcterms:modified>
</cp:coreProperties>
</file>